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Kundan Energy\Generation data yearly\"/>
    </mc:Choice>
  </mc:AlternateContent>
  <xr:revisionPtr revIDLastSave="0" documentId="13_ncr:1_{96F9B158-567F-4BC9-B01E-CA08D222DAE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025 to 2026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26" i="1" l="1"/>
  <c r="H426" i="1"/>
  <c r="G426" i="1"/>
  <c r="F426" i="1"/>
  <c r="D426" i="1"/>
  <c r="C426" i="1"/>
  <c r="B426" i="1"/>
  <c r="I425" i="1"/>
  <c r="E425" i="1"/>
  <c r="I424" i="1"/>
  <c r="E424" i="1"/>
  <c r="I423" i="1"/>
  <c r="E423" i="1"/>
  <c r="I422" i="1"/>
  <c r="E422" i="1"/>
  <c r="I421" i="1"/>
  <c r="E421" i="1"/>
  <c r="I420" i="1"/>
  <c r="E420" i="1"/>
  <c r="I419" i="1"/>
  <c r="E419" i="1"/>
  <c r="I418" i="1"/>
  <c r="E418" i="1"/>
  <c r="I417" i="1"/>
  <c r="E417" i="1"/>
  <c r="I416" i="1"/>
  <c r="E416" i="1"/>
  <c r="I415" i="1"/>
  <c r="E415" i="1"/>
  <c r="I414" i="1"/>
  <c r="E414" i="1"/>
  <c r="I413" i="1"/>
  <c r="E413" i="1"/>
  <c r="I412" i="1"/>
  <c r="E412" i="1"/>
  <c r="I411" i="1"/>
  <c r="E411" i="1"/>
  <c r="I410" i="1"/>
  <c r="E410" i="1"/>
  <c r="I409" i="1"/>
  <c r="E409" i="1"/>
  <c r="I408" i="1"/>
  <c r="E408" i="1"/>
  <c r="I407" i="1"/>
  <c r="E407" i="1"/>
  <c r="I406" i="1"/>
  <c r="E406" i="1"/>
  <c r="I405" i="1"/>
  <c r="E405" i="1"/>
  <c r="I404" i="1"/>
  <c r="E404" i="1"/>
  <c r="I403" i="1"/>
  <c r="E403" i="1"/>
  <c r="I402" i="1"/>
  <c r="E402" i="1"/>
  <c r="I401" i="1"/>
  <c r="E401" i="1"/>
  <c r="I400" i="1"/>
  <c r="E400" i="1"/>
  <c r="I399" i="1"/>
  <c r="E399" i="1"/>
  <c r="I398" i="1"/>
  <c r="E398" i="1"/>
  <c r="I397" i="1"/>
  <c r="E397" i="1"/>
  <c r="I396" i="1"/>
  <c r="E396" i="1"/>
  <c r="I395" i="1"/>
  <c r="I426" i="1" s="1"/>
  <c r="E395" i="1"/>
  <c r="E426" i="1" s="1"/>
  <c r="J390" i="1"/>
  <c r="H390" i="1"/>
  <c r="F390" i="1"/>
  <c r="D390" i="1"/>
  <c r="C390" i="1"/>
  <c r="B390" i="1"/>
  <c r="I389" i="1"/>
  <c r="E389" i="1"/>
  <c r="I388" i="1"/>
  <c r="E388" i="1"/>
  <c r="I387" i="1"/>
  <c r="E387" i="1"/>
  <c r="I386" i="1"/>
  <c r="E386" i="1"/>
  <c r="I385" i="1"/>
  <c r="E385" i="1"/>
  <c r="I384" i="1"/>
  <c r="E384" i="1"/>
  <c r="I383" i="1"/>
  <c r="E383" i="1"/>
  <c r="I382" i="1"/>
  <c r="E382" i="1"/>
  <c r="I381" i="1"/>
  <c r="E381" i="1"/>
  <c r="I380" i="1"/>
  <c r="E380" i="1"/>
  <c r="I379" i="1"/>
  <c r="E379" i="1"/>
  <c r="I378" i="1"/>
  <c r="E378" i="1"/>
  <c r="I377" i="1"/>
  <c r="E377" i="1"/>
  <c r="I376" i="1"/>
  <c r="E376" i="1"/>
  <c r="I375" i="1"/>
  <c r="E375" i="1"/>
  <c r="I374" i="1"/>
  <c r="E374" i="1"/>
  <c r="I373" i="1"/>
  <c r="E373" i="1"/>
  <c r="I372" i="1"/>
  <c r="E372" i="1"/>
  <c r="I371" i="1"/>
  <c r="E371" i="1"/>
  <c r="I370" i="1"/>
  <c r="E370" i="1"/>
  <c r="I369" i="1"/>
  <c r="E369" i="1"/>
  <c r="I368" i="1"/>
  <c r="E368" i="1"/>
  <c r="I367" i="1"/>
  <c r="E367" i="1"/>
  <c r="I366" i="1"/>
  <c r="E366" i="1"/>
  <c r="I365" i="1"/>
  <c r="E365" i="1"/>
  <c r="G364" i="1"/>
  <c r="I364" i="1" s="1"/>
  <c r="E364" i="1"/>
  <c r="E363" i="1"/>
  <c r="G363" i="1" s="1"/>
  <c r="I362" i="1"/>
  <c r="E362" i="1"/>
  <c r="E390" i="1" s="1"/>
  <c r="J357" i="1"/>
  <c r="H357" i="1"/>
  <c r="G357" i="1"/>
  <c r="F357" i="1"/>
  <c r="E357" i="1"/>
  <c r="D357" i="1"/>
  <c r="C357" i="1"/>
  <c r="B357" i="1"/>
  <c r="I356" i="1"/>
  <c r="E356" i="1"/>
  <c r="I355" i="1"/>
  <c r="E355" i="1"/>
  <c r="I354" i="1"/>
  <c r="E354" i="1"/>
  <c r="I353" i="1"/>
  <c r="E353" i="1"/>
  <c r="I352" i="1"/>
  <c r="E352" i="1"/>
  <c r="I351" i="1"/>
  <c r="E351" i="1"/>
  <c r="I350" i="1"/>
  <c r="E350" i="1"/>
  <c r="I349" i="1"/>
  <c r="E349" i="1"/>
  <c r="I348" i="1"/>
  <c r="E348" i="1"/>
  <c r="I347" i="1"/>
  <c r="E347" i="1"/>
  <c r="I346" i="1"/>
  <c r="E346" i="1"/>
  <c r="I345" i="1"/>
  <c r="E345" i="1"/>
  <c r="I344" i="1"/>
  <c r="E344" i="1"/>
  <c r="I343" i="1"/>
  <c r="E343" i="1"/>
  <c r="I342" i="1"/>
  <c r="E342" i="1"/>
  <c r="I341" i="1"/>
  <c r="E341" i="1"/>
  <c r="I340" i="1"/>
  <c r="E340" i="1"/>
  <c r="I339" i="1"/>
  <c r="E339" i="1"/>
  <c r="I338" i="1"/>
  <c r="E338" i="1"/>
  <c r="I337" i="1"/>
  <c r="E337" i="1"/>
  <c r="I336" i="1"/>
  <c r="E336" i="1"/>
  <c r="I335" i="1"/>
  <c r="E335" i="1"/>
  <c r="I334" i="1"/>
  <c r="E334" i="1"/>
  <c r="I333" i="1"/>
  <c r="E333" i="1"/>
  <c r="I332" i="1"/>
  <c r="E332" i="1"/>
  <c r="I331" i="1"/>
  <c r="E331" i="1"/>
  <c r="I330" i="1"/>
  <c r="E330" i="1"/>
  <c r="I329" i="1"/>
  <c r="E329" i="1"/>
  <c r="I328" i="1"/>
  <c r="E328" i="1"/>
  <c r="I327" i="1"/>
  <c r="E327" i="1"/>
  <c r="I326" i="1"/>
  <c r="I357" i="1" s="1"/>
  <c r="E326" i="1"/>
  <c r="J321" i="1"/>
  <c r="H321" i="1"/>
  <c r="G321" i="1"/>
  <c r="F321" i="1"/>
  <c r="D321" i="1"/>
  <c r="C321" i="1"/>
  <c r="B321" i="1"/>
  <c r="I320" i="1"/>
  <c r="E320" i="1"/>
  <c r="I319" i="1"/>
  <c r="E319" i="1"/>
  <c r="I318" i="1"/>
  <c r="E318" i="1"/>
  <c r="I317" i="1"/>
  <c r="E317" i="1"/>
  <c r="I316" i="1"/>
  <c r="E316" i="1"/>
  <c r="I315" i="1"/>
  <c r="E315" i="1"/>
  <c r="I314" i="1"/>
  <c r="E314" i="1"/>
  <c r="I313" i="1"/>
  <c r="E313" i="1"/>
  <c r="I312" i="1"/>
  <c r="E312" i="1"/>
  <c r="I311" i="1"/>
  <c r="E311" i="1"/>
  <c r="I310" i="1"/>
  <c r="E310" i="1"/>
  <c r="I309" i="1"/>
  <c r="E309" i="1"/>
  <c r="I308" i="1"/>
  <c r="E308" i="1"/>
  <c r="I307" i="1"/>
  <c r="E307" i="1"/>
  <c r="I306" i="1"/>
  <c r="E306" i="1"/>
  <c r="I305" i="1"/>
  <c r="E305" i="1"/>
  <c r="I304" i="1"/>
  <c r="E304" i="1"/>
  <c r="I303" i="1"/>
  <c r="E303" i="1"/>
  <c r="I302" i="1"/>
  <c r="E302" i="1"/>
  <c r="I301" i="1"/>
  <c r="E301" i="1"/>
  <c r="I300" i="1"/>
  <c r="E300" i="1"/>
  <c r="I299" i="1"/>
  <c r="E299" i="1"/>
  <c r="I298" i="1"/>
  <c r="E298" i="1"/>
  <c r="I297" i="1"/>
  <c r="E297" i="1"/>
  <c r="I296" i="1"/>
  <c r="E296" i="1"/>
  <c r="I295" i="1"/>
  <c r="E295" i="1"/>
  <c r="I294" i="1"/>
  <c r="E294" i="1"/>
  <c r="I293" i="1"/>
  <c r="E293" i="1"/>
  <c r="I292" i="1"/>
  <c r="E292" i="1"/>
  <c r="I291" i="1"/>
  <c r="E291" i="1"/>
  <c r="I290" i="1"/>
  <c r="I321" i="1" s="1"/>
  <c r="E290" i="1"/>
  <c r="E321" i="1" s="1"/>
  <c r="J285" i="1"/>
  <c r="H285" i="1"/>
  <c r="G285" i="1"/>
  <c r="F285" i="1"/>
  <c r="D285" i="1"/>
  <c r="C285" i="1"/>
  <c r="B285" i="1"/>
  <c r="I284" i="1"/>
  <c r="E284" i="1"/>
  <c r="I283" i="1"/>
  <c r="E283" i="1"/>
  <c r="I282" i="1"/>
  <c r="E282" i="1"/>
  <c r="I281" i="1"/>
  <c r="E281" i="1"/>
  <c r="I280" i="1"/>
  <c r="E280" i="1"/>
  <c r="I279" i="1"/>
  <c r="E279" i="1"/>
  <c r="I278" i="1"/>
  <c r="E278" i="1"/>
  <c r="I277" i="1"/>
  <c r="E277" i="1"/>
  <c r="I276" i="1"/>
  <c r="E276" i="1"/>
  <c r="I275" i="1"/>
  <c r="E275" i="1"/>
  <c r="I274" i="1"/>
  <c r="E274" i="1"/>
  <c r="I273" i="1"/>
  <c r="E273" i="1"/>
  <c r="I272" i="1"/>
  <c r="E272" i="1"/>
  <c r="I271" i="1"/>
  <c r="E271" i="1"/>
  <c r="I270" i="1"/>
  <c r="E270" i="1"/>
  <c r="I269" i="1"/>
  <c r="E269" i="1"/>
  <c r="I268" i="1"/>
  <c r="E268" i="1"/>
  <c r="I267" i="1"/>
  <c r="E267" i="1"/>
  <c r="I266" i="1"/>
  <c r="E266" i="1"/>
  <c r="I265" i="1"/>
  <c r="E265" i="1"/>
  <c r="I264" i="1"/>
  <c r="E264" i="1"/>
  <c r="I263" i="1"/>
  <c r="E263" i="1"/>
  <c r="I262" i="1"/>
  <c r="E262" i="1"/>
  <c r="I261" i="1"/>
  <c r="E261" i="1"/>
  <c r="I260" i="1"/>
  <c r="E260" i="1"/>
  <c r="I259" i="1"/>
  <c r="E259" i="1"/>
  <c r="I258" i="1"/>
  <c r="E258" i="1"/>
  <c r="I257" i="1"/>
  <c r="E257" i="1"/>
  <c r="I256" i="1"/>
  <c r="E256" i="1"/>
  <c r="I255" i="1"/>
  <c r="I285" i="1" s="1"/>
  <c r="E255" i="1"/>
  <c r="E285" i="1" s="1"/>
  <c r="J250" i="1"/>
  <c r="H250" i="1"/>
  <c r="G250" i="1"/>
  <c r="F250" i="1"/>
  <c r="D250" i="1"/>
  <c r="C250" i="1"/>
  <c r="B250" i="1"/>
  <c r="I249" i="1"/>
  <c r="E249" i="1"/>
  <c r="I248" i="1"/>
  <c r="E248" i="1"/>
  <c r="I247" i="1"/>
  <c r="E247" i="1"/>
  <c r="I246" i="1"/>
  <c r="E246" i="1"/>
  <c r="I245" i="1"/>
  <c r="E245" i="1"/>
  <c r="I244" i="1"/>
  <c r="E244" i="1"/>
  <c r="I243" i="1"/>
  <c r="E243" i="1"/>
  <c r="I242" i="1"/>
  <c r="E242" i="1"/>
  <c r="I241" i="1"/>
  <c r="E241" i="1"/>
  <c r="I240" i="1"/>
  <c r="E240" i="1"/>
  <c r="I239" i="1"/>
  <c r="E239" i="1"/>
  <c r="I238" i="1"/>
  <c r="E238" i="1"/>
  <c r="I237" i="1"/>
  <c r="E237" i="1"/>
  <c r="I236" i="1"/>
  <c r="E236" i="1"/>
  <c r="I235" i="1"/>
  <c r="E235" i="1"/>
  <c r="I234" i="1"/>
  <c r="E234" i="1"/>
  <c r="I233" i="1"/>
  <c r="E233" i="1"/>
  <c r="I232" i="1"/>
  <c r="E232" i="1"/>
  <c r="I231" i="1"/>
  <c r="E231" i="1"/>
  <c r="I230" i="1"/>
  <c r="E230" i="1"/>
  <c r="I229" i="1"/>
  <c r="E229" i="1"/>
  <c r="I228" i="1"/>
  <c r="E228" i="1"/>
  <c r="I227" i="1"/>
  <c r="E227" i="1"/>
  <c r="I226" i="1"/>
  <c r="E226" i="1"/>
  <c r="I225" i="1"/>
  <c r="E225" i="1"/>
  <c r="I224" i="1"/>
  <c r="E224" i="1"/>
  <c r="I223" i="1"/>
  <c r="E223" i="1"/>
  <c r="I222" i="1"/>
  <c r="E222" i="1"/>
  <c r="I221" i="1"/>
  <c r="E221" i="1"/>
  <c r="I220" i="1"/>
  <c r="E220" i="1"/>
  <c r="I219" i="1"/>
  <c r="I250" i="1" s="1"/>
  <c r="E219" i="1"/>
  <c r="E250" i="1" s="1"/>
  <c r="J214" i="1"/>
  <c r="H214" i="1"/>
  <c r="G214" i="1"/>
  <c r="F214" i="1"/>
  <c r="D214" i="1"/>
  <c r="C214" i="1"/>
  <c r="B214" i="1"/>
  <c r="I213" i="1"/>
  <c r="E213" i="1"/>
  <c r="I212" i="1"/>
  <c r="E212" i="1"/>
  <c r="I211" i="1"/>
  <c r="E211" i="1"/>
  <c r="I210" i="1"/>
  <c r="E210" i="1"/>
  <c r="I209" i="1"/>
  <c r="E209" i="1"/>
  <c r="I208" i="1"/>
  <c r="E208" i="1"/>
  <c r="I207" i="1"/>
  <c r="E207" i="1"/>
  <c r="I206" i="1"/>
  <c r="E206" i="1"/>
  <c r="I205" i="1"/>
  <c r="E205" i="1"/>
  <c r="I204" i="1"/>
  <c r="E204" i="1"/>
  <c r="I203" i="1"/>
  <c r="E203" i="1"/>
  <c r="I202" i="1"/>
  <c r="E202" i="1"/>
  <c r="I201" i="1"/>
  <c r="E201" i="1"/>
  <c r="I200" i="1"/>
  <c r="E200" i="1"/>
  <c r="I199" i="1"/>
  <c r="E199" i="1"/>
  <c r="I198" i="1"/>
  <c r="E198" i="1"/>
  <c r="I197" i="1"/>
  <c r="E197" i="1"/>
  <c r="I196" i="1"/>
  <c r="E196" i="1"/>
  <c r="I195" i="1"/>
  <c r="E195" i="1"/>
  <c r="I194" i="1"/>
  <c r="E194" i="1"/>
  <c r="I193" i="1"/>
  <c r="E193" i="1"/>
  <c r="I192" i="1"/>
  <c r="E192" i="1"/>
  <c r="I191" i="1"/>
  <c r="E191" i="1"/>
  <c r="I190" i="1"/>
  <c r="E190" i="1"/>
  <c r="I189" i="1"/>
  <c r="E189" i="1"/>
  <c r="I188" i="1"/>
  <c r="E188" i="1"/>
  <c r="I187" i="1"/>
  <c r="E187" i="1"/>
  <c r="I186" i="1"/>
  <c r="E186" i="1"/>
  <c r="I185" i="1"/>
  <c r="E185" i="1"/>
  <c r="I184" i="1"/>
  <c r="I214" i="1" s="1"/>
  <c r="E184" i="1"/>
  <c r="E214" i="1" s="1"/>
  <c r="J179" i="1"/>
  <c r="H179" i="1"/>
  <c r="G179" i="1"/>
  <c r="F179" i="1"/>
  <c r="D179" i="1"/>
  <c r="C179" i="1"/>
  <c r="B179" i="1"/>
  <c r="I178" i="1"/>
  <c r="E178" i="1"/>
  <c r="I177" i="1"/>
  <c r="E177" i="1"/>
  <c r="I176" i="1"/>
  <c r="E176" i="1"/>
  <c r="I175" i="1"/>
  <c r="E175" i="1"/>
  <c r="I174" i="1"/>
  <c r="E174" i="1"/>
  <c r="I173" i="1"/>
  <c r="E173" i="1"/>
  <c r="I172" i="1"/>
  <c r="E172" i="1"/>
  <c r="I171" i="1"/>
  <c r="E171" i="1"/>
  <c r="I170" i="1"/>
  <c r="E170" i="1"/>
  <c r="I169" i="1"/>
  <c r="E169" i="1"/>
  <c r="I168" i="1"/>
  <c r="E168" i="1"/>
  <c r="I167" i="1"/>
  <c r="E167" i="1"/>
  <c r="I166" i="1"/>
  <c r="E166" i="1"/>
  <c r="I165" i="1"/>
  <c r="E165" i="1"/>
  <c r="I164" i="1"/>
  <c r="E164" i="1"/>
  <c r="I163" i="1"/>
  <c r="E163" i="1"/>
  <c r="I162" i="1"/>
  <c r="E162" i="1"/>
  <c r="I161" i="1"/>
  <c r="E161" i="1"/>
  <c r="I160" i="1"/>
  <c r="E160" i="1"/>
  <c r="I159" i="1"/>
  <c r="E159" i="1"/>
  <c r="I158" i="1"/>
  <c r="E158" i="1"/>
  <c r="I157" i="1"/>
  <c r="E157" i="1"/>
  <c r="I156" i="1"/>
  <c r="E156" i="1"/>
  <c r="I155" i="1"/>
  <c r="E155" i="1"/>
  <c r="I154" i="1"/>
  <c r="E154" i="1"/>
  <c r="I153" i="1"/>
  <c r="E153" i="1"/>
  <c r="I152" i="1"/>
  <c r="E152" i="1"/>
  <c r="I151" i="1"/>
  <c r="E151" i="1"/>
  <c r="I150" i="1"/>
  <c r="E150" i="1"/>
  <c r="I149" i="1"/>
  <c r="E149" i="1"/>
  <c r="I148" i="1"/>
  <c r="E148" i="1"/>
  <c r="E179" i="1" s="1"/>
  <c r="J143" i="1"/>
  <c r="H143" i="1"/>
  <c r="G143" i="1"/>
  <c r="F143" i="1"/>
  <c r="D143" i="1"/>
  <c r="C143" i="1"/>
  <c r="B143" i="1"/>
  <c r="I142" i="1"/>
  <c r="E142" i="1"/>
  <c r="I141" i="1"/>
  <c r="E141" i="1"/>
  <c r="I140" i="1"/>
  <c r="E140" i="1"/>
  <c r="I139" i="1"/>
  <c r="E139" i="1"/>
  <c r="I138" i="1"/>
  <c r="E138" i="1"/>
  <c r="I137" i="1"/>
  <c r="E137" i="1"/>
  <c r="I136" i="1"/>
  <c r="E136" i="1"/>
  <c r="I135" i="1"/>
  <c r="E135" i="1"/>
  <c r="I134" i="1"/>
  <c r="E134" i="1"/>
  <c r="I133" i="1"/>
  <c r="E133" i="1"/>
  <c r="I132" i="1"/>
  <c r="E132" i="1"/>
  <c r="I131" i="1"/>
  <c r="E131" i="1"/>
  <c r="I130" i="1"/>
  <c r="E130" i="1"/>
  <c r="I129" i="1"/>
  <c r="E129" i="1"/>
  <c r="I128" i="1"/>
  <c r="E128" i="1"/>
  <c r="I127" i="1"/>
  <c r="E127" i="1"/>
  <c r="I126" i="1"/>
  <c r="E126" i="1"/>
  <c r="I125" i="1"/>
  <c r="E125" i="1"/>
  <c r="I124" i="1"/>
  <c r="E124" i="1"/>
  <c r="I123" i="1"/>
  <c r="E123" i="1"/>
  <c r="I122" i="1"/>
  <c r="E122" i="1"/>
  <c r="I121" i="1"/>
  <c r="E121" i="1"/>
  <c r="I120" i="1"/>
  <c r="E120" i="1"/>
  <c r="I119" i="1"/>
  <c r="E119" i="1"/>
  <c r="I118" i="1"/>
  <c r="E118" i="1"/>
  <c r="I117" i="1"/>
  <c r="E117" i="1"/>
  <c r="I116" i="1"/>
  <c r="E116" i="1"/>
  <c r="I115" i="1"/>
  <c r="E115" i="1"/>
  <c r="I114" i="1"/>
  <c r="E114" i="1"/>
  <c r="I113" i="1"/>
  <c r="E113" i="1"/>
  <c r="I112" i="1"/>
  <c r="I143" i="1" s="1"/>
  <c r="E112" i="1"/>
  <c r="E143" i="1" s="1"/>
  <c r="J107" i="1"/>
  <c r="H107" i="1"/>
  <c r="G107" i="1"/>
  <c r="F107" i="1"/>
  <c r="E107" i="1"/>
  <c r="D107" i="1"/>
  <c r="C107" i="1"/>
  <c r="B107" i="1"/>
  <c r="I106" i="1"/>
  <c r="E106" i="1"/>
  <c r="I105" i="1"/>
  <c r="E105" i="1"/>
  <c r="I104" i="1"/>
  <c r="E104" i="1"/>
  <c r="I103" i="1"/>
  <c r="E103" i="1"/>
  <c r="I102" i="1"/>
  <c r="E102" i="1"/>
  <c r="I101" i="1"/>
  <c r="E101" i="1"/>
  <c r="I100" i="1"/>
  <c r="E100" i="1"/>
  <c r="I99" i="1"/>
  <c r="E99" i="1"/>
  <c r="I98" i="1"/>
  <c r="E98" i="1"/>
  <c r="I97" i="1"/>
  <c r="E97" i="1"/>
  <c r="I96" i="1"/>
  <c r="E96" i="1"/>
  <c r="I95" i="1"/>
  <c r="E95" i="1"/>
  <c r="I94" i="1"/>
  <c r="E94" i="1"/>
  <c r="I93" i="1"/>
  <c r="E93" i="1"/>
  <c r="I92" i="1"/>
  <c r="E92" i="1"/>
  <c r="I91" i="1"/>
  <c r="E91" i="1"/>
  <c r="I90" i="1"/>
  <c r="E90" i="1"/>
  <c r="I89" i="1"/>
  <c r="E89" i="1"/>
  <c r="I88" i="1"/>
  <c r="E88" i="1"/>
  <c r="I87" i="1"/>
  <c r="E87" i="1"/>
  <c r="I86" i="1"/>
  <c r="E86" i="1"/>
  <c r="I85" i="1"/>
  <c r="E85" i="1"/>
  <c r="I84" i="1"/>
  <c r="E84" i="1"/>
  <c r="I83" i="1"/>
  <c r="E83" i="1"/>
  <c r="I82" i="1"/>
  <c r="E82" i="1"/>
  <c r="I81" i="1"/>
  <c r="E81" i="1"/>
  <c r="I80" i="1"/>
  <c r="E80" i="1"/>
  <c r="I79" i="1"/>
  <c r="E79" i="1"/>
  <c r="I78" i="1"/>
  <c r="I107" i="1" s="1"/>
  <c r="E78" i="1"/>
  <c r="I77" i="1"/>
  <c r="E77" i="1"/>
  <c r="J72" i="1"/>
  <c r="H72" i="1"/>
  <c r="F72" i="1"/>
  <c r="E72" i="1"/>
  <c r="D72" i="1"/>
  <c r="C72" i="1"/>
  <c r="B72" i="1"/>
  <c r="I71" i="1"/>
  <c r="E71" i="1"/>
  <c r="I70" i="1"/>
  <c r="E70" i="1"/>
  <c r="I69" i="1"/>
  <c r="E69" i="1"/>
  <c r="I68" i="1"/>
  <c r="E68" i="1"/>
  <c r="I67" i="1"/>
  <c r="E67" i="1"/>
  <c r="I66" i="1"/>
  <c r="E66" i="1"/>
  <c r="I65" i="1"/>
  <c r="E65" i="1"/>
  <c r="I64" i="1"/>
  <c r="E64" i="1"/>
  <c r="I63" i="1"/>
  <c r="E63" i="1"/>
  <c r="I62" i="1"/>
  <c r="E62" i="1"/>
  <c r="I61" i="1"/>
  <c r="E61" i="1"/>
  <c r="I60" i="1"/>
  <c r="E60" i="1"/>
  <c r="I59" i="1"/>
  <c r="E59" i="1"/>
  <c r="I58" i="1"/>
  <c r="E58" i="1"/>
  <c r="I57" i="1"/>
  <c r="E57" i="1"/>
  <c r="I56" i="1"/>
  <c r="E56" i="1"/>
  <c r="I55" i="1"/>
  <c r="E55" i="1"/>
  <c r="I54" i="1"/>
  <c r="E54" i="1"/>
  <c r="I53" i="1"/>
  <c r="E53" i="1"/>
  <c r="I52" i="1"/>
  <c r="E52" i="1"/>
  <c r="I51" i="1"/>
  <c r="E51" i="1"/>
  <c r="I50" i="1"/>
  <c r="E50" i="1"/>
  <c r="I49" i="1"/>
  <c r="E49" i="1"/>
  <c r="I48" i="1"/>
  <c r="E48" i="1"/>
  <c r="I47" i="1"/>
  <c r="E47" i="1"/>
  <c r="I46" i="1"/>
  <c r="E46" i="1"/>
  <c r="I45" i="1"/>
  <c r="E45" i="1"/>
  <c r="I44" i="1"/>
  <c r="E44" i="1"/>
  <c r="I43" i="1"/>
  <c r="E43" i="1"/>
  <c r="I42" i="1"/>
  <c r="E42" i="1"/>
  <c r="I41" i="1"/>
  <c r="I72" i="1" s="1"/>
  <c r="E41" i="1"/>
  <c r="J36" i="1"/>
  <c r="H36" i="1"/>
  <c r="G36" i="1"/>
  <c r="F36" i="1"/>
  <c r="D36" i="1"/>
  <c r="C36" i="1"/>
  <c r="B36" i="1"/>
  <c r="I35" i="1"/>
  <c r="E35" i="1"/>
  <c r="I34" i="1"/>
  <c r="E34" i="1"/>
  <c r="I33" i="1"/>
  <c r="E33" i="1"/>
  <c r="I32" i="1"/>
  <c r="E32" i="1"/>
  <c r="I31" i="1"/>
  <c r="E31" i="1"/>
  <c r="I30" i="1"/>
  <c r="E30" i="1"/>
  <c r="I29" i="1"/>
  <c r="E29" i="1"/>
  <c r="I28" i="1"/>
  <c r="E28" i="1"/>
  <c r="I27" i="1"/>
  <c r="E27" i="1"/>
  <c r="I26" i="1"/>
  <c r="E26" i="1"/>
  <c r="I25" i="1"/>
  <c r="E25" i="1"/>
  <c r="I24" i="1"/>
  <c r="E24" i="1"/>
  <c r="I23" i="1"/>
  <c r="E23" i="1"/>
  <c r="I22" i="1"/>
  <c r="E22" i="1"/>
  <c r="I21" i="1"/>
  <c r="E21" i="1"/>
  <c r="I20" i="1"/>
  <c r="E20" i="1"/>
  <c r="I19" i="1"/>
  <c r="E19" i="1"/>
  <c r="I18" i="1"/>
  <c r="E18" i="1"/>
  <c r="I17" i="1"/>
  <c r="E17" i="1"/>
  <c r="I16" i="1"/>
  <c r="E16" i="1"/>
  <c r="I15" i="1"/>
  <c r="E15" i="1"/>
  <c r="I14" i="1"/>
  <c r="E14" i="1"/>
  <c r="I13" i="1"/>
  <c r="E13" i="1"/>
  <c r="I12" i="1"/>
  <c r="E12" i="1"/>
  <c r="I11" i="1"/>
  <c r="E11" i="1"/>
  <c r="I10" i="1"/>
  <c r="E10" i="1"/>
  <c r="I9" i="1"/>
  <c r="E9" i="1"/>
  <c r="I8" i="1"/>
  <c r="E8" i="1"/>
  <c r="I7" i="1"/>
  <c r="E7" i="1"/>
  <c r="E36" i="1" s="1"/>
  <c r="I6" i="1"/>
  <c r="E6" i="1"/>
  <c r="G390" i="1" l="1"/>
  <c r="I363" i="1"/>
  <c r="I390" i="1" s="1"/>
</calcChain>
</file>

<file path=xl/sharedStrings.xml><?xml version="1.0" encoding="utf-8"?>
<sst xmlns="http://schemas.openxmlformats.org/spreadsheetml/2006/main" count="157" uniqueCount="26">
  <si>
    <t>Generation Data April 2025 To March 2026</t>
  </si>
  <si>
    <t>Generation data Month of - April-25</t>
  </si>
  <si>
    <t xml:space="preserve">Date </t>
  </si>
  <si>
    <r>
      <rPr>
        <b/>
        <sz val="11"/>
        <color theme="1"/>
        <rFont val="Calibri"/>
        <family val="2"/>
        <scheme val="minor"/>
      </rPr>
      <t>Unit 1</t>
    </r>
    <r>
      <rPr>
        <b/>
        <vertAlign val="superscript"/>
        <sz val="11"/>
        <color theme="1"/>
        <rFont val="Calibri"/>
        <family val="2"/>
        <scheme val="minor"/>
      </rPr>
      <t>St</t>
    </r>
  </si>
  <si>
    <r>
      <rPr>
        <b/>
        <sz val="11"/>
        <color theme="1"/>
        <rFont val="Calibri"/>
        <family val="2"/>
        <scheme val="minor"/>
      </rPr>
      <t>Unit 2</t>
    </r>
    <r>
      <rPr>
        <b/>
        <vertAlign val="superscript"/>
        <sz val="11"/>
        <color theme="1"/>
        <rFont val="Calibri"/>
        <family val="2"/>
        <scheme val="minor"/>
      </rPr>
      <t>nd</t>
    </r>
    <r>
      <rPr>
        <b/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</si>
  <si>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>Unit 3</t>
    </r>
    <r>
      <rPr>
        <b/>
        <vertAlign val="superscript"/>
        <sz val="11"/>
        <color theme="1"/>
        <rFont val="Calibri"/>
        <family val="2"/>
        <scheme val="minor"/>
      </rPr>
      <t>rd</t>
    </r>
    <r>
      <rPr>
        <b/>
        <sz val="11"/>
        <color theme="1"/>
        <rFont val="Calibri"/>
        <family val="2"/>
        <scheme val="minor"/>
      </rPr>
      <t xml:space="preserve"> </t>
    </r>
  </si>
  <si>
    <t>Gross Generation in P/H</t>
  </si>
  <si>
    <t>Line Export from our end (TVM)</t>
  </si>
  <si>
    <t>Import at kotla End</t>
  </si>
  <si>
    <t>Export at kotla End</t>
  </si>
  <si>
    <t>Net Export at kotla End</t>
  </si>
  <si>
    <t xml:space="preserve">Aux. Consumption </t>
  </si>
  <si>
    <t xml:space="preserve">Remarks </t>
  </si>
  <si>
    <t>Total</t>
  </si>
  <si>
    <t>Generation data Month of - May-25</t>
  </si>
  <si>
    <t>Generation data Month of - June-25</t>
  </si>
  <si>
    <t>Generation data Month of - July-25</t>
  </si>
  <si>
    <t>Generation data Month of - Aug-25</t>
  </si>
  <si>
    <t>Generation data Month of - Sep-25</t>
  </si>
  <si>
    <t>Generation data Month of - Oct-25</t>
  </si>
  <si>
    <t>Export to kotla End</t>
  </si>
  <si>
    <t>Generation data Month of - Nov-25</t>
  </si>
  <si>
    <t>Generation data Month of - Dec-25</t>
  </si>
  <si>
    <t>Generation data Month of - Jan-26</t>
  </si>
  <si>
    <t>Generation data Month of - Feb-26</t>
  </si>
  <si>
    <t>Generation data Month of - March-26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</si>
</sst>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0.000"/>
  </numFmts>
  <fonts count="21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theme="1"/>
      <name val="Calibri"/>
      <family val="2"/>
      <scheme val="minor"/>
    </font>
    <font>
      <b/>
      <sz val="11"/>
      <color indexed="8"/>
      <name val="Times New Roman"/>
      <family val="1"/>
    </font>
    <font>
      <vertAlign val="superscript"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name val="Calibri"/>
      <family val="2"/>
    </font>
    <font>
      <b/>
      <sz val="12"/>
      <color theme="1"/>
      <name val="Calibri"/>
      <family val="2"/>
    </font>
    <font>
      <b/>
      <sz val="12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Calibri Light"/>
      <family val="1"/>
      <scheme val="major"/>
    </font>
    <font>
      <b/>
      <sz val="12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4">
    <xf numFmtId="0" fontId="0" fillId="0" borderId="0" xfId="0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15" fontId="5" fillId="0" borderId="12" xfId="0" applyNumberFormat="1" applyFont="1" applyBorder="1" applyAlignment="1">
      <alignment horizontal="center" vertical="center"/>
    </xf>
    <xf numFmtId="1" fontId="7" fillId="0" borderId="13" xfId="0" applyNumberFormat="1" applyFont="1" applyBorder="1" applyAlignment="1">
      <alignment horizontal="center" vertical="center"/>
    </xf>
    <xf numFmtId="1" fontId="5" fillId="0" borderId="14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8" fillId="0" borderId="0" xfId="0" applyFont="1"/>
    <xf numFmtId="164" fontId="2" fillId="0" borderId="15" xfId="0" applyNumberFormat="1" applyFont="1" applyBorder="1" applyAlignment="1">
      <alignment horizontal="center"/>
    </xf>
    <xf numFmtId="0" fontId="8" fillId="0" borderId="13" xfId="0" applyFont="1" applyBorder="1"/>
    <xf numFmtId="1" fontId="9" fillId="0" borderId="13" xfId="0" applyNumberFormat="1" applyFont="1" applyBorder="1" applyAlignment="1">
      <alignment horizontal="center" vertical="center"/>
    </xf>
    <xf numFmtId="0" fontId="10" fillId="0" borderId="0" xfId="0" applyFont="1"/>
    <xf numFmtId="1" fontId="9" fillId="0" borderId="10" xfId="0" applyNumberFormat="1" applyFont="1" applyBorder="1" applyAlignment="1">
      <alignment horizontal="center" vertical="center"/>
    </xf>
    <xf numFmtId="0" fontId="8" fillId="0" borderId="10" xfId="0" applyFont="1" applyBorder="1"/>
    <xf numFmtId="0" fontId="2" fillId="4" borderId="16" xfId="0" applyFont="1" applyFill="1" applyBorder="1" applyAlignment="1">
      <alignment horizontal="center" vertical="center"/>
    </xf>
    <xf numFmtId="1" fontId="5" fillId="0" borderId="17" xfId="0" applyNumberFormat="1" applyFont="1" applyBorder="1" applyAlignment="1">
      <alignment horizontal="center"/>
    </xf>
    <xf numFmtId="1" fontId="2" fillId="4" borderId="18" xfId="0" applyNumberFormat="1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0" fillId="0" borderId="22" xfId="0" applyBorder="1"/>
    <xf numFmtId="0" fontId="2" fillId="5" borderId="23" xfId="0" applyFont="1" applyFill="1" applyBorder="1" applyAlignment="1">
      <alignment horizontal="center" vertical="center"/>
    </xf>
    <xf numFmtId="1" fontId="5" fillId="5" borderId="24" xfId="0" applyNumberFormat="1" applyFont="1" applyFill="1" applyBorder="1" applyAlignment="1">
      <alignment horizontal="center"/>
    </xf>
    <xf numFmtId="1" fontId="2" fillId="5" borderId="3" xfId="0" applyNumberFormat="1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0" fontId="0" fillId="5" borderId="26" xfId="0" applyFill="1" applyBorder="1"/>
    <xf numFmtId="0" fontId="0" fillId="5" borderId="0" xfId="0" applyFill="1"/>
    <xf numFmtId="0" fontId="2" fillId="0" borderId="27" xfId="0" applyFont="1" applyBorder="1" applyAlignment="1">
      <alignment horizontal="center" vertical="center" wrapText="1"/>
    </xf>
    <xf numFmtId="1" fontId="7" fillId="0" borderId="28" xfId="0" applyNumberFormat="1" applyFont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/>
    </xf>
    <xf numFmtId="0" fontId="11" fillId="0" borderId="13" xfId="0" applyFont="1" applyBorder="1" applyAlignment="1">
      <alignment horizontal="center" vertical="center"/>
    </xf>
    <xf numFmtId="0" fontId="0" fillId="0" borderId="28" xfId="0" applyBorder="1"/>
    <xf numFmtId="0" fontId="0" fillId="0" borderId="13" xfId="0" applyBorder="1"/>
    <xf numFmtId="0" fontId="2" fillId="6" borderId="29" xfId="0" applyFont="1" applyFill="1" applyBorder="1" applyAlignment="1">
      <alignment horizontal="center" vertical="center"/>
    </xf>
    <xf numFmtId="0" fontId="12" fillId="6" borderId="9" xfId="0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/>
    </xf>
    <xf numFmtId="165" fontId="0" fillId="0" borderId="0" xfId="0" applyNumberFormat="1"/>
    <xf numFmtId="164" fontId="5" fillId="0" borderId="30" xfId="0" applyNumberFormat="1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0" fillId="0" borderId="31" xfId="0" applyBorder="1"/>
    <xf numFmtId="1" fontId="7" fillId="0" borderId="10" xfId="0" applyNumberFormat="1" applyFont="1" applyBorder="1" applyAlignment="1">
      <alignment horizontal="center" vertical="center"/>
    </xf>
    <xf numFmtId="0" fontId="11" fillId="0" borderId="14" xfId="0" applyFont="1" applyBorder="1" applyAlignment="1">
      <alignment horizontal="center"/>
    </xf>
    <xf numFmtId="0" fontId="0" fillId="0" borderId="11" xfId="0" applyBorder="1"/>
    <xf numFmtId="0" fontId="5" fillId="6" borderId="16" xfId="0" applyFont="1" applyFill="1" applyBorder="1" applyAlignment="1">
      <alignment horizontal="center" vertical="center"/>
    </xf>
    <xf numFmtId="1" fontId="12" fillId="6" borderId="18" xfId="0" applyNumberFormat="1" applyFont="1" applyFill="1" applyBorder="1" applyAlignment="1">
      <alignment horizontal="center"/>
    </xf>
    <xf numFmtId="0" fontId="13" fillId="6" borderId="18" xfId="0" applyFont="1" applyFill="1" applyBorder="1" applyAlignment="1">
      <alignment horizontal="center" vertical="center"/>
    </xf>
    <xf numFmtId="0" fontId="0" fillId="6" borderId="32" xfId="0" applyFill="1" applyBorder="1"/>
    <xf numFmtId="164" fontId="2" fillId="0" borderId="30" xfId="0" applyNumberFormat="1" applyFont="1" applyBorder="1" applyAlignment="1">
      <alignment horizontal="center"/>
    </xf>
    <xf numFmtId="0" fontId="7" fillId="0" borderId="13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14" fillId="6" borderId="18" xfId="0" applyFont="1" applyFill="1" applyBorder="1" applyAlignment="1">
      <alignment horizontal="center"/>
    </xf>
    <xf numFmtId="1" fontId="2" fillId="6" borderId="18" xfId="0" applyNumberFormat="1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2" fillId="6" borderId="33" xfId="0" applyFont="1" applyFill="1" applyBorder="1" applyAlignment="1">
      <alignment horizontal="center" vertical="center"/>
    </xf>
    <xf numFmtId="0" fontId="0" fillId="0" borderId="32" xfId="0" applyBorder="1"/>
    <xf numFmtId="164" fontId="2" fillId="0" borderId="34" xfId="0" applyNumberFormat="1" applyFont="1" applyBorder="1" applyAlignment="1">
      <alignment horizontal="center"/>
    </xf>
    <xf numFmtId="0" fontId="0" fillId="0" borderId="35" xfId="0" applyBorder="1"/>
    <xf numFmtId="0" fontId="2" fillId="0" borderId="0" xfId="0" applyFont="1" applyAlignment="1">
      <alignment horizontal="center" vertical="center"/>
    </xf>
    <xf numFmtId="1" fontId="14" fillId="6" borderId="18" xfId="0" applyNumberFormat="1" applyFont="1" applyFill="1" applyBorder="1" applyAlignment="1">
      <alignment horizontal="center"/>
    </xf>
    <xf numFmtId="1" fontId="14" fillId="6" borderId="36" xfId="0" applyNumberFormat="1" applyFont="1" applyFill="1" applyBorder="1" applyAlignment="1">
      <alignment horizontal="center"/>
    </xf>
    <xf numFmtId="0" fontId="15" fillId="6" borderId="18" xfId="0" applyFont="1" applyFill="1" applyBorder="1" applyAlignment="1">
      <alignment horizontal="center" vertical="center"/>
    </xf>
    <xf numFmtId="164" fontId="2" fillId="5" borderId="34" xfId="0" applyNumberFormat="1" applyFont="1" applyFill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1" fillId="6" borderId="18" xfId="0" applyFont="1" applyFill="1" applyBorder="1" applyAlignment="1">
      <alignment horizontal="center" vertical="center"/>
    </xf>
    <xf numFmtId="0" fontId="2" fillId="5" borderId="37" xfId="0" applyFont="1" applyFill="1" applyBorder="1" applyAlignment="1">
      <alignment horizontal="center" vertical="center"/>
    </xf>
    <xf numFmtId="1" fontId="5" fillId="5" borderId="0" xfId="0" applyNumberFormat="1" applyFont="1" applyFill="1" applyAlignment="1">
      <alignment horizontal="center"/>
    </xf>
    <xf numFmtId="1" fontId="2" fillId="5" borderId="14" xfId="0" applyNumberFormat="1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0" fontId="5" fillId="5" borderId="38" xfId="0" applyFont="1" applyFill="1" applyBorder="1" applyAlignment="1">
      <alignment horizontal="center" vertical="center"/>
    </xf>
    <xf numFmtId="0" fontId="2" fillId="5" borderId="38" xfId="0" applyFont="1" applyFill="1" applyBorder="1" applyAlignment="1">
      <alignment horizontal="center" vertical="center"/>
    </xf>
    <xf numFmtId="0" fontId="0" fillId="5" borderId="39" xfId="0" applyFill="1" applyBorder="1"/>
    <xf numFmtId="0" fontId="17" fillId="0" borderId="13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1" fontId="14" fillId="6" borderId="13" xfId="0" applyNumberFormat="1" applyFont="1" applyFill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6" borderId="13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/>
    </xf>
    <xf numFmtId="0" fontId="19" fillId="6" borderId="16" xfId="1" applyFont="1" applyFill="1" applyBorder="1" applyAlignment="1">
      <alignment horizontal="center" vertical="center"/>
    </xf>
    <xf numFmtId="0" fontId="14" fillId="6" borderId="13" xfId="0" applyFont="1" applyFill="1" applyBorder="1" applyAlignment="1">
      <alignment horizontal="center"/>
    </xf>
    <xf numFmtId="0" fontId="17" fillId="0" borderId="28" xfId="0" applyFont="1" applyBorder="1" applyAlignment="1">
      <alignment horizontal="center"/>
    </xf>
    <xf numFmtId="0" fontId="20" fillId="0" borderId="11" xfId="0" applyFont="1" applyBorder="1" applyAlignment="1">
      <alignment horizontal="left" wrapText="1"/>
    </xf>
    <xf numFmtId="0" fontId="20" fillId="0" borderId="35" xfId="0" applyFont="1" applyBorder="1" applyAlignment="1">
      <alignment horizontal="left" wrapText="1"/>
    </xf>
    <xf numFmtId="1" fontId="14" fillId="6" borderId="9" xfId="0" applyNumberFormat="1" applyFont="1" applyFill="1" applyBorder="1" applyAlignment="1">
      <alignment horizontal="center"/>
    </xf>
  </cellXfs>
  <cellStyles count="2">
    <cellStyle name="Good" xfId="1" builtinId="26"/>
    <cellStyle name="Normal" xfId="0" builtinId="0"/>
  </cellStyles>
  <dxfs count="2">
    <dxf>
      <fill>
        <patternFill>
          <bgColor theme="4" tint="0.39994506668294322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6"/>
  <sheetViews>
    <sheetView tabSelected="1" topLeftCell="A259" workbookViewId="0">
      <selection activeCell="C25" sqref="C25"/>
    </sheetView>
  </sheetViews>
  <sheetFormatPr defaultColWidth="9" defaultRowHeight="15" x14ac:dyDescent="0.25"/>
  <cols>
    <col min="1" max="1" width="13.85546875" customWidth="1"/>
    <col min="2" max="2" width="13.7109375" customWidth="1"/>
    <col min="3" max="3" width="16" customWidth="1"/>
    <col min="4" max="4" width="13" customWidth="1"/>
    <col min="5" max="5" width="14.42578125" customWidth="1"/>
    <col min="6" max="7" width="11.5703125" customWidth="1"/>
    <col min="8" max="8" width="12.85546875" customWidth="1"/>
    <col min="9" max="9" width="13.28515625" customWidth="1"/>
    <col min="10" max="10" width="13" customWidth="1"/>
    <col min="11" max="11" width="34.28515625" customWidth="1"/>
    <col min="12" max="12" width="12.5703125" customWidth="1"/>
  </cols>
  <sheetData>
    <row r="1" spans="1:14" ht="1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4" ht="15" customHeight="1" thickBo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4" ht="21.75" thickBot="1" x14ac:dyDescent="0.3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5"/>
    </row>
    <row r="4" spans="1:14" x14ac:dyDescent="0.25">
      <c r="A4" s="6" t="s">
        <v>2</v>
      </c>
      <c r="B4" s="7" t="s">
        <v>3</v>
      </c>
      <c r="C4" s="7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7" t="s">
        <v>11</v>
      </c>
      <c r="K4" s="9" t="s">
        <v>12</v>
      </c>
    </row>
    <row r="5" spans="1:14" ht="15.75" thickBot="1" x14ac:dyDescent="0.3">
      <c r="A5" s="10"/>
      <c r="B5" s="11"/>
      <c r="C5" s="11"/>
      <c r="D5" s="11"/>
      <c r="E5" s="12"/>
      <c r="F5" s="13"/>
      <c r="G5" s="13"/>
      <c r="H5" s="13"/>
      <c r="I5" s="13"/>
      <c r="J5" s="14"/>
      <c r="K5" s="15"/>
    </row>
    <row r="6" spans="1:14" ht="15.75" x14ac:dyDescent="0.25">
      <c r="A6" s="16">
        <v>45748</v>
      </c>
      <c r="B6" s="17">
        <v>0</v>
      </c>
      <c r="C6" s="17">
        <v>122184</v>
      </c>
      <c r="D6" s="17">
        <v>121824</v>
      </c>
      <c r="E6" s="18">
        <f t="shared" ref="E6:E35" si="0">B6+C6+D6</f>
        <v>244008</v>
      </c>
      <c r="F6" s="19">
        <v>241164</v>
      </c>
      <c r="G6" s="19">
        <v>0</v>
      </c>
      <c r="H6" s="19">
        <v>240000</v>
      </c>
      <c r="I6" s="19">
        <f>SUM(H6-G6)</f>
        <v>240000</v>
      </c>
      <c r="J6" s="19">
        <v>1451</v>
      </c>
      <c r="K6" s="19"/>
      <c r="L6" s="20"/>
    </row>
    <row r="7" spans="1:14" ht="15.75" x14ac:dyDescent="0.25">
      <c r="A7" s="21">
        <v>45749</v>
      </c>
      <c r="B7" s="17">
        <v>0</v>
      </c>
      <c r="C7" s="17">
        <v>118288</v>
      </c>
      <c r="D7" s="17">
        <v>118192</v>
      </c>
      <c r="E7" s="18">
        <f t="shared" si="0"/>
        <v>236480</v>
      </c>
      <c r="F7" s="19">
        <v>232632</v>
      </c>
      <c r="G7" s="19">
        <v>0</v>
      </c>
      <c r="H7" s="19">
        <v>471000</v>
      </c>
      <c r="I7" s="19">
        <f t="shared" ref="I7:I35" si="1">SUM(H7-G7)</f>
        <v>471000</v>
      </c>
      <c r="J7" s="19">
        <v>1438</v>
      </c>
      <c r="K7" s="22"/>
      <c r="L7" s="20"/>
    </row>
    <row r="8" spans="1:14" ht="15.75" x14ac:dyDescent="0.25">
      <c r="A8" s="16">
        <v>45750</v>
      </c>
      <c r="B8" s="17">
        <v>0</v>
      </c>
      <c r="C8" s="17">
        <v>109704</v>
      </c>
      <c r="D8" s="17">
        <v>109112</v>
      </c>
      <c r="E8" s="18">
        <f t="shared" si="0"/>
        <v>218816</v>
      </c>
      <c r="F8" s="19">
        <v>214992</v>
      </c>
      <c r="G8" s="19">
        <v>0</v>
      </c>
      <c r="H8" s="19">
        <v>687000</v>
      </c>
      <c r="I8" s="19">
        <f t="shared" si="1"/>
        <v>687000</v>
      </c>
      <c r="J8" s="19">
        <v>1438</v>
      </c>
      <c r="K8" s="22"/>
      <c r="L8" s="20"/>
    </row>
    <row r="9" spans="1:14" ht="15.75" x14ac:dyDescent="0.25">
      <c r="A9" s="21">
        <v>45751</v>
      </c>
      <c r="B9" s="17">
        <v>0</v>
      </c>
      <c r="C9" s="17">
        <v>5104</v>
      </c>
      <c r="D9" s="17">
        <v>199560</v>
      </c>
      <c r="E9" s="18">
        <f t="shared" si="0"/>
        <v>204664</v>
      </c>
      <c r="F9" s="19">
        <v>201636</v>
      </c>
      <c r="G9" s="19">
        <v>0</v>
      </c>
      <c r="H9" s="19">
        <v>885000</v>
      </c>
      <c r="I9" s="19">
        <f t="shared" si="1"/>
        <v>885000</v>
      </c>
      <c r="J9" s="19">
        <v>1238</v>
      </c>
      <c r="K9" s="22"/>
      <c r="L9" s="20"/>
    </row>
    <row r="10" spans="1:14" ht="15.75" x14ac:dyDescent="0.25">
      <c r="A10" s="16">
        <v>45752</v>
      </c>
      <c r="B10" s="17">
        <v>0</v>
      </c>
      <c r="C10" s="17">
        <v>30920</v>
      </c>
      <c r="D10" s="17">
        <v>190328</v>
      </c>
      <c r="E10" s="18">
        <f t="shared" si="0"/>
        <v>221248</v>
      </c>
      <c r="F10" s="19">
        <v>217908</v>
      </c>
      <c r="G10" s="19">
        <v>0</v>
      </c>
      <c r="H10" s="19">
        <v>1101000</v>
      </c>
      <c r="I10" s="19">
        <f t="shared" si="1"/>
        <v>1101000</v>
      </c>
      <c r="J10" s="19">
        <v>1265</v>
      </c>
      <c r="K10" s="22"/>
      <c r="L10" s="20"/>
    </row>
    <row r="11" spans="1:14" ht="15.75" x14ac:dyDescent="0.25">
      <c r="A11" s="21">
        <v>45753</v>
      </c>
      <c r="B11" s="17">
        <v>0</v>
      </c>
      <c r="C11" s="17">
        <v>138720</v>
      </c>
      <c r="D11" s="17">
        <v>138424</v>
      </c>
      <c r="E11" s="18">
        <f t="shared" si="0"/>
        <v>277144</v>
      </c>
      <c r="F11" s="19">
        <v>272556</v>
      </c>
      <c r="G11" s="19">
        <v>0</v>
      </c>
      <c r="H11" s="19">
        <v>1371000</v>
      </c>
      <c r="I11" s="19">
        <f t="shared" si="1"/>
        <v>1371000</v>
      </c>
      <c r="J11" s="19">
        <v>1427</v>
      </c>
      <c r="K11" s="22"/>
      <c r="L11" s="20"/>
    </row>
    <row r="12" spans="1:14" ht="15.75" x14ac:dyDescent="0.25">
      <c r="A12" s="16">
        <v>45754</v>
      </c>
      <c r="B12" s="17">
        <v>0</v>
      </c>
      <c r="C12" s="17">
        <v>166968</v>
      </c>
      <c r="D12" s="17">
        <v>167200</v>
      </c>
      <c r="E12" s="18">
        <f t="shared" si="0"/>
        <v>334168</v>
      </c>
      <c r="F12" s="19">
        <v>329796</v>
      </c>
      <c r="G12" s="19">
        <v>0</v>
      </c>
      <c r="H12" s="19">
        <v>1698000</v>
      </c>
      <c r="I12" s="19">
        <f t="shared" si="1"/>
        <v>1698000</v>
      </c>
      <c r="J12" s="19">
        <v>1472</v>
      </c>
      <c r="K12" s="22"/>
      <c r="L12" s="20"/>
    </row>
    <row r="13" spans="1:14" ht="15.75" x14ac:dyDescent="0.25">
      <c r="A13" s="21">
        <v>45755</v>
      </c>
      <c r="B13" s="17">
        <v>0</v>
      </c>
      <c r="C13" s="17">
        <v>164880</v>
      </c>
      <c r="D13" s="17">
        <v>166864</v>
      </c>
      <c r="E13" s="18">
        <f t="shared" si="0"/>
        <v>331744</v>
      </c>
      <c r="F13" s="19">
        <v>327780</v>
      </c>
      <c r="G13" s="19">
        <v>0</v>
      </c>
      <c r="H13" s="19">
        <v>2022000</v>
      </c>
      <c r="I13" s="19">
        <f t="shared" si="1"/>
        <v>2022000</v>
      </c>
      <c r="J13" s="19">
        <v>1434</v>
      </c>
      <c r="K13" s="22"/>
      <c r="L13" s="20"/>
    </row>
    <row r="14" spans="1:14" ht="15.75" x14ac:dyDescent="0.25">
      <c r="A14" s="16">
        <v>45756</v>
      </c>
      <c r="B14" s="17">
        <v>77876</v>
      </c>
      <c r="C14" s="23">
        <v>157944</v>
      </c>
      <c r="D14" s="23">
        <v>79664</v>
      </c>
      <c r="E14" s="18">
        <f t="shared" si="0"/>
        <v>315484</v>
      </c>
      <c r="F14" s="19">
        <v>311148</v>
      </c>
      <c r="G14" s="19">
        <v>0</v>
      </c>
      <c r="H14" s="19">
        <v>2331000</v>
      </c>
      <c r="I14" s="19">
        <f t="shared" si="1"/>
        <v>2331000</v>
      </c>
      <c r="J14" s="19">
        <v>1420</v>
      </c>
      <c r="K14" s="22"/>
      <c r="L14" s="20"/>
    </row>
    <row r="15" spans="1:14" ht="15.75" x14ac:dyDescent="0.25">
      <c r="A15" s="21">
        <v>45757</v>
      </c>
      <c r="B15" s="17">
        <v>161848</v>
      </c>
      <c r="C15" s="23">
        <v>160280</v>
      </c>
      <c r="D15" s="23">
        <v>0</v>
      </c>
      <c r="E15" s="18">
        <f t="shared" si="0"/>
        <v>322128</v>
      </c>
      <c r="F15" s="19">
        <v>316764</v>
      </c>
      <c r="G15" s="19">
        <v>0</v>
      </c>
      <c r="H15" s="19">
        <v>2643000</v>
      </c>
      <c r="I15" s="19">
        <f t="shared" si="1"/>
        <v>2643000</v>
      </c>
      <c r="J15" s="19">
        <v>1376</v>
      </c>
      <c r="K15" s="22"/>
      <c r="L15" s="20"/>
    </row>
    <row r="16" spans="1:14" ht="17.25" x14ac:dyDescent="0.25">
      <c r="A16" s="16">
        <v>45758</v>
      </c>
      <c r="B16" s="23">
        <v>158172</v>
      </c>
      <c r="C16" s="23">
        <v>158384</v>
      </c>
      <c r="D16" s="23">
        <v>0</v>
      </c>
      <c r="E16" s="18">
        <f t="shared" si="0"/>
        <v>316556</v>
      </c>
      <c r="F16" s="19">
        <v>311400</v>
      </c>
      <c r="G16" s="19">
        <v>0</v>
      </c>
      <c r="H16" s="19">
        <v>2949000</v>
      </c>
      <c r="I16" s="19">
        <f t="shared" si="1"/>
        <v>2949000</v>
      </c>
      <c r="J16" s="19">
        <v>1387</v>
      </c>
      <c r="K16" s="22"/>
      <c r="L16" s="20"/>
      <c r="N16" s="24"/>
    </row>
    <row r="17" spans="1:12" ht="15.75" x14ac:dyDescent="0.25">
      <c r="A17" s="21">
        <v>45759</v>
      </c>
      <c r="B17" s="23">
        <v>146752</v>
      </c>
      <c r="C17" s="23">
        <v>146832</v>
      </c>
      <c r="D17" s="23">
        <v>0</v>
      </c>
      <c r="E17" s="18">
        <f t="shared" si="0"/>
        <v>293584</v>
      </c>
      <c r="F17" s="19">
        <v>288396</v>
      </c>
      <c r="G17" s="19">
        <v>0</v>
      </c>
      <c r="H17" s="19">
        <v>3237000</v>
      </c>
      <c r="I17" s="19">
        <f t="shared" si="1"/>
        <v>3237000</v>
      </c>
      <c r="J17" s="19">
        <v>1382</v>
      </c>
      <c r="K17" s="22"/>
      <c r="L17" s="20"/>
    </row>
    <row r="18" spans="1:12" ht="15.75" x14ac:dyDescent="0.25">
      <c r="A18" s="16">
        <v>45760</v>
      </c>
      <c r="B18" s="23">
        <v>137576</v>
      </c>
      <c r="C18" s="23">
        <v>137472</v>
      </c>
      <c r="D18" s="23">
        <v>0</v>
      </c>
      <c r="E18" s="18">
        <f t="shared" si="0"/>
        <v>275048</v>
      </c>
      <c r="F18" s="19">
        <v>270036</v>
      </c>
      <c r="G18" s="19">
        <v>0</v>
      </c>
      <c r="H18" s="19">
        <v>3504000</v>
      </c>
      <c r="I18" s="19">
        <f t="shared" si="1"/>
        <v>3504000</v>
      </c>
      <c r="J18" s="19">
        <v>1404</v>
      </c>
      <c r="K18" s="22"/>
      <c r="L18" s="20"/>
    </row>
    <row r="19" spans="1:12" ht="15.75" x14ac:dyDescent="0.25">
      <c r="A19" s="21">
        <v>45761</v>
      </c>
      <c r="B19" s="23">
        <v>152168</v>
      </c>
      <c r="C19" s="23">
        <v>152240</v>
      </c>
      <c r="D19" s="23">
        <v>0</v>
      </c>
      <c r="E19" s="18">
        <f t="shared" si="0"/>
        <v>304408</v>
      </c>
      <c r="F19" s="19">
        <v>299196</v>
      </c>
      <c r="G19" s="19">
        <v>0</v>
      </c>
      <c r="H19" s="19">
        <v>3798000</v>
      </c>
      <c r="I19" s="19">
        <f t="shared" si="1"/>
        <v>3798000</v>
      </c>
      <c r="J19" s="19">
        <v>1373</v>
      </c>
      <c r="K19" s="22"/>
      <c r="L19" s="20"/>
    </row>
    <row r="20" spans="1:12" ht="15.75" x14ac:dyDescent="0.25">
      <c r="A20" s="16">
        <v>45762</v>
      </c>
      <c r="B20" s="23">
        <v>174640</v>
      </c>
      <c r="C20" s="23">
        <v>174520</v>
      </c>
      <c r="D20" s="23">
        <v>0</v>
      </c>
      <c r="E20" s="18">
        <f t="shared" si="0"/>
        <v>349160</v>
      </c>
      <c r="F20" s="19">
        <v>343620</v>
      </c>
      <c r="G20" s="19">
        <v>0</v>
      </c>
      <c r="H20" s="19">
        <v>4137000</v>
      </c>
      <c r="I20" s="19">
        <f t="shared" si="1"/>
        <v>4137000</v>
      </c>
      <c r="J20" s="19">
        <v>1312</v>
      </c>
      <c r="K20" s="22"/>
      <c r="L20" s="20"/>
    </row>
    <row r="21" spans="1:12" ht="15.75" x14ac:dyDescent="0.25">
      <c r="A21" s="21">
        <v>45763</v>
      </c>
      <c r="B21" s="23">
        <v>171012</v>
      </c>
      <c r="C21" s="23">
        <v>170896</v>
      </c>
      <c r="D21" s="23">
        <v>31104</v>
      </c>
      <c r="E21" s="18">
        <f>B21+C21+D21</f>
        <v>373012</v>
      </c>
      <c r="F21" s="19">
        <v>367344</v>
      </c>
      <c r="G21" s="19">
        <v>0</v>
      </c>
      <c r="H21" s="19">
        <v>4500000</v>
      </c>
      <c r="I21" s="19">
        <f t="shared" si="1"/>
        <v>4500000</v>
      </c>
      <c r="J21" s="19">
        <v>1303</v>
      </c>
      <c r="K21" s="22"/>
      <c r="L21" s="20"/>
    </row>
    <row r="22" spans="1:12" ht="15.75" x14ac:dyDescent="0.25">
      <c r="A22" s="16">
        <v>45764</v>
      </c>
      <c r="B22" s="23">
        <v>142010</v>
      </c>
      <c r="C22" s="23">
        <v>142056</v>
      </c>
      <c r="D22" s="23">
        <v>142192</v>
      </c>
      <c r="E22" s="18">
        <f t="shared" si="0"/>
        <v>426258</v>
      </c>
      <c r="F22" s="19">
        <v>421164</v>
      </c>
      <c r="G22" s="19">
        <v>0</v>
      </c>
      <c r="H22" s="19">
        <v>4914000</v>
      </c>
      <c r="I22" s="19">
        <f t="shared" si="1"/>
        <v>4914000</v>
      </c>
      <c r="J22" s="19">
        <v>1396</v>
      </c>
      <c r="K22" s="22"/>
      <c r="L22" s="20"/>
    </row>
    <row r="23" spans="1:12" ht="15.75" x14ac:dyDescent="0.25">
      <c r="A23" s="21">
        <v>45765</v>
      </c>
      <c r="B23" s="23">
        <v>142288</v>
      </c>
      <c r="C23" s="23">
        <v>142152</v>
      </c>
      <c r="D23" s="23">
        <v>142376</v>
      </c>
      <c r="E23" s="18">
        <f t="shared" si="0"/>
        <v>426816</v>
      </c>
      <c r="F23" s="19">
        <v>421668</v>
      </c>
      <c r="G23" s="19">
        <v>0</v>
      </c>
      <c r="H23" s="19">
        <v>5331000</v>
      </c>
      <c r="I23" s="19">
        <f t="shared" si="1"/>
        <v>5331000</v>
      </c>
      <c r="J23" s="19">
        <v>1400</v>
      </c>
      <c r="K23" s="22"/>
      <c r="L23" s="20"/>
    </row>
    <row r="24" spans="1:12" ht="15.75" x14ac:dyDescent="0.25">
      <c r="A24" s="16">
        <v>45766</v>
      </c>
      <c r="B24" s="23">
        <v>142850</v>
      </c>
      <c r="C24" s="23">
        <v>142800</v>
      </c>
      <c r="D24" s="23">
        <v>142664</v>
      </c>
      <c r="E24" s="18">
        <f t="shared" si="0"/>
        <v>428314</v>
      </c>
      <c r="F24" s="19">
        <v>423720</v>
      </c>
      <c r="G24" s="19">
        <v>0</v>
      </c>
      <c r="H24" s="19">
        <v>5748000</v>
      </c>
      <c r="I24" s="19">
        <f t="shared" si="1"/>
        <v>5748000</v>
      </c>
      <c r="J24" s="19">
        <v>1384</v>
      </c>
      <c r="K24" s="22"/>
      <c r="L24" s="20"/>
    </row>
    <row r="25" spans="1:12" ht="15.75" x14ac:dyDescent="0.25">
      <c r="A25" s="21">
        <v>45767</v>
      </c>
      <c r="B25" s="23">
        <v>137212</v>
      </c>
      <c r="C25" s="23">
        <v>137576</v>
      </c>
      <c r="D25" s="23">
        <v>137424</v>
      </c>
      <c r="E25" s="18">
        <f t="shared" si="0"/>
        <v>412212</v>
      </c>
      <c r="F25" s="19">
        <v>406584</v>
      </c>
      <c r="G25" s="19">
        <v>0</v>
      </c>
      <c r="H25" s="19">
        <v>6150000</v>
      </c>
      <c r="I25" s="19">
        <f t="shared" si="1"/>
        <v>6150000</v>
      </c>
      <c r="J25" s="19">
        <v>1409</v>
      </c>
      <c r="K25" s="22"/>
      <c r="L25" s="20"/>
    </row>
    <row r="26" spans="1:12" ht="15.75" x14ac:dyDescent="0.25">
      <c r="A26" s="16">
        <v>45768</v>
      </c>
      <c r="B26" s="23">
        <v>137568</v>
      </c>
      <c r="C26" s="23">
        <v>137464</v>
      </c>
      <c r="D26" s="23">
        <v>137592</v>
      </c>
      <c r="E26" s="18">
        <f t="shared" si="0"/>
        <v>412624</v>
      </c>
      <c r="F26" s="19">
        <v>407772</v>
      </c>
      <c r="G26" s="19">
        <v>0</v>
      </c>
      <c r="H26" s="19">
        <v>6549000</v>
      </c>
      <c r="I26" s="19">
        <f t="shared" si="1"/>
        <v>6549000</v>
      </c>
      <c r="J26" s="19">
        <v>1428</v>
      </c>
      <c r="K26" s="22"/>
      <c r="L26" s="20"/>
    </row>
    <row r="27" spans="1:12" ht="15.75" x14ac:dyDescent="0.25">
      <c r="A27" s="21">
        <v>45769</v>
      </c>
      <c r="B27" s="23">
        <v>129060</v>
      </c>
      <c r="C27" s="23">
        <v>129456</v>
      </c>
      <c r="D27" s="23">
        <v>129488</v>
      </c>
      <c r="E27" s="18">
        <f t="shared" si="0"/>
        <v>388004</v>
      </c>
      <c r="F27" s="19">
        <v>383472</v>
      </c>
      <c r="G27" s="19">
        <v>0</v>
      </c>
      <c r="H27" s="19">
        <v>6930000</v>
      </c>
      <c r="I27" s="19">
        <f t="shared" si="1"/>
        <v>6930000</v>
      </c>
      <c r="J27" s="19">
        <v>1400</v>
      </c>
      <c r="K27" s="22"/>
      <c r="L27" s="20"/>
    </row>
    <row r="28" spans="1:12" ht="15.75" x14ac:dyDescent="0.25">
      <c r="A28" s="16">
        <v>45770</v>
      </c>
      <c r="B28" s="23">
        <v>125408</v>
      </c>
      <c r="C28" s="23">
        <v>126496</v>
      </c>
      <c r="D28" s="23">
        <v>126728</v>
      </c>
      <c r="E28" s="18">
        <f t="shared" si="0"/>
        <v>378632</v>
      </c>
      <c r="F28" s="19">
        <v>373932</v>
      </c>
      <c r="G28" s="19">
        <v>0</v>
      </c>
      <c r="H28" s="19">
        <v>7299000</v>
      </c>
      <c r="I28" s="19">
        <f t="shared" si="1"/>
        <v>7299000</v>
      </c>
      <c r="J28" s="19">
        <v>1440</v>
      </c>
      <c r="K28" s="22"/>
      <c r="L28" s="20"/>
    </row>
    <row r="29" spans="1:12" ht="15.75" x14ac:dyDescent="0.25">
      <c r="A29" s="21">
        <v>45771</v>
      </c>
      <c r="B29" s="23">
        <v>122128</v>
      </c>
      <c r="C29" s="23">
        <v>122040</v>
      </c>
      <c r="D29" s="23">
        <v>111240</v>
      </c>
      <c r="E29" s="18">
        <f t="shared" si="0"/>
        <v>355408</v>
      </c>
      <c r="F29" s="19">
        <v>351144</v>
      </c>
      <c r="G29" s="19">
        <v>0</v>
      </c>
      <c r="H29" s="19">
        <v>7644000</v>
      </c>
      <c r="I29" s="19">
        <f t="shared" si="1"/>
        <v>7644000</v>
      </c>
      <c r="J29" s="19">
        <v>1394</v>
      </c>
      <c r="K29" s="22"/>
      <c r="L29" s="20"/>
    </row>
    <row r="30" spans="1:12" ht="15.75" x14ac:dyDescent="0.25">
      <c r="A30" s="16">
        <v>45772</v>
      </c>
      <c r="B30" s="23">
        <v>157840</v>
      </c>
      <c r="C30" s="23">
        <v>156952</v>
      </c>
      <c r="D30" s="23">
        <v>0</v>
      </c>
      <c r="E30" s="18">
        <f t="shared" si="0"/>
        <v>314792</v>
      </c>
      <c r="F30" s="19">
        <v>309708</v>
      </c>
      <c r="G30" s="19">
        <v>0</v>
      </c>
      <c r="H30" s="19">
        <v>7950000</v>
      </c>
      <c r="I30" s="19">
        <f t="shared" si="1"/>
        <v>7950000</v>
      </c>
      <c r="J30" s="19">
        <v>1230</v>
      </c>
      <c r="K30" s="22"/>
      <c r="L30" s="20"/>
    </row>
    <row r="31" spans="1:12" ht="15.75" x14ac:dyDescent="0.25">
      <c r="A31" s="21">
        <v>45773</v>
      </c>
      <c r="B31" s="23">
        <v>157794</v>
      </c>
      <c r="C31" s="23">
        <v>157784</v>
      </c>
      <c r="D31" s="23">
        <v>0</v>
      </c>
      <c r="E31" s="18">
        <f t="shared" si="0"/>
        <v>315578</v>
      </c>
      <c r="F31" s="19">
        <v>310356</v>
      </c>
      <c r="G31" s="19">
        <v>0</v>
      </c>
      <c r="H31" s="19">
        <v>8259000</v>
      </c>
      <c r="I31" s="19">
        <f t="shared" si="1"/>
        <v>8259000</v>
      </c>
      <c r="J31" s="19">
        <v>1214</v>
      </c>
      <c r="K31" s="22"/>
      <c r="L31" s="20"/>
    </row>
    <row r="32" spans="1:12" ht="15.75" x14ac:dyDescent="0.25">
      <c r="A32" s="16">
        <v>45774</v>
      </c>
      <c r="B32" s="23">
        <v>159238</v>
      </c>
      <c r="C32" s="23">
        <v>159600</v>
      </c>
      <c r="D32" s="23">
        <v>0</v>
      </c>
      <c r="E32" s="18">
        <f t="shared" si="0"/>
        <v>318838</v>
      </c>
      <c r="F32" s="19">
        <v>313416</v>
      </c>
      <c r="G32" s="19">
        <v>0</v>
      </c>
      <c r="H32" s="19">
        <v>8568000</v>
      </c>
      <c r="I32" s="19">
        <f t="shared" si="1"/>
        <v>8568000</v>
      </c>
      <c r="J32" s="19">
        <v>1228</v>
      </c>
      <c r="K32" s="22"/>
      <c r="L32" s="20"/>
    </row>
    <row r="33" spans="1:12" ht="15.75" x14ac:dyDescent="0.25">
      <c r="A33" s="21">
        <v>45775</v>
      </c>
      <c r="B33" s="23">
        <v>166208</v>
      </c>
      <c r="C33" s="23">
        <v>166008</v>
      </c>
      <c r="D33" s="23">
        <v>30408</v>
      </c>
      <c r="E33" s="18">
        <f t="shared" si="0"/>
        <v>362624</v>
      </c>
      <c r="F33" s="19">
        <v>357372</v>
      </c>
      <c r="G33" s="19">
        <v>0</v>
      </c>
      <c r="H33" s="19">
        <v>8919000</v>
      </c>
      <c r="I33" s="19">
        <f t="shared" si="1"/>
        <v>8919000</v>
      </c>
      <c r="J33" s="19">
        <v>1274</v>
      </c>
      <c r="K33" s="22"/>
      <c r="L33" s="20"/>
    </row>
    <row r="34" spans="1:12" ht="18" customHeight="1" x14ac:dyDescent="0.25">
      <c r="A34" s="16">
        <v>45776</v>
      </c>
      <c r="B34" s="23">
        <v>163722</v>
      </c>
      <c r="C34" s="23">
        <v>163520</v>
      </c>
      <c r="D34" s="23">
        <v>108896</v>
      </c>
      <c r="E34" s="18">
        <f t="shared" si="0"/>
        <v>436138</v>
      </c>
      <c r="F34" s="19">
        <v>430488</v>
      </c>
      <c r="G34" s="19">
        <v>0</v>
      </c>
      <c r="H34" s="19">
        <v>9345000</v>
      </c>
      <c r="I34" s="19">
        <f t="shared" si="1"/>
        <v>9345000</v>
      </c>
      <c r="J34" s="19">
        <v>1390</v>
      </c>
      <c r="K34" s="22"/>
      <c r="L34" s="20"/>
    </row>
    <row r="35" spans="1:12" ht="15.75" customHeight="1" thickBot="1" x14ac:dyDescent="0.3">
      <c r="A35" s="21">
        <v>45777</v>
      </c>
      <c r="B35" s="25">
        <v>158354</v>
      </c>
      <c r="C35" s="25">
        <v>158056</v>
      </c>
      <c r="D35" s="25">
        <v>158224</v>
      </c>
      <c r="E35" s="18">
        <f t="shared" si="0"/>
        <v>474634</v>
      </c>
      <c r="F35" s="19">
        <v>469368</v>
      </c>
      <c r="G35" s="19">
        <v>0</v>
      </c>
      <c r="H35" s="19">
        <v>9801000</v>
      </c>
      <c r="I35" s="19">
        <f t="shared" si="1"/>
        <v>9801000</v>
      </c>
      <c r="J35" s="19">
        <v>1425</v>
      </c>
      <c r="K35" s="26"/>
      <c r="L35" s="20"/>
    </row>
    <row r="36" spans="1:12" ht="16.5" thickBot="1" x14ac:dyDescent="0.3">
      <c r="A36" s="27" t="s">
        <v>13</v>
      </c>
      <c r="B36" s="28">
        <f t="shared" ref="B36:H36" si="2">SUM(B6:B35)</f>
        <v>3221724</v>
      </c>
      <c r="C36" s="28">
        <f t="shared" si="2"/>
        <v>4157296</v>
      </c>
      <c r="D36" s="28">
        <f t="shared" si="2"/>
        <v>2689504</v>
      </c>
      <c r="E36" s="29">
        <f t="shared" si="2"/>
        <v>10068524</v>
      </c>
      <c r="F36" s="30">
        <f t="shared" si="2"/>
        <v>9926532</v>
      </c>
      <c r="G36" s="30">
        <f t="shared" si="2"/>
        <v>0</v>
      </c>
      <c r="H36" s="31">
        <f t="shared" si="2"/>
        <v>138981000</v>
      </c>
      <c r="I36" s="32"/>
      <c r="J36" s="33">
        <f>SUM(J6:J35)</f>
        <v>41132</v>
      </c>
      <c r="K36" s="34"/>
    </row>
    <row r="37" spans="1:12" s="43" customFormat="1" ht="16.5" thickBot="1" x14ac:dyDescent="0.3">
      <c r="A37" s="35"/>
      <c r="B37" s="36"/>
      <c r="C37" s="36"/>
      <c r="D37" s="36"/>
      <c r="E37" s="37"/>
      <c r="F37" s="38"/>
      <c r="G37" s="38"/>
      <c r="H37" s="39"/>
      <c r="I37" s="40"/>
      <c r="J37" s="41"/>
      <c r="K37" s="42"/>
    </row>
    <row r="38" spans="1:12" ht="21.75" thickBot="1" x14ac:dyDescent="0.3">
      <c r="A38" s="3" t="s">
        <v>14</v>
      </c>
      <c r="B38" s="4"/>
      <c r="C38" s="4"/>
      <c r="D38" s="4"/>
      <c r="E38" s="4"/>
      <c r="F38" s="4"/>
      <c r="G38" s="4"/>
      <c r="H38" s="4"/>
      <c r="I38" s="4"/>
      <c r="J38" s="4"/>
      <c r="K38" s="5"/>
    </row>
    <row r="39" spans="1:12" x14ac:dyDescent="0.25">
      <c r="A39" s="6" t="s">
        <v>2</v>
      </c>
      <c r="B39" s="7" t="s">
        <v>3</v>
      </c>
      <c r="C39" s="7" t="s">
        <v>4</v>
      </c>
      <c r="D39" s="7" t="s">
        <v>5</v>
      </c>
      <c r="E39" s="8" t="s">
        <v>6</v>
      </c>
      <c r="F39" s="8" t="s">
        <v>7</v>
      </c>
      <c r="G39" s="8" t="s">
        <v>8</v>
      </c>
      <c r="H39" s="8" t="s">
        <v>9</v>
      </c>
      <c r="I39" s="8" t="s">
        <v>10</v>
      </c>
      <c r="J39" s="7" t="s">
        <v>11</v>
      </c>
      <c r="K39" s="9" t="s">
        <v>12</v>
      </c>
    </row>
    <row r="40" spans="1:12" ht="15.75" thickBot="1" x14ac:dyDescent="0.3">
      <c r="A40" s="10"/>
      <c r="B40" s="11"/>
      <c r="C40" s="11"/>
      <c r="D40" s="11"/>
      <c r="E40" s="13"/>
      <c r="F40" s="12"/>
      <c r="G40" s="13"/>
      <c r="H40" s="13"/>
      <c r="I40" s="13"/>
      <c r="J40" s="14"/>
      <c r="K40" s="44"/>
    </row>
    <row r="41" spans="1:12" ht="15.75" x14ac:dyDescent="0.25">
      <c r="A41" s="21">
        <v>45778</v>
      </c>
      <c r="B41" s="45">
        <v>161960</v>
      </c>
      <c r="C41" s="45">
        <v>161984</v>
      </c>
      <c r="D41" s="45">
        <v>162128</v>
      </c>
      <c r="E41" s="46">
        <f>B41+C41+D41</f>
        <v>486072</v>
      </c>
      <c r="F41" s="47">
        <v>479412</v>
      </c>
      <c r="G41" s="19">
        <v>0</v>
      </c>
      <c r="H41" s="48">
        <v>474000</v>
      </c>
      <c r="I41" s="19">
        <f>SUM(H41-G41)</f>
        <v>474000</v>
      </c>
      <c r="J41" s="48">
        <v>1500</v>
      </c>
      <c r="K41" s="49"/>
    </row>
    <row r="42" spans="1:12" ht="15.75" x14ac:dyDescent="0.25">
      <c r="A42" s="21">
        <v>45779</v>
      </c>
      <c r="B42" s="17">
        <v>147796</v>
      </c>
      <c r="C42" s="17">
        <v>150752</v>
      </c>
      <c r="D42" s="17">
        <v>109976</v>
      </c>
      <c r="E42" s="46">
        <f>B42+C42+D42</f>
        <v>408524</v>
      </c>
      <c r="F42" s="47">
        <v>403632</v>
      </c>
      <c r="G42" s="19">
        <v>0</v>
      </c>
      <c r="H42" s="48">
        <v>399000</v>
      </c>
      <c r="I42" s="19">
        <f t="shared" ref="I42:I71" si="3">SUM(H42-G42)</f>
        <v>399000</v>
      </c>
      <c r="J42" s="47">
        <v>1400</v>
      </c>
      <c r="K42" s="50"/>
    </row>
    <row r="43" spans="1:12" ht="15.75" x14ac:dyDescent="0.25">
      <c r="A43" s="21">
        <v>45780</v>
      </c>
      <c r="B43" s="17">
        <v>172730</v>
      </c>
      <c r="C43" s="17">
        <v>70512</v>
      </c>
      <c r="D43" s="17">
        <v>102280</v>
      </c>
      <c r="E43" s="46">
        <f t="shared" ref="E43:E70" si="4">B43+C43+D43</f>
        <v>345522</v>
      </c>
      <c r="F43" s="47">
        <v>340632</v>
      </c>
      <c r="G43" s="19">
        <v>0</v>
      </c>
      <c r="H43" s="48">
        <v>336000</v>
      </c>
      <c r="I43" s="19">
        <f t="shared" si="3"/>
        <v>336000</v>
      </c>
      <c r="J43" s="47">
        <v>1242</v>
      </c>
      <c r="K43" s="50"/>
    </row>
    <row r="44" spans="1:12" ht="15.75" x14ac:dyDescent="0.25">
      <c r="A44" s="21">
        <v>45781</v>
      </c>
      <c r="B44" s="17">
        <v>159574</v>
      </c>
      <c r="C44" s="17">
        <v>0</v>
      </c>
      <c r="D44" s="17">
        <v>159168</v>
      </c>
      <c r="E44" s="46">
        <f t="shared" si="4"/>
        <v>318742</v>
      </c>
      <c r="F44" s="47">
        <v>315000</v>
      </c>
      <c r="G44" s="19">
        <v>0</v>
      </c>
      <c r="H44" s="48">
        <v>312000</v>
      </c>
      <c r="I44" s="19">
        <f t="shared" si="3"/>
        <v>312000</v>
      </c>
      <c r="J44" s="47">
        <v>1263</v>
      </c>
      <c r="K44" s="50"/>
    </row>
    <row r="45" spans="1:12" ht="15.75" x14ac:dyDescent="0.25">
      <c r="A45" s="21">
        <v>45782</v>
      </c>
      <c r="B45" s="17">
        <v>148468</v>
      </c>
      <c r="C45" s="17">
        <v>0</v>
      </c>
      <c r="D45" s="17">
        <v>148520</v>
      </c>
      <c r="E45" s="46">
        <f t="shared" si="4"/>
        <v>296988</v>
      </c>
      <c r="F45" s="47">
        <v>293220</v>
      </c>
      <c r="G45" s="19">
        <v>0</v>
      </c>
      <c r="H45" s="48">
        <v>291000</v>
      </c>
      <c r="I45" s="19">
        <f t="shared" si="3"/>
        <v>291000</v>
      </c>
      <c r="J45" s="47">
        <v>1250</v>
      </c>
      <c r="K45" s="50"/>
    </row>
    <row r="46" spans="1:12" ht="15.75" x14ac:dyDescent="0.25">
      <c r="A46" s="21">
        <v>45783</v>
      </c>
      <c r="B46" s="17">
        <v>143874</v>
      </c>
      <c r="C46" s="17">
        <v>0</v>
      </c>
      <c r="D46" s="17">
        <v>143712</v>
      </c>
      <c r="E46" s="46">
        <f t="shared" si="4"/>
        <v>287586</v>
      </c>
      <c r="F46" s="47">
        <v>283716</v>
      </c>
      <c r="G46" s="19">
        <v>0</v>
      </c>
      <c r="H46" s="48">
        <v>279000</v>
      </c>
      <c r="I46" s="19">
        <f t="shared" si="3"/>
        <v>279000</v>
      </c>
      <c r="J46" s="47">
        <v>1269</v>
      </c>
      <c r="K46" s="50"/>
    </row>
    <row r="47" spans="1:12" ht="15.75" x14ac:dyDescent="0.25">
      <c r="A47" s="21">
        <v>45784</v>
      </c>
      <c r="B47" s="17">
        <v>152562</v>
      </c>
      <c r="C47" s="17">
        <v>19392</v>
      </c>
      <c r="D47" s="17">
        <v>152434</v>
      </c>
      <c r="E47" s="46">
        <f t="shared" si="4"/>
        <v>324388</v>
      </c>
      <c r="F47" s="47">
        <v>320076</v>
      </c>
      <c r="G47" s="19">
        <v>0</v>
      </c>
      <c r="H47" s="48">
        <v>315000</v>
      </c>
      <c r="I47" s="19">
        <f t="shared" si="3"/>
        <v>315000</v>
      </c>
      <c r="J47" s="47">
        <v>1390</v>
      </c>
      <c r="K47" s="50"/>
    </row>
    <row r="48" spans="1:12" ht="15.75" x14ac:dyDescent="0.25">
      <c r="A48" s="21">
        <v>45785</v>
      </c>
      <c r="B48" s="17">
        <v>162854</v>
      </c>
      <c r="C48" s="17">
        <v>104168</v>
      </c>
      <c r="D48" s="17">
        <v>162534</v>
      </c>
      <c r="E48" s="46">
        <f t="shared" si="4"/>
        <v>429556</v>
      </c>
      <c r="F48" s="47">
        <v>424368</v>
      </c>
      <c r="G48" s="19">
        <v>0</v>
      </c>
      <c r="H48" s="48">
        <v>420000</v>
      </c>
      <c r="I48" s="19">
        <f t="shared" si="3"/>
        <v>420000</v>
      </c>
      <c r="J48" s="47">
        <v>1444</v>
      </c>
      <c r="K48" s="50"/>
    </row>
    <row r="49" spans="1:11" ht="15.75" x14ac:dyDescent="0.25">
      <c r="A49" s="21">
        <v>45786</v>
      </c>
      <c r="B49" s="17">
        <v>140830</v>
      </c>
      <c r="C49" s="17">
        <v>140816</v>
      </c>
      <c r="D49" s="17">
        <v>140664</v>
      </c>
      <c r="E49" s="46">
        <f>B49+C49+D49</f>
        <v>422310</v>
      </c>
      <c r="F49" s="47">
        <v>417204</v>
      </c>
      <c r="G49" s="19">
        <v>0</v>
      </c>
      <c r="H49" s="48">
        <v>411000</v>
      </c>
      <c r="I49" s="19">
        <f t="shared" si="3"/>
        <v>411000</v>
      </c>
      <c r="J49" s="47">
        <v>1394</v>
      </c>
      <c r="K49" s="50"/>
    </row>
    <row r="50" spans="1:11" ht="15.75" x14ac:dyDescent="0.25">
      <c r="A50" s="21">
        <v>45787</v>
      </c>
      <c r="B50" s="17">
        <v>158296</v>
      </c>
      <c r="C50" s="17">
        <v>158992</v>
      </c>
      <c r="D50" s="17">
        <v>159128</v>
      </c>
      <c r="E50" s="46">
        <f t="shared" si="4"/>
        <v>476416</v>
      </c>
      <c r="F50" s="47">
        <v>471744</v>
      </c>
      <c r="G50" s="19">
        <v>0</v>
      </c>
      <c r="H50" s="48">
        <v>465000</v>
      </c>
      <c r="I50" s="19">
        <f t="shared" si="3"/>
        <v>465000</v>
      </c>
      <c r="J50" s="47">
        <v>1293</v>
      </c>
      <c r="K50" s="50"/>
    </row>
    <row r="51" spans="1:11" ht="15.75" x14ac:dyDescent="0.25">
      <c r="A51" s="21">
        <v>45788</v>
      </c>
      <c r="B51" s="17">
        <v>165192</v>
      </c>
      <c r="C51" s="17">
        <v>165120</v>
      </c>
      <c r="D51" s="17">
        <v>165552</v>
      </c>
      <c r="E51" s="46">
        <f t="shared" si="4"/>
        <v>495864</v>
      </c>
      <c r="F51" s="47">
        <v>490140</v>
      </c>
      <c r="G51" s="19">
        <v>0</v>
      </c>
      <c r="H51" s="48">
        <v>483000</v>
      </c>
      <c r="I51" s="19">
        <f t="shared" si="3"/>
        <v>483000</v>
      </c>
      <c r="J51" s="47">
        <v>1243</v>
      </c>
      <c r="K51" s="50"/>
    </row>
    <row r="52" spans="1:11" ht="15.75" x14ac:dyDescent="0.25">
      <c r="A52" s="21">
        <v>45789</v>
      </c>
      <c r="B52" s="17">
        <v>135980</v>
      </c>
      <c r="C52" s="17">
        <v>135528</v>
      </c>
      <c r="D52" s="17">
        <v>135776</v>
      </c>
      <c r="E52" s="46">
        <f t="shared" si="4"/>
        <v>407284</v>
      </c>
      <c r="F52" s="47">
        <v>402264</v>
      </c>
      <c r="G52" s="19">
        <v>0</v>
      </c>
      <c r="H52" s="48">
        <v>396000</v>
      </c>
      <c r="I52" s="19">
        <f t="shared" si="3"/>
        <v>396000</v>
      </c>
      <c r="J52" s="47">
        <v>1254</v>
      </c>
      <c r="K52" s="50"/>
    </row>
    <row r="53" spans="1:11" ht="15.75" x14ac:dyDescent="0.25">
      <c r="A53" s="21">
        <v>45790</v>
      </c>
      <c r="B53" s="17">
        <v>182842</v>
      </c>
      <c r="C53" s="17">
        <v>182768</v>
      </c>
      <c r="D53" s="17">
        <v>248</v>
      </c>
      <c r="E53" s="46">
        <f t="shared" si="4"/>
        <v>365858</v>
      </c>
      <c r="F53" s="47">
        <v>360144</v>
      </c>
      <c r="G53" s="19">
        <v>0</v>
      </c>
      <c r="H53" s="48">
        <v>354000</v>
      </c>
      <c r="I53" s="19">
        <f t="shared" si="3"/>
        <v>354000</v>
      </c>
      <c r="J53" s="47">
        <v>1098</v>
      </c>
      <c r="K53" s="50"/>
    </row>
    <row r="54" spans="1:11" ht="15.75" x14ac:dyDescent="0.25">
      <c r="A54" s="21">
        <v>45791</v>
      </c>
      <c r="B54" s="17">
        <v>180502</v>
      </c>
      <c r="C54" s="17">
        <v>180544</v>
      </c>
      <c r="D54" s="17">
        <v>0</v>
      </c>
      <c r="E54" s="46">
        <f t="shared" si="4"/>
        <v>361046</v>
      </c>
      <c r="F54" s="47">
        <v>355320</v>
      </c>
      <c r="G54" s="19">
        <v>0</v>
      </c>
      <c r="H54" s="48">
        <v>351000</v>
      </c>
      <c r="I54" s="19">
        <f t="shared" si="3"/>
        <v>351000</v>
      </c>
      <c r="J54" s="47">
        <v>1040</v>
      </c>
      <c r="K54" s="50"/>
    </row>
    <row r="55" spans="1:11" ht="15.75" x14ac:dyDescent="0.25">
      <c r="A55" s="21">
        <v>45792</v>
      </c>
      <c r="B55" s="17">
        <v>164090</v>
      </c>
      <c r="C55" s="17">
        <v>164225</v>
      </c>
      <c r="D55" s="17">
        <v>38474</v>
      </c>
      <c r="E55" s="46">
        <f t="shared" si="4"/>
        <v>366789</v>
      </c>
      <c r="F55" s="47">
        <v>361728</v>
      </c>
      <c r="G55" s="19">
        <v>0</v>
      </c>
      <c r="H55" s="48">
        <v>357000</v>
      </c>
      <c r="I55" s="19">
        <f t="shared" si="3"/>
        <v>357000</v>
      </c>
      <c r="J55" s="47">
        <v>1127</v>
      </c>
      <c r="K55" s="50"/>
    </row>
    <row r="56" spans="1:11" ht="15.75" x14ac:dyDescent="0.25">
      <c r="A56" s="21">
        <v>45793</v>
      </c>
      <c r="B56" s="17">
        <v>177324</v>
      </c>
      <c r="C56" s="17">
        <v>0</v>
      </c>
      <c r="D56" s="17">
        <v>176710</v>
      </c>
      <c r="E56" s="46">
        <f t="shared" si="4"/>
        <v>354034</v>
      </c>
      <c r="F56" s="47">
        <v>350028</v>
      </c>
      <c r="G56" s="19">
        <v>0</v>
      </c>
      <c r="H56" s="48">
        <v>345000</v>
      </c>
      <c r="I56" s="19">
        <f t="shared" si="3"/>
        <v>345000</v>
      </c>
      <c r="J56" s="47">
        <v>1050</v>
      </c>
      <c r="K56" s="50"/>
    </row>
    <row r="57" spans="1:11" ht="15.75" x14ac:dyDescent="0.25">
      <c r="A57" s="21">
        <v>45794</v>
      </c>
      <c r="B57" s="17">
        <v>180514</v>
      </c>
      <c r="C57" s="17">
        <v>0</v>
      </c>
      <c r="D57" s="17">
        <v>180200</v>
      </c>
      <c r="E57" s="46">
        <f t="shared" si="4"/>
        <v>360714</v>
      </c>
      <c r="F57" s="47">
        <v>356508</v>
      </c>
      <c r="G57" s="19">
        <v>0</v>
      </c>
      <c r="H57" s="48">
        <v>351000</v>
      </c>
      <c r="I57" s="19">
        <f t="shared" si="3"/>
        <v>351000</v>
      </c>
      <c r="J57" s="47">
        <v>1046</v>
      </c>
      <c r="K57" s="50"/>
    </row>
    <row r="58" spans="1:11" ht="15.75" x14ac:dyDescent="0.25">
      <c r="A58" s="21">
        <v>45795</v>
      </c>
      <c r="B58" s="17">
        <v>179190</v>
      </c>
      <c r="C58" s="17">
        <v>15599</v>
      </c>
      <c r="D58" s="17">
        <v>179440</v>
      </c>
      <c r="E58" s="46">
        <f t="shared" si="4"/>
        <v>374229</v>
      </c>
      <c r="F58" s="47">
        <v>380124</v>
      </c>
      <c r="G58" s="19">
        <v>0</v>
      </c>
      <c r="H58" s="48">
        <v>375000</v>
      </c>
      <c r="I58" s="19">
        <f t="shared" si="3"/>
        <v>375000</v>
      </c>
      <c r="J58" s="47">
        <v>1087</v>
      </c>
      <c r="K58" s="50"/>
    </row>
    <row r="59" spans="1:11" ht="15.75" x14ac:dyDescent="0.25">
      <c r="A59" s="21">
        <v>45796</v>
      </c>
      <c r="B59" s="17">
        <v>137750</v>
      </c>
      <c r="C59" s="17">
        <v>137992</v>
      </c>
      <c r="D59" s="17">
        <v>137864</v>
      </c>
      <c r="E59" s="46">
        <f t="shared" si="4"/>
        <v>413606</v>
      </c>
      <c r="F59" s="47">
        <v>408636</v>
      </c>
      <c r="G59" s="19">
        <v>0</v>
      </c>
      <c r="H59" s="48">
        <v>402000</v>
      </c>
      <c r="I59" s="19">
        <f t="shared" si="3"/>
        <v>402000</v>
      </c>
      <c r="J59" s="47">
        <v>1327</v>
      </c>
      <c r="K59" s="50"/>
    </row>
    <row r="60" spans="1:11" ht="15.75" x14ac:dyDescent="0.25">
      <c r="A60" s="21">
        <v>45797</v>
      </c>
      <c r="B60" s="17">
        <v>164292</v>
      </c>
      <c r="C60" s="17">
        <v>163896</v>
      </c>
      <c r="D60" s="17">
        <v>86056</v>
      </c>
      <c r="E60" s="46">
        <f t="shared" si="4"/>
        <v>414244</v>
      </c>
      <c r="F60" s="47">
        <v>408564</v>
      </c>
      <c r="G60" s="19">
        <v>0</v>
      </c>
      <c r="H60" s="48">
        <v>402000</v>
      </c>
      <c r="I60" s="19">
        <f t="shared" si="3"/>
        <v>402000</v>
      </c>
      <c r="J60" s="47">
        <v>1283</v>
      </c>
      <c r="K60" s="50"/>
    </row>
    <row r="61" spans="1:11" ht="15.75" x14ac:dyDescent="0.25">
      <c r="A61" s="21">
        <v>45798</v>
      </c>
      <c r="B61" s="17">
        <v>144428</v>
      </c>
      <c r="C61" s="17">
        <v>144376</v>
      </c>
      <c r="D61" s="17">
        <v>144008</v>
      </c>
      <c r="E61" s="46">
        <f t="shared" si="4"/>
        <v>432812</v>
      </c>
      <c r="F61" s="47">
        <v>427896</v>
      </c>
      <c r="G61" s="19">
        <v>0</v>
      </c>
      <c r="H61" s="48">
        <v>420000</v>
      </c>
      <c r="I61" s="19">
        <f t="shared" si="3"/>
        <v>420000</v>
      </c>
      <c r="J61" s="47">
        <v>1432</v>
      </c>
      <c r="K61" s="50"/>
    </row>
    <row r="62" spans="1:11" ht="15.75" x14ac:dyDescent="0.25">
      <c r="A62" s="21">
        <v>45799</v>
      </c>
      <c r="B62" s="17">
        <v>154460</v>
      </c>
      <c r="C62" s="17">
        <v>154352</v>
      </c>
      <c r="D62" s="17">
        <v>154504</v>
      </c>
      <c r="E62" s="46">
        <f t="shared" si="4"/>
        <v>463316</v>
      </c>
      <c r="F62" s="47">
        <v>456876</v>
      </c>
      <c r="G62" s="19">
        <v>0</v>
      </c>
      <c r="H62" s="48">
        <v>450000</v>
      </c>
      <c r="I62" s="19">
        <f t="shared" si="3"/>
        <v>450000</v>
      </c>
      <c r="J62" s="47">
        <v>1465</v>
      </c>
      <c r="K62" s="50"/>
    </row>
    <row r="63" spans="1:11" ht="15.75" x14ac:dyDescent="0.25">
      <c r="A63" s="21">
        <v>45800</v>
      </c>
      <c r="B63" s="17">
        <v>176420</v>
      </c>
      <c r="C63" s="17">
        <v>177632</v>
      </c>
      <c r="D63" s="17">
        <v>177024</v>
      </c>
      <c r="E63" s="46">
        <f t="shared" si="4"/>
        <v>531076</v>
      </c>
      <c r="F63" s="47">
        <v>524988</v>
      </c>
      <c r="G63" s="19">
        <v>0</v>
      </c>
      <c r="H63" s="48">
        <v>516000</v>
      </c>
      <c r="I63" s="19">
        <f t="shared" si="3"/>
        <v>516000</v>
      </c>
      <c r="J63" s="47">
        <v>1437</v>
      </c>
      <c r="K63" s="50"/>
    </row>
    <row r="64" spans="1:11" ht="15.75" x14ac:dyDescent="0.25">
      <c r="A64" s="21">
        <v>45801</v>
      </c>
      <c r="B64" s="17">
        <v>155440</v>
      </c>
      <c r="C64" s="17">
        <v>155248</v>
      </c>
      <c r="D64" s="17">
        <v>155448</v>
      </c>
      <c r="E64" s="46">
        <f t="shared" si="4"/>
        <v>466136</v>
      </c>
      <c r="F64" s="47">
        <v>460620</v>
      </c>
      <c r="G64" s="19">
        <v>0</v>
      </c>
      <c r="H64" s="48">
        <v>453000</v>
      </c>
      <c r="I64" s="19">
        <f t="shared" si="3"/>
        <v>453000</v>
      </c>
      <c r="J64" s="47">
        <v>1432</v>
      </c>
      <c r="K64" s="50"/>
    </row>
    <row r="65" spans="1:12" ht="15.75" x14ac:dyDescent="0.25">
      <c r="A65" s="21">
        <v>45802</v>
      </c>
      <c r="B65" s="17">
        <v>138696</v>
      </c>
      <c r="C65" s="17">
        <v>138632</v>
      </c>
      <c r="D65" s="17">
        <v>138608</v>
      </c>
      <c r="E65" s="46">
        <f t="shared" si="4"/>
        <v>415936</v>
      </c>
      <c r="F65" s="47">
        <v>411156</v>
      </c>
      <c r="G65" s="19">
        <v>0</v>
      </c>
      <c r="H65" s="48">
        <v>408000</v>
      </c>
      <c r="I65" s="19">
        <f t="shared" si="3"/>
        <v>408000</v>
      </c>
      <c r="J65" s="47">
        <v>1447</v>
      </c>
      <c r="K65" s="50"/>
    </row>
    <row r="66" spans="1:12" ht="15.75" x14ac:dyDescent="0.25">
      <c r="A66" s="21">
        <v>45803</v>
      </c>
      <c r="B66" s="17">
        <v>130568</v>
      </c>
      <c r="C66" s="17">
        <v>130944</v>
      </c>
      <c r="D66" s="17">
        <v>130544</v>
      </c>
      <c r="E66" s="46">
        <f t="shared" si="4"/>
        <v>392056</v>
      </c>
      <c r="F66" s="47">
        <v>387396</v>
      </c>
      <c r="G66" s="19">
        <v>0</v>
      </c>
      <c r="H66" s="48">
        <v>384000</v>
      </c>
      <c r="I66" s="19">
        <f t="shared" si="3"/>
        <v>384000</v>
      </c>
      <c r="J66" s="47">
        <v>1436</v>
      </c>
      <c r="K66" s="50"/>
    </row>
    <row r="67" spans="1:12" ht="16.5" customHeight="1" x14ac:dyDescent="0.25">
      <c r="A67" s="21">
        <v>45804</v>
      </c>
      <c r="B67" s="17">
        <v>157156</v>
      </c>
      <c r="C67" s="17">
        <v>157216</v>
      </c>
      <c r="D67" s="17">
        <v>157272</v>
      </c>
      <c r="E67" s="46">
        <f t="shared" si="4"/>
        <v>471644</v>
      </c>
      <c r="F67" s="47">
        <v>466020</v>
      </c>
      <c r="G67" s="19">
        <v>0</v>
      </c>
      <c r="H67" s="48">
        <v>459000</v>
      </c>
      <c r="I67" s="19">
        <f t="shared" si="3"/>
        <v>459000</v>
      </c>
      <c r="J67" s="47">
        <v>1467</v>
      </c>
      <c r="K67" s="50"/>
    </row>
    <row r="68" spans="1:12" ht="12.75" customHeight="1" x14ac:dyDescent="0.25">
      <c r="A68" s="21">
        <v>45805</v>
      </c>
      <c r="B68" s="17">
        <v>155640</v>
      </c>
      <c r="C68" s="17">
        <v>155320</v>
      </c>
      <c r="D68" s="17">
        <v>155920</v>
      </c>
      <c r="E68" s="46">
        <f t="shared" si="4"/>
        <v>466880</v>
      </c>
      <c r="F68" s="47">
        <v>461268</v>
      </c>
      <c r="G68" s="19">
        <v>0</v>
      </c>
      <c r="H68" s="48">
        <v>453000</v>
      </c>
      <c r="I68" s="19">
        <f t="shared" si="3"/>
        <v>453000</v>
      </c>
      <c r="J68" s="47">
        <v>1472</v>
      </c>
      <c r="K68" s="50"/>
    </row>
    <row r="69" spans="1:12" ht="15.75" x14ac:dyDescent="0.25">
      <c r="A69" s="21">
        <v>45806</v>
      </c>
      <c r="B69" s="17">
        <v>136736</v>
      </c>
      <c r="C69" s="17">
        <v>136776</v>
      </c>
      <c r="D69" s="17">
        <v>136616</v>
      </c>
      <c r="E69" s="46">
        <f>B69+C69+D69</f>
        <v>410128</v>
      </c>
      <c r="F69" s="47">
        <v>404748</v>
      </c>
      <c r="G69" s="19">
        <v>0</v>
      </c>
      <c r="H69" s="48">
        <v>396000</v>
      </c>
      <c r="I69" s="19">
        <f t="shared" si="3"/>
        <v>396000</v>
      </c>
      <c r="J69" s="47">
        <v>1477</v>
      </c>
      <c r="K69" s="50"/>
    </row>
    <row r="70" spans="1:12" ht="15.75" x14ac:dyDescent="0.25">
      <c r="A70" s="21">
        <v>45807</v>
      </c>
      <c r="B70" s="17">
        <v>143404</v>
      </c>
      <c r="C70" s="17">
        <v>92456</v>
      </c>
      <c r="D70" s="17">
        <v>143760</v>
      </c>
      <c r="E70" s="46">
        <f t="shared" si="4"/>
        <v>379620</v>
      </c>
      <c r="F70" s="47">
        <v>374472</v>
      </c>
      <c r="G70" s="19">
        <v>0</v>
      </c>
      <c r="H70" s="48">
        <v>372000</v>
      </c>
      <c r="I70" s="19">
        <f t="shared" si="3"/>
        <v>372000</v>
      </c>
      <c r="J70" s="47">
        <v>1395</v>
      </c>
      <c r="K70" s="50"/>
    </row>
    <row r="71" spans="1:12" ht="15.75" x14ac:dyDescent="0.25">
      <c r="A71" s="21">
        <v>45808</v>
      </c>
      <c r="B71" s="17">
        <v>156572</v>
      </c>
      <c r="C71" s="17">
        <v>0</v>
      </c>
      <c r="D71" s="17">
        <v>156672</v>
      </c>
      <c r="E71" s="46">
        <f>B71+C71+D71</f>
        <v>313244</v>
      </c>
      <c r="F71" s="47">
        <v>308736</v>
      </c>
      <c r="G71" s="19">
        <v>0</v>
      </c>
      <c r="H71" s="48">
        <v>306000</v>
      </c>
      <c r="I71" s="19">
        <f t="shared" si="3"/>
        <v>306000</v>
      </c>
      <c r="J71" s="47">
        <v>1280</v>
      </c>
      <c r="K71" s="50"/>
    </row>
    <row r="72" spans="1:12" ht="16.5" thickBot="1" x14ac:dyDescent="0.3">
      <c r="A72" s="51" t="s">
        <v>13</v>
      </c>
      <c r="B72" s="52">
        <f>SUM(B41:B71)</f>
        <v>4866140</v>
      </c>
      <c r="C72" s="52">
        <f>SUM(C41:C71)</f>
        <v>3395240</v>
      </c>
      <c r="D72" s="52">
        <f t="shared" ref="D72:J72" si="5">SUM(D41:D71)</f>
        <v>4191240</v>
      </c>
      <c r="E72" s="53">
        <f t="shared" si="5"/>
        <v>12452620</v>
      </c>
      <c r="F72" s="53">
        <f t="shared" si="5"/>
        <v>12306636</v>
      </c>
      <c r="G72" s="53"/>
      <c r="H72" s="53">
        <f t="shared" si="5"/>
        <v>12135000</v>
      </c>
      <c r="I72" s="53">
        <f t="shared" si="5"/>
        <v>12135000</v>
      </c>
      <c r="J72" s="53">
        <f t="shared" si="5"/>
        <v>40740</v>
      </c>
      <c r="K72" s="50"/>
      <c r="L72" s="54"/>
    </row>
    <row r="73" spans="1:12" ht="16.5" thickBot="1" x14ac:dyDescent="0.3">
      <c r="A73" s="35"/>
      <c r="B73" s="36"/>
      <c r="C73" s="36"/>
      <c r="D73" s="36"/>
      <c r="E73" s="37"/>
      <c r="F73" s="38"/>
      <c r="G73" s="38"/>
      <c r="H73" s="39"/>
      <c r="I73" s="40"/>
      <c r="J73" s="41"/>
      <c r="K73" s="42"/>
    </row>
    <row r="74" spans="1:12" ht="21.75" thickBot="1" x14ac:dyDescent="0.3">
      <c r="A74" s="3" t="s">
        <v>15</v>
      </c>
      <c r="B74" s="4"/>
      <c r="C74" s="4"/>
      <c r="D74" s="4"/>
      <c r="E74" s="4"/>
      <c r="F74" s="4"/>
      <c r="G74" s="4"/>
      <c r="H74" s="4"/>
      <c r="I74" s="4"/>
      <c r="J74" s="4"/>
      <c r="K74" s="5"/>
    </row>
    <row r="75" spans="1:12" x14ac:dyDescent="0.25">
      <c r="A75" s="6" t="s">
        <v>2</v>
      </c>
      <c r="B75" s="7" t="s">
        <v>3</v>
      </c>
      <c r="C75" s="7" t="s">
        <v>4</v>
      </c>
      <c r="D75" s="7" t="s">
        <v>5</v>
      </c>
      <c r="E75" s="8" t="s">
        <v>6</v>
      </c>
      <c r="F75" s="8" t="s">
        <v>7</v>
      </c>
      <c r="G75" s="8" t="s">
        <v>8</v>
      </c>
      <c r="H75" s="8" t="s">
        <v>9</v>
      </c>
      <c r="I75" s="8" t="s">
        <v>10</v>
      </c>
      <c r="J75" s="7" t="s">
        <v>11</v>
      </c>
      <c r="K75" s="9" t="s">
        <v>12</v>
      </c>
    </row>
    <row r="76" spans="1:12" ht="15.75" thickBot="1" x14ac:dyDescent="0.3">
      <c r="A76" s="10"/>
      <c r="B76" s="11"/>
      <c r="C76" s="11"/>
      <c r="D76" s="11"/>
      <c r="E76" s="12"/>
      <c r="F76" s="12"/>
      <c r="G76" s="13"/>
      <c r="H76" s="13"/>
      <c r="I76" s="13"/>
      <c r="J76" s="14"/>
      <c r="K76" s="15"/>
    </row>
    <row r="77" spans="1:12" ht="15.75" x14ac:dyDescent="0.25">
      <c r="A77" s="55">
        <v>45809</v>
      </c>
      <c r="B77" s="17">
        <v>143504</v>
      </c>
      <c r="C77" s="17">
        <v>0</v>
      </c>
      <c r="D77" s="17">
        <v>143296</v>
      </c>
      <c r="E77" s="46">
        <f>B77+C77+D77</f>
        <v>286800</v>
      </c>
      <c r="F77" s="56">
        <v>281268</v>
      </c>
      <c r="G77" s="19">
        <v>0</v>
      </c>
      <c r="H77" s="56">
        <v>279000</v>
      </c>
      <c r="I77" s="19">
        <f>SUM(H77-G77)</f>
        <v>279000</v>
      </c>
      <c r="J77" s="19">
        <v>1273</v>
      </c>
      <c r="K77" s="57"/>
    </row>
    <row r="78" spans="1:12" ht="15.75" x14ac:dyDescent="0.25">
      <c r="A78" s="55">
        <v>45810</v>
      </c>
      <c r="B78" s="17">
        <v>136300</v>
      </c>
      <c r="C78" s="17">
        <v>0</v>
      </c>
      <c r="D78" s="17">
        <v>136576</v>
      </c>
      <c r="E78" s="46">
        <f t="shared" ref="E78:E106" si="6">B78+C78+D78</f>
        <v>272876</v>
      </c>
      <c r="F78" s="56">
        <v>267264</v>
      </c>
      <c r="G78" s="19">
        <v>0</v>
      </c>
      <c r="H78" s="56">
        <v>267000</v>
      </c>
      <c r="I78" s="19">
        <f t="shared" ref="I78:I106" si="7">SUM(H78-G78)</f>
        <v>267000</v>
      </c>
      <c r="J78" s="47">
        <v>1314</v>
      </c>
      <c r="K78" s="57"/>
    </row>
    <row r="79" spans="1:12" ht="15.75" x14ac:dyDescent="0.25">
      <c r="A79" s="55">
        <v>45811</v>
      </c>
      <c r="B79" s="17">
        <v>128680</v>
      </c>
      <c r="C79" s="17">
        <v>0</v>
      </c>
      <c r="D79" s="17">
        <v>129024</v>
      </c>
      <c r="E79" s="46">
        <f t="shared" si="6"/>
        <v>257704</v>
      </c>
      <c r="F79" s="56">
        <v>252900</v>
      </c>
      <c r="G79" s="19">
        <v>0</v>
      </c>
      <c r="H79" s="56">
        <v>252000</v>
      </c>
      <c r="I79" s="19">
        <f t="shared" si="7"/>
        <v>252000</v>
      </c>
      <c r="J79" s="47">
        <v>1300</v>
      </c>
      <c r="K79" s="57"/>
    </row>
    <row r="80" spans="1:12" ht="15.75" x14ac:dyDescent="0.25">
      <c r="A80" s="55">
        <v>45812</v>
      </c>
      <c r="B80" s="17">
        <v>147512</v>
      </c>
      <c r="C80" s="17">
        <v>0</v>
      </c>
      <c r="D80" s="17">
        <v>147704</v>
      </c>
      <c r="E80" s="46">
        <f t="shared" si="6"/>
        <v>295216</v>
      </c>
      <c r="F80" s="56">
        <v>290124</v>
      </c>
      <c r="G80" s="19">
        <v>0</v>
      </c>
      <c r="H80" s="56">
        <v>288000</v>
      </c>
      <c r="I80" s="19">
        <f t="shared" si="7"/>
        <v>288000</v>
      </c>
      <c r="J80" s="47">
        <v>1298</v>
      </c>
      <c r="K80" s="57"/>
    </row>
    <row r="81" spans="1:11" ht="15.75" x14ac:dyDescent="0.25">
      <c r="A81" s="55">
        <v>45813</v>
      </c>
      <c r="B81" s="17">
        <v>139804</v>
      </c>
      <c r="C81" s="17">
        <v>0</v>
      </c>
      <c r="D81" s="17">
        <v>139632</v>
      </c>
      <c r="E81" s="46">
        <f t="shared" si="6"/>
        <v>279436</v>
      </c>
      <c r="F81" s="56">
        <v>274500</v>
      </c>
      <c r="G81" s="19">
        <v>0</v>
      </c>
      <c r="H81" s="56">
        <v>273000</v>
      </c>
      <c r="I81" s="19">
        <f t="shared" si="7"/>
        <v>273000</v>
      </c>
      <c r="J81" s="47">
        <v>1280</v>
      </c>
      <c r="K81" s="57"/>
    </row>
    <row r="82" spans="1:11" ht="15.75" x14ac:dyDescent="0.25">
      <c r="A82" s="55">
        <v>45814</v>
      </c>
      <c r="B82" s="17">
        <v>144956</v>
      </c>
      <c r="C82" s="17">
        <v>0</v>
      </c>
      <c r="D82" s="17">
        <v>145032</v>
      </c>
      <c r="E82" s="46">
        <f t="shared" si="6"/>
        <v>289988</v>
      </c>
      <c r="F82" s="56">
        <v>284904</v>
      </c>
      <c r="G82" s="19">
        <v>0</v>
      </c>
      <c r="H82" s="56">
        <v>285000</v>
      </c>
      <c r="I82" s="19">
        <f t="shared" si="7"/>
        <v>285000</v>
      </c>
      <c r="J82" s="47">
        <v>1288</v>
      </c>
      <c r="K82" s="57"/>
    </row>
    <row r="83" spans="1:11" ht="15.75" x14ac:dyDescent="0.25">
      <c r="A83" s="55">
        <v>45815</v>
      </c>
      <c r="B83" s="17">
        <v>164256</v>
      </c>
      <c r="C83" s="17">
        <v>0</v>
      </c>
      <c r="D83" s="17">
        <v>164112</v>
      </c>
      <c r="E83" s="46">
        <f t="shared" si="6"/>
        <v>328368</v>
      </c>
      <c r="F83" s="56">
        <v>322812</v>
      </c>
      <c r="G83" s="19">
        <v>0</v>
      </c>
      <c r="H83" s="56">
        <v>318000</v>
      </c>
      <c r="I83" s="19">
        <f t="shared" si="7"/>
        <v>318000</v>
      </c>
      <c r="J83" s="47">
        <v>1292</v>
      </c>
      <c r="K83" s="57"/>
    </row>
    <row r="84" spans="1:11" ht="15.75" x14ac:dyDescent="0.25">
      <c r="A84" s="55">
        <v>45816</v>
      </c>
      <c r="B84" s="17">
        <v>173272</v>
      </c>
      <c r="C84" s="17">
        <v>32520</v>
      </c>
      <c r="D84" s="17">
        <v>173728</v>
      </c>
      <c r="E84" s="46">
        <f t="shared" si="6"/>
        <v>379520</v>
      </c>
      <c r="F84" s="56">
        <v>374184</v>
      </c>
      <c r="G84" s="19">
        <v>0</v>
      </c>
      <c r="H84" s="56">
        <v>372000</v>
      </c>
      <c r="I84" s="19">
        <f t="shared" si="7"/>
        <v>372000</v>
      </c>
      <c r="J84" s="47">
        <v>1314</v>
      </c>
      <c r="K84" s="57"/>
    </row>
    <row r="85" spans="1:11" ht="15.75" x14ac:dyDescent="0.25">
      <c r="A85" s="55">
        <v>45817</v>
      </c>
      <c r="B85" s="17">
        <v>143976</v>
      </c>
      <c r="C85" s="17">
        <v>144008</v>
      </c>
      <c r="D85" s="17">
        <v>143936</v>
      </c>
      <c r="E85" s="46">
        <f t="shared" si="6"/>
        <v>431920</v>
      </c>
      <c r="F85" s="56">
        <v>424332</v>
      </c>
      <c r="G85" s="19">
        <v>0</v>
      </c>
      <c r="H85" s="56">
        <v>417000</v>
      </c>
      <c r="I85" s="19">
        <f t="shared" si="7"/>
        <v>417000</v>
      </c>
      <c r="J85" s="47">
        <v>1427</v>
      </c>
      <c r="K85" s="57"/>
    </row>
    <row r="86" spans="1:11" ht="15.75" x14ac:dyDescent="0.25">
      <c r="A86" s="55">
        <v>45818</v>
      </c>
      <c r="B86" s="17">
        <v>142472</v>
      </c>
      <c r="C86" s="17">
        <v>142904</v>
      </c>
      <c r="D86" s="17">
        <v>142552</v>
      </c>
      <c r="E86" s="46">
        <f t="shared" si="6"/>
        <v>427928</v>
      </c>
      <c r="F86" s="56">
        <v>421452</v>
      </c>
      <c r="G86" s="19">
        <v>0</v>
      </c>
      <c r="H86" s="56">
        <v>420000</v>
      </c>
      <c r="I86" s="19">
        <f t="shared" si="7"/>
        <v>420000</v>
      </c>
      <c r="J86" s="47">
        <v>1401</v>
      </c>
      <c r="K86" s="57"/>
    </row>
    <row r="87" spans="1:11" ht="15.75" x14ac:dyDescent="0.25">
      <c r="A87" s="55">
        <v>45819</v>
      </c>
      <c r="B87" s="17">
        <v>151400</v>
      </c>
      <c r="C87" s="17">
        <v>150984</v>
      </c>
      <c r="D87" s="17">
        <v>151120</v>
      </c>
      <c r="E87" s="46">
        <f t="shared" si="6"/>
        <v>453504</v>
      </c>
      <c r="F87" s="56">
        <v>446256</v>
      </c>
      <c r="G87" s="19">
        <v>0</v>
      </c>
      <c r="H87" s="56">
        <v>441000</v>
      </c>
      <c r="I87" s="19">
        <f t="shared" si="7"/>
        <v>441000</v>
      </c>
      <c r="J87" s="47">
        <v>1398</v>
      </c>
      <c r="K87" s="57"/>
    </row>
    <row r="88" spans="1:11" ht="15.75" x14ac:dyDescent="0.25">
      <c r="A88" s="55">
        <v>45820</v>
      </c>
      <c r="B88" s="17">
        <v>147012</v>
      </c>
      <c r="C88" s="17">
        <v>147000</v>
      </c>
      <c r="D88" s="17">
        <v>146560</v>
      </c>
      <c r="E88" s="46">
        <f t="shared" si="6"/>
        <v>440572</v>
      </c>
      <c r="F88" s="56">
        <v>433692</v>
      </c>
      <c r="G88" s="19">
        <v>0</v>
      </c>
      <c r="H88" s="56">
        <v>429000</v>
      </c>
      <c r="I88" s="19">
        <f t="shared" si="7"/>
        <v>429000</v>
      </c>
      <c r="J88" s="47">
        <v>1410</v>
      </c>
      <c r="K88" s="57"/>
    </row>
    <row r="89" spans="1:11" ht="15.75" x14ac:dyDescent="0.25">
      <c r="A89" s="55">
        <v>45821</v>
      </c>
      <c r="B89" s="17">
        <v>171992</v>
      </c>
      <c r="C89" s="17">
        <v>172160</v>
      </c>
      <c r="D89" s="17">
        <v>121020</v>
      </c>
      <c r="E89" s="46">
        <f t="shared" si="6"/>
        <v>465172</v>
      </c>
      <c r="F89" s="56">
        <v>457632</v>
      </c>
      <c r="G89" s="19">
        <v>0</v>
      </c>
      <c r="H89" s="56">
        <v>453000</v>
      </c>
      <c r="I89" s="19">
        <f t="shared" si="7"/>
        <v>453000</v>
      </c>
      <c r="J89" s="47">
        <v>1366</v>
      </c>
      <c r="K89" s="57"/>
    </row>
    <row r="90" spans="1:11" ht="15.75" x14ac:dyDescent="0.25">
      <c r="A90" s="55">
        <v>45822</v>
      </c>
      <c r="B90" s="17">
        <v>156768</v>
      </c>
      <c r="C90" s="17">
        <v>156808</v>
      </c>
      <c r="D90" s="17">
        <v>156620</v>
      </c>
      <c r="E90" s="46">
        <f t="shared" si="6"/>
        <v>470196</v>
      </c>
      <c r="F90" s="56">
        <v>462672</v>
      </c>
      <c r="G90" s="19">
        <v>0</v>
      </c>
      <c r="H90" s="56">
        <v>459000</v>
      </c>
      <c r="I90" s="19">
        <f t="shared" si="7"/>
        <v>459000</v>
      </c>
      <c r="J90" s="47">
        <v>1415</v>
      </c>
      <c r="K90" s="57"/>
    </row>
    <row r="91" spans="1:11" ht="15.75" x14ac:dyDescent="0.25">
      <c r="A91" s="55">
        <v>45823</v>
      </c>
      <c r="B91" s="17">
        <v>160588</v>
      </c>
      <c r="C91" s="17">
        <v>120600</v>
      </c>
      <c r="D91" s="17">
        <v>164217</v>
      </c>
      <c r="E91" s="46">
        <f t="shared" si="6"/>
        <v>445405</v>
      </c>
      <c r="F91" s="56">
        <v>437796</v>
      </c>
      <c r="G91" s="19">
        <v>0</v>
      </c>
      <c r="H91" s="56">
        <v>435000</v>
      </c>
      <c r="I91" s="19">
        <f t="shared" si="7"/>
        <v>435000</v>
      </c>
      <c r="J91" s="47">
        <v>1434</v>
      </c>
      <c r="K91" s="57"/>
    </row>
    <row r="92" spans="1:11" ht="15.75" x14ac:dyDescent="0.25">
      <c r="A92" s="55">
        <v>45824</v>
      </c>
      <c r="B92" s="17">
        <v>141440</v>
      </c>
      <c r="C92" s="17">
        <v>142520</v>
      </c>
      <c r="D92" s="17">
        <v>141631</v>
      </c>
      <c r="E92" s="46">
        <f t="shared" si="6"/>
        <v>425591</v>
      </c>
      <c r="F92" s="56">
        <v>417816</v>
      </c>
      <c r="G92" s="19">
        <v>0</v>
      </c>
      <c r="H92" s="56">
        <v>417000</v>
      </c>
      <c r="I92" s="19">
        <f t="shared" si="7"/>
        <v>417000</v>
      </c>
      <c r="J92" s="47">
        <v>1406</v>
      </c>
      <c r="K92" s="57"/>
    </row>
    <row r="93" spans="1:11" ht="15.75" x14ac:dyDescent="0.25">
      <c r="A93" s="55">
        <v>45825</v>
      </c>
      <c r="B93" s="17">
        <v>211748</v>
      </c>
      <c r="C93" s="17">
        <v>211272</v>
      </c>
      <c r="D93" s="17">
        <v>212032</v>
      </c>
      <c r="E93" s="46">
        <f t="shared" si="6"/>
        <v>635052</v>
      </c>
      <c r="F93" s="56">
        <v>627120</v>
      </c>
      <c r="G93" s="19">
        <v>0</v>
      </c>
      <c r="H93" s="56">
        <v>618000</v>
      </c>
      <c r="I93" s="19">
        <f t="shared" si="7"/>
        <v>618000</v>
      </c>
      <c r="J93" s="47">
        <v>1438</v>
      </c>
      <c r="K93" s="57"/>
    </row>
    <row r="94" spans="1:11" ht="15.75" x14ac:dyDescent="0.25">
      <c r="A94" s="55">
        <v>45826</v>
      </c>
      <c r="B94" s="17">
        <v>171168</v>
      </c>
      <c r="C94" s="17">
        <v>171440</v>
      </c>
      <c r="D94" s="17">
        <v>171080</v>
      </c>
      <c r="E94" s="46">
        <f t="shared" si="6"/>
        <v>513688</v>
      </c>
      <c r="F94" s="56">
        <v>506520</v>
      </c>
      <c r="G94" s="19">
        <v>0</v>
      </c>
      <c r="H94" s="56">
        <v>501000</v>
      </c>
      <c r="I94" s="19">
        <f t="shared" si="7"/>
        <v>501000</v>
      </c>
      <c r="J94" s="47">
        <v>1401</v>
      </c>
      <c r="K94" s="57"/>
    </row>
    <row r="95" spans="1:11" ht="15.75" x14ac:dyDescent="0.25">
      <c r="A95" s="55">
        <v>45827</v>
      </c>
      <c r="B95" s="17">
        <v>141180</v>
      </c>
      <c r="C95" s="17">
        <v>140688</v>
      </c>
      <c r="D95" s="17">
        <v>140928</v>
      </c>
      <c r="E95" s="46">
        <f t="shared" si="6"/>
        <v>422796</v>
      </c>
      <c r="F95" s="56">
        <v>416628</v>
      </c>
      <c r="G95" s="19">
        <v>0</v>
      </c>
      <c r="H95" s="56">
        <v>411000</v>
      </c>
      <c r="I95" s="19">
        <f t="shared" si="7"/>
        <v>411000</v>
      </c>
      <c r="J95" s="47">
        <v>1400</v>
      </c>
      <c r="K95" s="57"/>
    </row>
    <row r="96" spans="1:11" ht="15.75" x14ac:dyDescent="0.25">
      <c r="A96" s="55">
        <v>45828</v>
      </c>
      <c r="B96" s="17">
        <v>143832</v>
      </c>
      <c r="C96" s="17">
        <v>143808</v>
      </c>
      <c r="D96" s="17">
        <v>143992</v>
      </c>
      <c r="E96" s="46">
        <f t="shared" si="6"/>
        <v>431632</v>
      </c>
      <c r="F96" s="56">
        <v>425412</v>
      </c>
      <c r="G96" s="19">
        <v>0</v>
      </c>
      <c r="H96" s="56">
        <v>423000</v>
      </c>
      <c r="I96" s="19">
        <f t="shared" si="7"/>
        <v>423000</v>
      </c>
      <c r="J96" s="47">
        <v>1415</v>
      </c>
      <c r="K96" s="57"/>
    </row>
    <row r="97" spans="1:11" ht="15.75" x14ac:dyDescent="0.25">
      <c r="A97" s="55">
        <v>45829</v>
      </c>
      <c r="B97" s="17">
        <v>138868</v>
      </c>
      <c r="C97" s="17">
        <v>138896</v>
      </c>
      <c r="D97" s="17">
        <v>138768</v>
      </c>
      <c r="E97" s="46">
        <f t="shared" si="6"/>
        <v>416532</v>
      </c>
      <c r="F97" s="56">
        <v>410256</v>
      </c>
      <c r="G97" s="19">
        <v>0</v>
      </c>
      <c r="H97" s="56">
        <v>408000</v>
      </c>
      <c r="I97" s="19">
        <f t="shared" si="7"/>
        <v>408000</v>
      </c>
      <c r="J97" s="47">
        <v>1415</v>
      </c>
      <c r="K97" s="57"/>
    </row>
    <row r="98" spans="1:11" ht="15" customHeight="1" x14ac:dyDescent="0.25">
      <c r="A98" s="55">
        <v>45830</v>
      </c>
      <c r="B98" s="17">
        <v>50304</v>
      </c>
      <c r="C98" s="17">
        <v>54808</v>
      </c>
      <c r="D98" s="17">
        <v>53856</v>
      </c>
      <c r="E98" s="46">
        <f t="shared" si="6"/>
        <v>158968</v>
      </c>
      <c r="F98" s="56">
        <v>156456</v>
      </c>
      <c r="G98" s="47">
        <v>3000</v>
      </c>
      <c r="H98" s="56">
        <v>153000</v>
      </c>
      <c r="I98" s="19">
        <f t="shared" si="7"/>
        <v>150000</v>
      </c>
      <c r="J98" s="47">
        <v>715</v>
      </c>
      <c r="K98" s="57"/>
    </row>
    <row r="99" spans="1:11" ht="13.5" customHeight="1" x14ac:dyDescent="0.25">
      <c r="A99" s="55">
        <v>45831</v>
      </c>
      <c r="B99" s="17">
        <v>169924</v>
      </c>
      <c r="C99" s="17">
        <v>170448</v>
      </c>
      <c r="D99" s="17">
        <v>170244</v>
      </c>
      <c r="E99" s="46">
        <f t="shared" si="6"/>
        <v>510616</v>
      </c>
      <c r="F99" s="56">
        <v>503136</v>
      </c>
      <c r="G99" s="19">
        <v>0</v>
      </c>
      <c r="H99" s="56">
        <v>495000</v>
      </c>
      <c r="I99" s="19">
        <f t="shared" si="7"/>
        <v>495000</v>
      </c>
      <c r="J99" s="47">
        <v>1455</v>
      </c>
      <c r="K99" s="57"/>
    </row>
    <row r="100" spans="1:11" ht="15.75" x14ac:dyDescent="0.25">
      <c r="A100" s="55">
        <v>45832</v>
      </c>
      <c r="B100" s="17">
        <v>173308</v>
      </c>
      <c r="C100" s="17">
        <v>172656</v>
      </c>
      <c r="D100" s="17">
        <v>173748</v>
      </c>
      <c r="E100" s="46">
        <f t="shared" si="6"/>
        <v>519712</v>
      </c>
      <c r="F100" s="56">
        <v>512712</v>
      </c>
      <c r="G100" s="19">
        <v>0</v>
      </c>
      <c r="H100" s="56">
        <v>504000</v>
      </c>
      <c r="I100" s="19">
        <f t="shared" si="7"/>
        <v>504000</v>
      </c>
      <c r="J100" s="47">
        <v>1454</v>
      </c>
      <c r="K100" s="57"/>
    </row>
    <row r="101" spans="1:11" ht="15.75" x14ac:dyDescent="0.25">
      <c r="A101" s="55">
        <v>45833</v>
      </c>
      <c r="B101" s="17">
        <v>217140</v>
      </c>
      <c r="C101" s="17">
        <v>216680</v>
      </c>
      <c r="D101" s="17">
        <v>216488</v>
      </c>
      <c r="E101" s="46">
        <f t="shared" si="6"/>
        <v>650308</v>
      </c>
      <c r="F101" s="56">
        <v>641844</v>
      </c>
      <c r="G101" s="19">
        <v>0</v>
      </c>
      <c r="H101" s="56">
        <v>636000</v>
      </c>
      <c r="I101" s="19">
        <f t="shared" si="7"/>
        <v>636000</v>
      </c>
      <c r="J101" s="47">
        <v>1446</v>
      </c>
      <c r="K101" s="57"/>
    </row>
    <row r="102" spans="1:11" ht="15.75" x14ac:dyDescent="0.25">
      <c r="A102" s="55">
        <v>45834</v>
      </c>
      <c r="B102" s="17">
        <v>210112</v>
      </c>
      <c r="C102" s="17">
        <v>209672</v>
      </c>
      <c r="D102" s="17">
        <v>209816</v>
      </c>
      <c r="E102" s="46">
        <f t="shared" si="6"/>
        <v>629600</v>
      </c>
      <c r="F102" s="56">
        <v>620532</v>
      </c>
      <c r="G102" s="19">
        <v>0</v>
      </c>
      <c r="H102" s="56">
        <v>609000</v>
      </c>
      <c r="I102" s="19">
        <f t="shared" si="7"/>
        <v>609000</v>
      </c>
      <c r="J102" s="47">
        <v>1390</v>
      </c>
      <c r="K102" s="57"/>
    </row>
    <row r="103" spans="1:11" ht="15.75" x14ac:dyDescent="0.25">
      <c r="A103" s="55">
        <v>45835</v>
      </c>
      <c r="B103" s="17">
        <v>217432</v>
      </c>
      <c r="C103" s="17">
        <v>217280</v>
      </c>
      <c r="D103" s="17">
        <v>217472</v>
      </c>
      <c r="E103" s="46">
        <f t="shared" si="6"/>
        <v>652184</v>
      </c>
      <c r="F103" s="56">
        <v>640656</v>
      </c>
      <c r="G103" s="19">
        <v>0</v>
      </c>
      <c r="H103" s="56">
        <v>636000</v>
      </c>
      <c r="I103" s="19">
        <f t="shared" si="7"/>
        <v>636000</v>
      </c>
      <c r="J103" s="47">
        <v>1399</v>
      </c>
      <c r="K103" s="57"/>
    </row>
    <row r="104" spans="1:11" ht="15.75" x14ac:dyDescent="0.25">
      <c r="A104" s="55">
        <v>45836</v>
      </c>
      <c r="B104" s="17">
        <v>219012</v>
      </c>
      <c r="C104" s="17">
        <v>218808</v>
      </c>
      <c r="D104" s="17">
        <v>218760</v>
      </c>
      <c r="E104" s="46">
        <f t="shared" si="6"/>
        <v>656580</v>
      </c>
      <c r="F104" s="56">
        <v>649584</v>
      </c>
      <c r="G104" s="19">
        <v>0</v>
      </c>
      <c r="H104" s="56">
        <v>636000</v>
      </c>
      <c r="I104" s="19">
        <f t="shared" si="7"/>
        <v>636000</v>
      </c>
      <c r="J104" s="47">
        <v>1390</v>
      </c>
      <c r="K104" s="57"/>
    </row>
    <row r="105" spans="1:11" ht="15.75" x14ac:dyDescent="0.25">
      <c r="A105" s="55">
        <v>45837</v>
      </c>
      <c r="B105" s="17">
        <v>221268</v>
      </c>
      <c r="C105" s="17">
        <v>221554</v>
      </c>
      <c r="D105" s="17">
        <v>221600</v>
      </c>
      <c r="E105" s="46">
        <f t="shared" si="6"/>
        <v>664422</v>
      </c>
      <c r="F105" s="56">
        <v>654552</v>
      </c>
      <c r="G105" s="19">
        <v>0</v>
      </c>
      <c r="H105" s="56">
        <v>648000</v>
      </c>
      <c r="I105" s="19">
        <f t="shared" si="7"/>
        <v>648000</v>
      </c>
      <c r="J105" s="47">
        <v>1359</v>
      </c>
      <c r="K105" s="57"/>
    </row>
    <row r="106" spans="1:11" ht="16.5" thickBot="1" x14ac:dyDescent="0.3">
      <c r="A106" s="55">
        <v>45838</v>
      </c>
      <c r="B106" s="58">
        <v>201940</v>
      </c>
      <c r="C106" s="58">
        <v>217758</v>
      </c>
      <c r="D106" s="58">
        <v>217320</v>
      </c>
      <c r="E106" s="46">
        <f t="shared" si="6"/>
        <v>637018</v>
      </c>
      <c r="F106" s="56">
        <v>629136</v>
      </c>
      <c r="G106" s="19">
        <v>0</v>
      </c>
      <c r="H106" s="56">
        <v>618000</v>
      </c>
      <c r="I106" s="19">
        <f t="shared" si="7"/>
        <v>618000</v>
      </c>
      <c r="J106" s="59">
        <v>1329</v>
      </c>
      <c r="K106" s="60"/>
    </row>
    <row r="107" spans="1:11" ht="16.5" thickBot="1" x14ac:dyDescent="0.3">
      <c r="A107" s="61" t="s">
        <v>13</v>
      </c>
      <c r="B107" s="62">
        <f t="shared" ref="B107:G107" si="8">SUM(B77:B106)</f>
        <v>4881168</v>
      </c>
      <c r="C107" s="62">
        <f t="shared" si="8"/>
        <v>3715272</v>
      </c>
      <c r="D107" s="62">
        <f t="shared" si="8"/>
        <v>4852864</v>
      </c>
      <c r="E107" s="63">
        <f t="shared" si="8"/>
        <v>13449304</v>
      </c>
      <c r="F107" s="63">
        <f t="shared" si="8"/>
        <v>13244148</v>
      </c>
      <c r="G107" s="63">
        <f t="shared" si="8"/>
        <v>3000</v>
      </c>
      <c r="H107" s="63">
        <f>SUM(H77:H106)</f>
        <v>13101000</v>
      </c>
      <c r="I107" s="63">
        <f>SUM(I77:I106)</f>
        <v>13098000</v>
      </c>
      <c r="J107" s="63">
        <f>SUM(J77:J106)</f>
        <v>40622</v>
      </c>
      <c r="K107" s="64"/>
    </row>
    <row r="108" spans="1:11" ht="16.5" thickBot="1" x14ac:dyDescent="0.3">
      <c r="A108" s="35"/>
      <c r="B108" s="36"/>
      <c r="C108" s="36"/>
      <c r="D108" s="36"/>
      <c r="E108" s="37"/>
      <c r="F108" s="38"/>
      <c r="G108" s="38"/>
      <c r="H108" s="39"/>
      <c r="I108" s="40"/>
      <c r="J108" s="41"/>
      <c r="K108" s="42"/>
    </row>
    <row r="109" spans="1:11" ht="21.75" thickBot="1" x14ac:dyDescent="0.3">
      <c r="A109" s="3" t="s">
        <v>16</v>
      </c>
      <c r="B109" s="4"/>
      <c r="C109" s="4"/>
      <c r="D109" s="4"/>
      <c r="E109" s="4"/>
      <c r="F109" s="4"/>
      <c r="G109" s="4"/>
      <c r="H109" s="4"/>
      <c r="I109" s="4"/>
      <c r="J109" s="4"/>
      <c r="K109" s="5"/>
    </row>
    <row r="110" spans="1:11" x14ac:dyDescent="0.25">
      <c r="A110" s="6" t="s">
        <v>2</v>
      </c>
      <c r="B110" s="7" t="s">
        <v>3</v>
      </c>
      <c r="C110" s="7" t="s">
        <v>4</v>
      </c>
      <c r="D110" s="7" t="s">
        <v>5</v>
      </c>
      <c r="E110" s="8" t="s">
        <v>6</v>
      </c>
      <c r="F110" s="8" t="s">
        <v>7</v>
      </c>
      <c r="G110" s="8" t="s">
        <v>8</v>
      </c>
      <c r="H110" s="8" t="s">
        <v>9</v>
      </c>
      <c r="I110" s="8" t="s">
        <v>10</v>
      </c>
      <c r="J110" s="7" t="s">
        <v>11</v>
      </c>
      <c r="K110" s="9" t="s">
        <v>12</v>
      </c>
    </row>
    <row r="111" spans="1:11" ht="15.75" thickBot="1" x14ac:dyDescent="0.3">
      <c r="A111" s="10"/>
      <c r="B111" s="11"/>
      <c r="C111" s="11"/>
      <c r="D111" s="11"/>
      <c r="E111" s="12"/>
      <c r="F111" s="12"/>
      <c r="G111" s="13"/>
      <c r="H111" s="13"/>
      <c r="I111" s="13"/>
      <c r="J111" s="14"/>
      <c r="K111" s="15"/>
    </row>
    <row r="112" spans="1:11" ht="15.75" x14ac:dyDescent="0.25">
      <c r="A112" s="65">
        <v>45839</v>
      </c>
      <c r="B112" s="66">
        <v>224060</v>
      </c>
      <c r="C112" s="66">
        <v>223624</v>
      </c>
      <c r="D112" s="66">
        <v>224280</v>
      </c>
      <c r="E112" s="46">
        <f>B112+C112+D112</f>
        <v>671964</v>
      </c>
      <c r="F112" s="56">
        <v>663120</v>
      </c>
      <c r="G112" s="19">
        <v>0</v>
      </c>
      <c r="H112" s="56">
        <v>651000</v>
      </c>
      <c r="I112" s="19">
        <f>SUM(H112-G112)</f>
        <v>651000</v>
      </c>
      <c r="J112" s="56">
        <v>1363</v>
      </c>
      <c r="K112" s="57"/>
    </row>
    <row r="113" spans="1:11" ht="15.75" x14ac:dyDescent="0.25">
      <c r="A113" s="65">
        <v>45840</v>
      </c>
      <c r="B113" s="66">
        <v>225048</v>
      </c>
      <c r="C113" s="66">
        <v>225288</v>
      </c>
      <c r="D113" s="66">
        <v>225048</v>
      </c>
      <c r="E113" s="46">
        <f t="shared" ref="E113:E140" si="9">B113+C113+D113</f>
        <v>675384</v>
      </c>
      <c r="F113" s="56">
        <v>665784</v>
      </c>
      <c r="G113" s="19">
        <v>0</v>
      </c>
      <c r="H113" s="56">
        <v>657000</v>
      </c>
      <c r="I113" s="19">
        <f t="shared" ref="I113:I142" si="10">SUM(H113-G113)</f>
        <v>657000</v>
      </c>
      <c r="J113" s="56">
        <v>1400</v>
      </c>
      <c r="K113" s="57"/>
    </row>
    <row r="114" spans="1:11" ht="15.75" x14ac:dyDescent="0.25">
      <c r="A114" s="65">
        <v>45841</v>
      </c>
      <c r="B114" s="66">
        <v>227784</v>
      </c>
      <c r="C114" s="66">
        <v>218256</v>
      </c>
      <c r="D114" s="66">
        <v>227936</v>
      </c>
      <c r="E114" s="46">
        <f t="shared" si="9"/>
        <v>673976</v>
      </c>
      <c r="F114" s="56">
        <v>663048</v>
      </c>
      <c r="G114" s="19">
        <v>0</v>
      </c>
      <c r="H114" s="56">
        <v>654000</v>
      </c>
      <c r="I114" s="19">
        <f t="shared" si="10"/>
        <v>654000</v>
      </c>
      <c r="J114" s="56">
        <v>1420</v>
      </c>
      <c r="K114" s="57"/>
    </row>
    <row r="115" spans="1:11" ht="15.75" x14ac:dyDescent="0.25">
      <c r="A115" s="65">
        <v>45842</v>
      </c>
      <c r="B115" s="66">
        <v>102960</v>
      </c>
      <c r="C115" s="66">
        <v>103056</v>
      </c>
      <c r="D115" s="66">
        <v>103128</v>
      </c>
      <c r="E115" s="46">
        <f t="shared" si="9"/>
        <v>309144</v>
      </c>
      <c r="F115" s="56">
        <v>307368</v>
      </c>
      <c r="G115" s="19">
        <v>0</v>
      </c>
      <c r="H115" s="56">
        <v>306000</v>
      </c>
      <c r="I115" s="19">
        <f t="shared" si="10"/>
        <v>306000</v>
      </c>
      <c r="J115" s="56">
        <v>650</v>
      </c>
      <c r="K115" s="57"/>
    </row>
    <row r="116" spans="1:11" ht="15.75" x14ac:dyDescent="0.25">
      <c r="A116" s="65">
        <v>45843</v>
      </c>
      <c r="B116" s="66">
        <v>0</v>
      </c>
      <c r="C116" s="66">
        <v>0</v>
      </c>
      <c r="D116" s="66">
        <v>0</v>
      </c>
      <c r="E116" s="46">
        <f t="shared" si="9"/>
        <v>0</v>
      </c>
      <c r="F116" s="56">
        <v>0</v>
      </c>
      <c r="G116" s="19">
        <v>0</v>
      </c>
      <c r="H116" s="56">
        <v>0</v>
      </c>
      <c r="I116" s="19">
        <f t="shared" si="10"/>
        <v>0</v>
      </c>
      <c r="J116" s="56">
        <v>0</v>
      </c>
      <c r="K116" s="57"/>
    </row>
    <row r="117" spans="1:11" ht="15.75" x14ac:dyDescent="0.25">
      <c r="A117" s="65">
        <v>45844</v>
      </c>
      <c r="B117" s="66">
        <v>0</v>
      </c>
      <c r="C117" s="66">
        <v>0</v>
      </c>
      <c r="D117" s="66">
        <v>0</v>
      </c>
      <c r="E117" s="46">
        <f t="shared" si="9"/>
        <v>0</v>
      </c>
      <c r="F117" s="56">
        <v>0</v>
      </c>
      <c r="G117" s="19">
        <v>0</v>
      </c>
      <c r="H117" s="56">
        <v>0</v>
      </c>
      <c r="I117" s="19">
        <f t="shared" si="10"/>
        <v>0</v>
      </c>
      <c r="J117" s="56">
        <v>0</v>
      </c>
      <c r="K117" s="57"/>
    </row>
    <row r="118" spans="1:11" ht="15.75" x14ac:dyDescent="0.25">
      <c r="A118" s="65">
        <v>45845</v>
      </c>
      <c r="B118" s="66">
        <v>0</v>
      </c>
      <c r="C118" s="66">
        <v>0</v>
      </c>
      <c r="D118" s="66">
        <v>0</v>
      </c>
      <c r="E118" s="46">
        <f t="shared" si="9"/>
        <v>0</v>
      </c>
      <c r="F118" s="56">
        <v>0</v>
      </c>
      <c r="G118" s="19">
        <v>0</v>
      </c>
      <c r="H118" s="56">
        <v>0</v>
      </c>
      <c r="I118" s="19">
        <f t="shared" si="10"/>
        <v>0</v>
      </c>
      <c r="J118" s="56">
        <v>0</v>
      </c>
      <c r="K118" s="57"/>
    </row>
    <row r="119" spans="1:11" ht="15.75" x14ac:dyDescent="0.25">
      <c r="A119" s="65">
        <v>45846</v>
      </c>
      <c r="B119" s="66">
        <v>0</v>
      </c>
      <c r="C119" s="66">
        <v>0</v>
      </c>
      <c r="D119" s="66">
        <v>0</v>
      </c>
      <c r="E119" s="46">
        <f t="shared" si="9"/>
        <v>0</v>
      </c>
      <c r="F119" s="56">
        <v>4752</v>
      </c>
      <c r="G119" s="19">
        <v>0</v>
      </c>
      <c r="H119" s="56">
        <v>3000</v>
      </c>
      <c r="I119" s="19">
        <f t="shared" si="10"/>
        <v>3000</v>
      </c>
      <c r="J119" s="56">
        <v>98</v>
      </c>
      <c r="K119" s="57"/>
    </row>
    <row r="120" spans="1:11" ht="15.75" x14ac:dyDescent="0.25">
      <c r="A120" s="65">
        <v>45847</v>
      </c>
      <c r="B120" s="66">
        <v>0</v>
      </c>
      <c r="C120" s="66">
        <v>0</v>
      </c>
      <c r="D120" s="66">
        <v>233319</v>
      </c>
      <c r="E120" s="46">
        <f t="shared" si="9"/>
        <v>233319</v>
      </c>
      <c r="F120" s="56">
        <v>230904</v>
      </c>
      <c r="G120" s="19">
        <v>0</v>
      </c>
      <c r="H120" s="56">
        <v>231000</v>
      </c>
      <c r="I120" s="19">
        <f t="shared" si="10"/>
        <v>231000</v>
      </c>
      <c r="J120" s="56">
        <v>1068</v>
      </c>
      <c r="K120" s="57"/>
    </row>
    <row r="121" spans="1:11" ht="15.75" x14ac:dyDescent="0.25">
      <c r="A121" s="65">
        <v>45848</v>
      </c>
      <c r="B121" s="66">
        <v>67864</v>
      </c>
      <c r="C121" s="66">
        <v>212240</v>
      </c>
      <c r="D121" s="66">
        <v>216104</v>
      </c>
      <c r="E121" s="46">
        <f t="shared" si="9"/>
        <v>496208</v>
      </c>
      <c r="F121" s="56">
        <v>489384</v>
      </c>
      <c r="G121" s="19">
        <v>0</v>
      </c>
      <c r="H121" s="56">
        <v>489000</v>
      </c>
      <c r="I121" s="19">
        <f t="shared" si="10"/>
        <v>489000</v>
      </c>
      <c r="J121" s="56">
        <v>1284</v>
      </c>
      <c r="K121" s="57"/>
    </row>
    <row r="122" spans="1:11" ht="15.75" x14ac:dyDescent="0.25">
      <c r="A122" s="65">
        <v>45849</v>
      </c>
      <c r="B122" s="66">
        <v>225056</v>
      </c>
      <c r="C122" s="66">
        <v>224240</v>
      </c>
      <c r="D122" s="66">
        <v>216456</v>
      </c>
      <c r="E122" s="46">
        <f t="shared" si="9"/>
        <v>665752</v>
      </c>
      <c r="F122" s="56">
        <v>656712</v>
      </c>
      <c r="G122" s="19">
        <v>0</v>
      </c>
      <c r="H122" s="56">
        <v>639000</v>
      </c>
      <c r="I122" s="19">
        <f t="shared" si="10"/>
        <v>639000</v>
      </c>
      <c r="J122" s="56">
        <v>1300</v>
      </c>
      <c r="K122" s="57"/>
    </row>
    <row r="123" spans="1:11" ht="15.75" x14ac:dyDescent="0.25">
      <c r="A123" s="65">
        <v>45850</v>
      </c>
      <c r="B123" s="66">
        <v>228208</v>
      </c>
      <c r="C123" s="66">
        <v>228960</v>
      </c>
      <c r="D123" s="66">
        <v>222856</v>
      </c>
      <c r="E123" s="46">
        <f t="shared" si="9"/>
        <v>680024</v>
      </c>
      <c r="F123" s="56">
        <v>669960</v>
      </c>
      <c r="G123" s="19">
        <v>0</v>
      </c>
      <c r="H123" s="56">
        <v>660000</v>
      </c>
      <c r="I123" s="19">
        <f t="shared" si="10"/>
        <v>660000</v>
      </c>
      <c r="J123" s="56">
        <v>1287</v>
      </c>
      <c r="K123" s="57"/>
    </row>
    <row r="124" spans="1:11" ht="15.75" x14ac:dyDescent="0.25">
      <c r="A124" s="65">
        <v>45851</v>
      </c>
      <c r="B124" s="66">
        <v>226768</v>
      </c>
      <c r="C124" s="66">
        <v>227880</v>
      </c>
      <c r="D124" s="66">
        <v>226264</v>
      </c>
      <c r="E124" s="46">
        <f t="shared" si="9"/>
        <v>680912</v>
      </c>
      <c r="F124" s="56">
        <v>671508</v>
      </c>
      <c r="G124" s="19">
        <v>0</v>
      </c>
      <c r="H124" s="56">
        <v>660000</v>
      </c>
      <c r="I124" s="19">
        <f t="shared" si="10"/>
        <v>660000</v>
      </c>
      <c r="J124" s="56">
        <v>1331</v>
      </c>
      <c r="K124" s="57"/>
    </row>
    <row r="125" spans="1:11" ht="15.75" x14ac:dyDescent="0.25">
      <c r="A125" s="65">
        <v>45852</v>
      </c>
      <c r="B125" s="66">
        <v>226304</v>
      </c>
      <c r="C125" s="66">
        <v>226816</v>
      </c>
      <c r="D125" s="66">
        <v>226984</v>
      </c>
      <c r="E125" s="46">
        <f t="shared" si="9"/>
        <v>680104</v>
      </c>
      <c r="F125" s="56">
        <v>670932</v>
      </c>
      <c r="G125" s="19">
        <v>0</v>
      </c>
      <c r="H125" s="56">
        <v>663000</v>
      </c>
      <c r="I125" s="19">
        <f t="shared" si="10"/>
        <v>663000</v>
      </c>
      <c r="J125" s="56">
        <v>1321</v>
      </c>
      <c r="K125" s="57"/>
    </row>
    <row r="126" spans="1:11" ht="15.75" x14ac:dyDescent="0.25">
      <c r="A126" s="65">
        <v>45853</v>
      </c>
      <c r="B126" s="66">
        <v>227392</v>
      </c>
      <c r="C126" s="66">
        <v>226984</v>
      </c>
      <c r="D126" s="66">
        <v>227240</v>
      </c>
      <c r="E126" s="46">
        <f t="shared" si="9"/>
        <v>681616</v>
      </c>
      <c r="F126" s="56">
        <v>672012</v>
      </c>
      <c r="G126" s="19">
        <v>0</v>
      </c>
      <c r="H126" s="56">
        <v>660000</v>
      </c>
      <c r="I126" s="19">
        <f t="shared" si="10"/>
        <v>660000</v>
      </c>
      <c r="J126" s="56">
        <v>1308</v>
      </c>
      <c r="K126" s="57"/>
    </row>
    <row r="127" spans="1:11" ht="15.75" x14ac:dyDescent="0.25">
      <c r="A127" s="65">
        <v>45854</v>
      </c>
      <c r="B127" s="66">
        <v>207000</v>
      </c>
      <c r="C127" s="66">
        <v>208432</v>
      </c>
      <c r="D127" s="66">
        <v>208792</v>
      </c>
      <c r="E127" s="46">
        <f t="shared" si="9"/>
        <v>624224</v>
      </c>
      <c r="F127" s="56">
        <v>616716</v>
      </c>
      <c r="G127" s="19">
        <v>0</v>
      </c>
      <c r="H127" s="56">
        <v>606000</v>
      </c>
      <c r="I127" s="19">
        <f t="shared" si="10"/>
        <v>606000</v>
      </c>
      <c r="J127" s="56">
        <v>1290</v>
      </c>
      <c r="K127" s="57"/>
    </row>
    <row r="128" spans="1:11" ht="15.75" x14ac:dyDescent="0.25">
      <c r="A128" s="65">
        <v>45855</v>
      </c>
      <c r="B128" s="66">
        <v>227576</v>
      </c>
      <c r="C128" s="66">
        <v>226880</v>
      </c>
      <c r="D128" s="66">
        <v>227152</v>
      </c>
      <c r="E128" s="46">
        <f t="shared" si="9"/>
        <v>681608</v>
      </c>
      <c r="F128" s="56">
        <v>673920</v>
      </c>
      <c r="G128" s="19">
        <v>0</v>
      </c>
      <c r="H128" s="56">
        <v>663000</v>
      </c>
      <c r="I128" s="19">
        <f t="shared" si="10"/>
        <v>663000</v>
      </c>
      <c r="J128" s="56">
        <v>1330</v>
      </c>
      <c r="K128" s="57"/>
    </row>
    <row r="129" spans="1:11" ht="15.75" x14ac:dyDescent="0.25">
      <c r="A129" s="65">
        <v>45856</v>
      </c>
      <c r="B129" s="66">
        <v>227024</v>
      </c>
      <c r="C129" s="66">
        <v>227144</v>
      </c>
      <c r="D129" s="66">
        <v>227856</v>
      </c>
      <c r="E129" s="46">
        <f t="shared" si="9"/>
        <v>682024</v>
      </c>
      <c r="F129" s="56">
        <v>673092</v>
      </c>
      <c r="G129" s="19">
        <v>0</v>
      </c>
      <c r="H129" s="56">
        <v>663000</v>
      </c>
      <c r="I129" s="19">
        <f t="shared" si="10"/>
        <v>663000</v>
      </c>
      <c r="J129" s="56">
        <v>1383</v>
      </c>
      <c r="K129" s="57"/>
    </row>
    <row r="130" spans="1:11" ht="15.75" x14ac:dyDescent="0.25">
      <c r="A130" s="65">
        <v>45857</v>
      </c>
      <c r="B130" s="66">
        <v>227208</v>
      </c>
      <c r="C130" s="66">
        <v>227200</v>
      </c>
      <c r="D130" s="66">
        <v>227880</v>
      </c>
      <c r="E130" s="46">
        <f t="shared" si="9"/>
        <v>682288</v>
      </c>
      <c r="F130" s="56">
        <v>673092</v>
      </c>
      <c r="G130" s="19">
        <v>0</v>
      </c>
      <c r="H130" s="56">
        <v>663000</v>
      </c>
      <c r="I130" s="19">
        <f t="shared" si="10"/>
        <v>663000</v>
      </c>
      <c r="J130" s="56">
        <v>1352</v>
      </c>
      <c r="K130" s="57"/>
    </row>
    <row r="131" spans="1:11" ht="15" customHeight="1" x14ac:dyDescent="0.25">
      <c r="A131" s="65">
        <v>45858</v>
      </c>
      <c r="B131" s="66">
        <v>227112</v>
      </c>
      <c r="C131" s="66">
        <v>227144</v>
      </c>
      <c r="D131" s="66">
        <v>227560</v>
      </c>
      <c r="E131" s="46">
        <f t="shared" si="9"/>
        <v>681816</v>
      </c>
      <c r="F131" s="56">
        <v>672732</v>
      </c>
      <c r="G131" s="19">
        <v>0</v>
      </c>
      <c r="H131" s="56">
        <v>663000</v>
      </c>
      <c r="I131" s="19">
        <f t="shared" si="10"/>
        <v>663000</v>
      </c>
      <c r="J131" s="56">
        <v>1421</v>
      </c>
      <c r="K131" s="57"/>
    </row>
    <row r="132" spans="1:11" ht="15.75" x14ac:dyDescent="0.25">
      <c r="A132" s="65">
        <v>45859</v>
      </c>
      <c r="B132" s="66">
        <v>118040</v>
      </c>
      <c r="C132" s="66">
        <v>118304</v>
      </c>
      <c r="D132" s="66">
        <v>118080</v>
      </c>
      <c r="E132" s="46">
        <f t="shared" si="9"/>
        <v>354424</v>
      </c>
      <c r="F132" s="56">
        <v>349560</v>
      </c>
      <c r="G132" s="19">
        <v>0</v>
      </c>
      <c r="H132" s="56">
        <v>345000</v>
      </c>
      <c r="I132" s="19">
        <f t="shared" si="10"/>
        <v>345000</v>
      </c>
      <c r="J132" s="56">
        <v>995</v>
      </c>
      <c r="K132" s="57"/>
    </row>
    <row r="133" spans="1:11" ht="15.75" x14ac:dyDescent="0.25">
      <c r="A133" s="65">
        <v>45860</v>
      </c>
      <c r="B133" s="66">
        <v>228208</v>
      </c>
      <c r="C133" s="66">
        <v>227544</v>
      </c>
      <c r="D133" s="66">
        <v>227688</v>
      </c>
      <c r="E133" s="46">
        <f t="shared" si="9"/>
        <v>683440</v>
      </c>
      <c r="F133" s="56">
        <v>672120</v>
      </c>
      <c r="G133" s="19">
        <v>0</v>
      </c>
      <c r="H133" s="56">
        <v>663000</v>
      </c>
      <c r="I133" s="19">
        <f t="shared" si="10"/>
        <v>663000</v>
      </c>
      <c r="J133" s="56">
        <v>1448</v>
      </c>
      <c r="K133" s="57"/>
    </row>
    <row r="134" spans="1:11" ht="15.75" x14ac:dyDescent="0.25">
      <c r="A134" s="65">
        <v>45861</v>
      </c>
      <c r="B134" s="66">
        <v>225344</v>
      </c>
      <c r="C134" s="66">
        <v>222048</v>
      </c>
      <c r="D134" s="66">
        <v>224776</v>
      </c>
      <c r="E134" s="46">
        <f t="shared" si="9"/>
        <v>672168</v>
      </c>
      <c r="F134" s="56">
        <v>662364</v>
      </c>
      <c r="G134" s="19">
        <v>0</v>
      </c>
      <c r="H134" s="56">
        <v>651000</v>
      </c>
      <c r="I134" s="19">
        <f t="shared" si="10"/>
        <v>651000</v>
      </c>
      <c r="J134" s="56">
        <v>1432</v>
      </c>
      <c r="K134" s="57"/>
    </row>
    <row r="135" spans="1:11" ht="15.75" x14ac:dyDescent="0.25">
      <c r="A135" s="65">
        <v>45862</v>
      </c>
      <c r="B135" s="66">
        <v>227560</v>
      </c>
      <c r="C135" s="66">
        <v>227560</v>
      </c>
      <c r="D135" s="66">
        <v>227776</v>
      </c>
      <c r="E135" s="46">
        <f t="shared" si="9"/>
        <v>682896</v>
      </c>
      <c r="F135" s="56">
        <v>672120</v>
      </c>
      <c r="G135" s="19">
        <v>0</v>
      </c>
      <c r="H135" s="56">
        <v>663000</v>
      </c>
      <c r="I135" s="19">
        <f t="shared" si="10"/>
        <v>663000</v>
      </c>
      <c r="J135" s="56">
        <v>1425</v>
      </c>
      <c r="K135" s="57"/>
    </row>
    <row r="136" spans="1:11" ht="15.75" x14ac:dyDescent="0.25">
      <c r="A136" s="65">
        <v>45863</v>
      </c>
      <c r="B136" s="66">
        <v>229480</v>
      </c>
      <c r="C136" s="66">
        <v>229520</v>
      </c>
      <c r="D136" s="66">
        <v>229240</v>
      </c>
      <c r="E136" s="46">
        <f t="shared" si="9"/>
        <v>688240</v>
      </c>
      <c r="F136" s="56">
        <v>677016</v>
      </c>
      <c r="G136" s="19">
        <v>0</v>
      </c>
      <c r="H136" s="56">
        <v>669000</v>
      </c>
      <c r="I136" s="19">
        <f t="shared" si="10"/>
        <v>669000</v>
      </c>
      <c r="J136" s="56">
        <v>1427</v>
      </c>
      <c r="K136" s="57"/>
    </row>
    <row r="137" spans="1:11" ht="15.75" x14ac:dyDescent="0.25">
      <c r="A137" s="65">
        <v>45864</v>
      </c>
      <c r="B137" s="66">
        <v>229832</v>
      </c>
      <c r="C137" s="66">
        <v>229440</v>
      </c>
      <c r="D137" s="66">
        <v>229192</v>
      </c>
      <c r="E137" s="46">
        <f t="shared" si="9"/>
        <v>688464</v>
      </c>
      <c r="F137" s="56">
        <v>678276</v>
      </c>
      <c r="G137" s="19">
        <v>0</v>
      </c>
      <c r="H137" s="56">
        <v>669000</v>
      </c>
      <c r="I137" s="19">
        <f t="shared" si="10"/>
        <v>669000</v>
      </c>
      <c r="J137" s="56">
        <v>1389</v>
      </c>
      <c r="K137" s="57"/>
    </row>
    <row r="138" spans="1:11" ht="15.75" x14ac:dyDescent="0.25">
      <c r="A138" s="65">
        <v>45865</v>
      </c>
      <c r="B138" s="66">
        <v>227488</v>
      </c>
      <c r="C138" s="66">
        <v>226392</v>
      </c>
      <c r="D138" s="66">
        <v>227712</v>
      </c>
      <c r="E138" s="46">
        <f t="shared" si="9"/>
        <v>681592</v>
      </c>
      <c r="F138" s="56">
        <v>671436</v>
      </c>
      <c r="G138" s="19">
        <v>0</v>
      </c>
      <c r="H138" s="56">
        <v>663000</v>
      </c>
      <c r="I138" s="19">
        <f t="shared" si="10"/>
        <v>663000</v>
      </c>
      <c r="J138" s="56">
        <v>1412</v>
      </c>
      <c r="K138" s="57"/>
    </row>
    <row r="139" spans="1:11" ht="15.75" x14ac:dyDescent="0.25">
      <c r="A139" s="65">
        <v>45866</v>
      </c>
      <c r="B139" s="66">
        <v>227664</v>
      </c>
      <c r="C139" s="66">
        <v>226751</v>
      </c>
      <c r="D139" s="66">
        <v>227896</v>
      </c>
      <c r="E139" s="46">
        <f t="shared" si="9"/>
        <v>682311</v>
      </c>
      <c r="F139" s="56">
        <v>671184</v>
      </c>
      <c r="G139" s="19">
        <v>0</v>
      </c>
      <c r="H139" s="56">
        <v>660000</v>
      </c>
      <c r="I139" s="19">
        <f t="shared" si="10"/>
        <v>660000</v>
      </c>
      <c r="J139" s="56">
        <v>1466</v>
      </c>
      <c r="K139" s="57"/>
    </row>
    <row r="140" spans="1:11" ht="15.75" x14ac:dyDescent="0.25">
      <c r="A140" s="65">
        <v>45867</v>
      </c>
      <c r="B140" s="66">
        <v>215104</v>
      </c>
      <c r="C140" s="66">
        <v>215518</v>
      </c>
      <c r="D140" s="66">
        <v>215064</v>
      </c>
      <c r="E140" s="46">
        <f t="shared" si="9"/>
        <v>645686</v>
      </c>
      <c r="F140" s="56">
        <v>636228</v>
      </c>
      <c r="G140" s="19">
        <v>0</v>
      </c>
      <c r="H140" s="56">
        <v>630000</v>
      </c>
      <c r="I140" s="19">
        <f t="shared" si="10"/>
        <v>630000</v>
      </c>
      <c r="J140" s="56">
        <v>1376</v>
      </c>
      <c r="K140" s="57"/>
    </row>
    <row r="141" spans="1:11" ht="15.75" x14ac:dyDescent="0.25">
      <c r="A141" s="65">
        <v>45868</v>
      </c>
      <c r="B141" s="66">
        <v>0</v>
      </c>
      <c r="C141" s="66">
        <v>0</v>
      </c>
      <c r="D141" s="67">
        <v>0</v>
      </c>
      <c r="E141" s="46">
        <f>B141+C141+D141</f>
        <v>0</v>
      </c>
      <c r="F141" s="56">
        <v>0</v>
      </c>
      <c r="G141" s="19">
        <v>0</v>
      </c>
      <c r="H141" s="56">
        <v>0</v>
      </c>
      <c r="I141" s="19">
        <f t="shared" si="10"/>
        <v>0</v>
      </c>
      <c r="J141" s="56">
        <v>382</v>
      </c>
      <c r="K141" s="57"/>
    </row>
    <row r="142" spans="1:11" ht="16.5" thickBot="1" x14ac:dyDescent="0.3">
      <c r="A142" s="65">
        <v>45869</v>
      </c>
      <c r="B142" s="67">
        <v>0</v>
      </c>
      <c r="C142" s="67">
        <v>0</v>
      </c>
      <c r="D142" s="67">
        <v>0</v>
      </c>
      <c r="E142" s="46">
        <f>B142+C142+D142</f>
        <v>0</v>
      </c>
      <c r="F142" s="56">
        <v>0</v>
      </c>
      <c r="G142" s="59">
        <v>3000</v>
      </c>
      <c r="H142" s="56">
        <v>0</v>
      </c>
      <c r="I142" s="19">
        <f t="shared" si="10"/>
        <v>-3000</v>
      </c>
      <c r="J142" s="56">
        <v>445</v>
      </c>
      <c r="K142" s="60"/>
    </row>
    <row r="143" spans="1:11" ht="16.5" thickBot="1" x14ac:dyDescent="0.3">
      <c r="A143" s="68" t="s">
        <v>13</v>
      </c>
      <c r="B143" s="69">
        <f t="shared" ref="B143:G143" si="11">SUM(B112:B142)</f>
        <v>5026084</v>
      </c>
      <c r="C143" s="69">
        <f t="shared" si="11"/>
        <v>5157221</v>
      </c>
      <c r="D143" s="69">
        <f t="shared" si="11"/>
        <v>5396279</v>
      </c>
      <c r="E143" s="70">
        <f>SUM(E112:E142)</f>
        <v>15579584</v>
      </c>
      <c r="F143" s="71">
        <f t="shared" si="11"/>
        <v>15365340</v>
      </c>
      <c r="G143" s="71">
        <f t="shared" si="11"/>
        <v>3000</v>
      </c>
      <c r="H143" s="71">
        <f>SUM(H112:H142)</f>
        <v>15144000</v>
      </c>
      <c r="I143" s="71">
        <f>SUM(I112:I142)</f>
        <v>15141000</v>
      </c>
      <c r="J143" s="72">
        <f>SUM(J112:J142)</f>
        <v>33803</v>
      </c>
      <c r="K143" s="73"/>
    </row>
    <row r="144" spans="1:11" ht="16.5" thickBot="1" x14ac:dyDescent="0.3">
      <c r="A144" s="35"/>
      <c r="B144" s="36"/>
      <c r="C144" s="36"/>
      <c r="D144" s="36"/>
      <c r="E144" s="37"/>
      <c r="F144" s="38"/>
      <c r="G144" s="38"/>
      <c r="H144" s="39"/>
      <c r="I144" s="40"/>
      <c r="J144" s="41"/>
      <c r="K144" s="42"/>
    </row>
    <row r="145" spans="1:11" ht="21.75" thickBot="1" x14ac:dyDescent="0.3">
      <c r="A145" s="3" t="s">
        <v>17</v>
      </c>
      <c r="B145" s="4"/>
      <c r="C145" s="4"/>
      <c r="D145" s="4"/>
      <c r="E145" s="4"/>
      <c r="F145" s="4"/>
      <c r="G145" s="4"/>
      <c r="H145" s="4"/>
      <c r="I145" s="4"/>
      <c r="J145" s="4"/>
      <c r="K145" s="5"/>
    </row>
    <row r="146" spans="1:11" x14ac:dyDescent="0.25">
      <c r="A146" s="6" t="s">
        <v>2</v>
      </c>
      <c r="B146" s="7" t="s">
        <v>3</v>
      </c>
      <c r="C146" s="7" t="s">
        <v>4</v>
      </c>
      <c r="D146" s="7" t="s">
        <v>5</v>
      </c>
      <c r="E146" s="8" t="s">
        <v>6</v>
      </c>
      <c r="F146" s="8" t="s">
        <v>7</v>
      </c>
      <c r="G146" s="8" t="s">
        <v>8</v>
      </c>
      <c r="H146" s="8" t="s">
        <v>9</v>
      </c>
      <c r="I146" s="8" t="s">
        <v>10</v>
      </c>
      <c r="J146" s="7" t="s">
        <v>11</v>
      </c>
      <c r="K146" s="9" t="s">
        <v>12</v>
      </c>
    </row>
    <row r="147" spans="1:11" ht="15.75" thickBot="1" x14ac:dyDescent="0.3">
      <c r="A147" s="10"/>
      <c r="B147" s="11"/>
      <c r="C147" s="11"/>
      <c r="D147" s="11"/>
      <c r="E147" s="12"/>
      <c r="F147" s="12"/>
      <c r="G147" s="13"/>
      <c r="H147" s="13"/>
      <c r="I147" s="13"/>
      <c r="J147" s="14"/>
      <c r="K147" s="44"/>
    </row>
    <row r="148" spans="1:11" ht="15.75" x14ac:dyDescent="0.25">
      <c r="A148" s="74">
        <v>45870</v>
      </c>
      <c r="B148" s="17">
        <v>0</v>
      </c>
      <c r="C148" s="17">
        <v>0</v>
      </c>
      <c r="D148" s="17">
        <v>0</v>
      </c>
      <c r="E148" s="46">
        <f>B148+C148+D148</f>
        <v>0</v>
      </c>
      <c r="F148" s="56">
        <v>0</v>
      </c>
      <c r="G148" s="56">
        <v>0</v>
      </c>
      <c r="H148" s="56">
        <v>0</v>
      </c>
      <c r="I148" s="19">
        <f>SUM(H148-G148)</f>
        <v>0</v>
      </c>
      <c r="J148" s="56">
        <v>556</v>
      </c>
      <c r="K148" s="75"/>
    </row>
    <row r="149" spans="1:11" ht="15.75" x14ac:dyDescent="0.25">
      <c r="A149" s="74">
        <v>45871</v>
      </c>
      <c r="B149" s="17">
        <v>0</v>
      </c>
      <c r="C149" s="17">
        <v>0</v>
      </c>
      <c r="D149" s="17">
        <v>0</v>
      </c>
      <c r="E149" s="46">
        <f t="shared" ref="E149:E178" si="12">B149+C149+D149</f>
        <v>0</v>
      </c>
      <c r="F149" s="56">
        <v>0</v>
      </c>
      <c r="G149" s="56">
        <v>3000</v>
      </c>
      <c r="H149" s="56">
        <v>0</v>
      </c>
      <c r="I149" s="19">
        <f t="shared" ref="I149:I178" si="13">SUM(H149-G149)</f>
        <v>-3000</v>
      </c>
      <c r="J149" s="56">
        <v>460</v>
      </c>
      <c r="K149" s="57"/>
    </row>
    <row r="150" spans="1:11" ht="15.75" x14ac:dyDescent="0.25">
      <c r="A150" s="74">
        <v>45872</v>
      </c>
      <c r="B150" s="17">
        <v>0</v>
      </c>
      <c r="C150" s="17">
        <v>0</v>
      </c>
      <c r="D150" s="17">
        <v>0</v>
      </c>
      <c r="E150" s="46">
        <f t="shared" si="12"/>
        <v>0</v>
      </c>
      <c r="F150" s="56">
        <v>0</v>
      </c>
      <c r="G150" s="56">
        <v>0</v>
      </c>
      <c r="H150" s="56">
        <v>0</v>
      </c>
      <c r="I150" s="19">
        <f t="shared" si="13"/>
        <v>0</v>
      </c>
      <c r="J150" s="56">
        <v>437</v>
      </c>
      <c r="K150" s="57"/>
    </row>
    <row r="151" spans="1:11" ht="15.75" x14ac:dyDescent="0.25">
      <c r="A151" s="74">
        <v>45873</v>
      </c>
      <c r="B151" s="17">
        <v>0</v>
      </c>
      <c r="C151" s="17">
        <v>0</v>
      </c>
      <c r="D151" s="17">
        <v>0</v>
      </c>
      <c r="E151" s="46">
        <f t="shared" si="12"/>
        <v>0</v>
      </c>
      <c r="F151" s="56">
        <v>0</v>
      </c>
      <c r="G151" s="56">
        <v>3000</v>
      </c>
      <c r="H151" s="56">
        <v>0</v>
      </c>
      <c r="I151" s="19">
        <f t="shared" si="13"/>
        <v>-3000</v>
      </c>
      <c r="J151" s="56">
        <v>436</v>
      </c>
      <c r="K151" s="57"/>
    </row>
    <row r="152" spans="1:11" ht="15.75" x14ac:dyDescent="0.25">
      <c r="A152" s="74">
        <v>45874</v>
      </c>
      <c r="B152" s="17">
        <v>0</v>
      </c>
      <c r="C152" s="17">
        <v>0</v>
      </c>
      <c r="D152" s="17">
        <v>0</v>
      </c>
      <c r="E152" s="46">
        <f t="shared" si="12"/>
        <v>0</v>
      </c>
      <c r="F152" s="56">
        <v>0</v>
      </c>
      <c r="G152" s="56">
        <v>0</v>
      </c>
      <c r="H152" s="56">
        <v>0</v>
      </c>
      <c r="I152" s="19">
        <f t="shared" si="13"/>
        <v>0</v>
      </c>
      <c r="J152" s="56">
        <v>412</v>
      </c>
      <c r="K152" s="57"/>
    </row>
    <row r="153" spans="1:11" ht="15.75" x14ac:dyDescent="0.25">
      <c r="A153" s="74">
        <v>45875</v>
      </c>
      <c r="B153" s="17">
        <v>0</v>
      </c>
      <c r="C153" s="17">
        <v>0</v>
      </c>
      <c r="D153" s="17">
        <v>0</v>
      </c>
      <c r="E153" s="46">
        <f t="shared" si="12"/>
        <v>0</v>
      </c>
      <c r="F153" s="56">
        <v>0</v>
      </c>
      <c r="G153" s="76">
        <v>0</v>
      </c>
      <c r="H153" s="56">
        <v>0</v>
      </c>
      <c r="I153" s="19">
        <f t="shared" si="13"/>
        <v>0</v>
      </c>
      <c r="J153" s="56">
        <v>407</v>
      </c>
      <c r="K153" s="57"/>
    </row>
    <row r="154" spans="1:11" ht="15.75" x14ac:dyDescent="0.25">
      <c r="A154" s="74">
        <v>45876</v>
      </c>
      <c r="B154" s="17">
        <v>0</v>
      </c>
      <c r="C154" s="17">
        <v>0</v>
      </c>
      <c r="D154" s="17">
        <v>0</v>
      </c>
      <c r="E154" s="46">
        <f t="shared" si="12"/>
        <v>0</v>
      </c>
      <c r="F154" s="56">
        <v>0</v>
      </c>
      <c r="G154" s="56">
        <v>3000</v>
      </c>
      <c r="H154" s="56">
        <v>0</v>
      </c>
      <c r="I154" s="19">
        <f t="shared" si="13"/>
        <v>-3000</v>
      </c>
      <c r="J154" s="56">
        <v>410</v>
      </c>
      <c r="K154" s="57"/>
    </row>
    <row r="155" spans="1:11" ht="15.75" x14ac:dyDescent="0.25">
      <c r="A155" s="74">
        <v>45877</v>
      </c>
      <c r="B155" s="17">
        <v>0</v>
      </c>
      <c r="C155" s="17">
        <v>0</v>
      </c>
      <c r="D155" s="17">
        <v>0</v>
      </c>
      <c r="E155" s="46">
        <f t="shared" si="12"/>
        <v>0</v>
      </c>
      <c r="F155" s="56">
        <v>0</v>
      </c>
      <c r="G155" s="56">
        <v>0</v>
      </c>
      <c r="H155" s="56">
        <v>0</v>
      </c>
      <c r="I155" s="19">
        <f t="shared" si="13"/>
        <v>0</v>
      </c>
      <c r="J155" s="56">
        <v>492</v>
      </c>
      <c r="K155" s="57"/>
    </row>
    <row r="156" spans="1:11" ht="15.75" x14ac:dyDescent="0.25">
      <c r="A156" s="74">
        <v>45878</v>
      </c>
      <c r="B156" s="17">
        <v>0</v>
      </c>
      <c r="C156" s="17">
        <v>0</v>
      </c>
      <c r="D156" s="17">
        <v>0</v>
      </c>
      <c r="E156" s="46">
        <f t="shared" si="12"/>
        <v>0</v>
      </c>
      <c r="F156" s="56">
        <v>0</v>
      </c>
      <c r="G156" s="56">
        <v>3000</v>
      </c>
      <c r="H156" s="56">
        <v>0</v>
      </c>
      <c r="I156" s="19">
        <f t="shared" si="13"/>
        <v>-3000</v>
      </c>
      <c r="J156" s="56">
        <v>401</v>
      </c>
      <c r="K156" s="57"/>
    </row>
    <row r="157" spans="1:11" ht="15.75" x14ac:dyDescent="0.25">
      <c r="A157" s="74">
        <v>45879</v>
      </c>
      <c r="B157" s="17">
        <v>0</v>
      </c>
      <c r="C157" s="17">
        <v>0</v>
      </c>
      <c r="D157" s="17">
        <v>0</v>
      </c>
      <c r="E157" s="46">
        <f t="shared" si="12"/>
        <v>0</v>
      </c>
      <c r="F157" s="56">
        <v>0</v>
      </c>
      <c r="G157" s="56">
        <v>0</v>
      </c>
      <c r="H157" s="56">
        <v>0</v>
      </c>
      <c r="I157" s="19">
        <f t="shared" si="13"/>
        <v>0</v>
      </c>
      <c r="J157" s="56">
        <v>437</v>
      </c>
      <c r="K157" s="57"/>
    </row>
    <row r="158" spans="1:11" ht="15.75" x14ac:dyDescent="0.25">
      <c r="A158" s="74">
        <v>45880</v>
      </c>
      <c r="B158" s="17">
        <v>0</v>
      </c>
      <c r="C158" s="17">
        <v>0</v>
      </c>
      <c r="D158" s="17">
        <v>0</v>
      </c>
      <c r="E158" s="46">
        <f t="shared" si="12"/>
        <v>0</v>
      </c>
      <c r="F158" s="56">
        <v>0</v>
      </c>
      <c r="G158" s="56">
        <v>3000</v>
      </c>
      <c r="H158" s="56">
        <v>0</v>
      </c>
      <c r="I158" s="19">
        <f t="shared" si="13"/>
        <v>-3000</v>
      </c>
      <c r="J158" s="56">
        <v>439</v>
      </c>
      <c r="K158" s="57"/>
    </row>
    <row r="159" spans="1:11" ht="15.75" x14ac:dyDescent="0.25">
      <c r="A159" s="74">
        <v>45881</v>
      </c>
      <c r="B159" s="17">
        <v>0</v>
      </c>
      <c r="C159" s="17">
        <v>0</v>
      </c>
      <c r="D159" s="17">
        <v>0</v>
      </c>
      <c r="E159" s="46">
        <f t="shared" si="12"/>
        <v>0</v>
      </c>
      <c r="F159" s="56">
        <v>0</v>
      </c>
      <c r="G159" s="56">
        <v>0</v>
      </c>
      <c r="H159" s="56">
        <v>0</v>
      </c>
      <c r="I159" s="19">
        <f t="shared" si="13"/>
        <v>0</v>
      </c>
      <c r="J159" s="56">
        <v>459</v>
      </c>
      <c r="K159" s="57"/>
    </row>
    <row r="160" spans="1:11" ht="15.75" x14ac:dyDescent="0.25">
      <c r="A160" s="74">
        <v>45882</v>
      </c>
      <c r="B160" s="17">
        <v>0</v>
      </c>
      <c r="C160" s="17">
        <v>0</v>
      </c>
      <c r="D160" s="17">
        <v>0</v>
      </c>
      <c r="E160" s="46">
        <f t="shared" si="12"/>
        <v>0</v>
      </c>
      <c r="F160" s="56">
        <v>0</v>
      </c>
      <c r="G160" s="56">
        <v>3000</v>
      </c>
      <c r="H160" s="56">
        <v>0</v>
      </c>
      <c r="I160" s="19">
        <f t="shared" si="13"/>
        <v>-3000</v>
      </c>
      <c r="J160" s="56">
        <v>454</v>
      </c>
      <c r="K160" s="57"/>
    </row>
    <row r="161" spans="1:11" ht="15.75" x14ac:dyDescent="0.25">
      <c r="A161" s="74">
        <v>45883</v>
      </c>
      <c r="B161" s="17">
        <v>0</v>
      </c>
      <c r="C161" s="17">
        <v>0</v>
      </c>
      <c r="D161" s="17">
        <v>0</v>
      </c>
      <c r="E161" s="46">
        <f t="shared" si="12"/>
        <v>0</v>
      </c>
      <c r="F161" s="56">
        <v>0</v>
      </c>
      <c r="G161" s="56">
        <v>0</v>
      </c>
      <c r="H161" s="56">
        <v>0</v>
      </c>
      <c r="I161" s="19">
        <f t="shared" si="13"/>
        <v>0</v>
      </c>
      <c r="J161" s="56">
        <v>360</v>
      </c>
      <c r="K161" s="57"/>
    </row>
    <row r="162" spans="1:11" ht="15.75" x14ac:dyDescent="0.25">
      <c r="A162" s="74">
        <v>45884</v>
      </c>
      <c r="B162" s="17">
        <v>0</v>
      </c>
      <c r="C162" s="17">
        <v>0</v>
      </c>
      <c r="D162" s="17">
        <v>0</v>
      </c>
      <c r="E162" s="46">
        <f t="shared" si="12"/>
        <v>0</v>
      </c>
      <c r="F162" s="56">
        <v>0</v>
      </c>
      <c r="G162" s="56">
        <v>0</v>
      </c>
      <c r="H162" s="56">
        <v>0</v>
      </c>
      <c r="I162" s="19">
        <f t="shared" si="13"/>
        <v>0</v>
      </c>
      <c r="J162" s="56">
        <v>410</v>
      </c>
      <c r="K162" s="57"/>
    </row>
    <row r="163" spans="1:11" ht="14.25" customHeight="1" x14ac:dyDescent="0.25">
      <c r="A163" s="74">
        <v>45885</v>
      </c>
      <c r="B163" s="17">
        <v>68304</v>
      </c>
      <c r="C163" s="17">
        <v>68162</v>
      </c>
      <c r="D163" s="17">
        <v>68080</v>
      </c>
      <c r="E163" s="46">
        <f t="shared" si="12"/>
        <v>204546</v>
      </c>
      <c r="F163" s="56">
        <v>201780</v>
      </c>
      <c r="G163" s="56">
        <v>3000</v>
      </c>
      <c r="H163" s="56">
        <v>198000</v>
      </c>
      <c r="I163" s="19">
        <f>SUM(H163-G163)</f>
        <v>195000</v>
      </c>
      <c r="J163" s="56">
        <v>834</v>
      </c>
      <c r="K163" s="57"/>
    </row>
    <row r="164" spans="1:11" ht="15.75" x14ac:dyDescent="0.25">
      <c r="A164" s="74">
        <v>45886</v>
      </c>
      <c r="B164" s="17">
        <v>192752</v>
      </c>
      <c r="C164" s="17">
        <v>192760</v>
      </c>
      <c r="D164" s="17">
        <v>193360</v>
      </c>
      <c r="E164" s="46">
        <f t="shared" si="12"/>
        <v>578872</v>
      </c>
      <c r="F164" s="56">
        <v>570780</v>
      </c>
      <c r="G164" s="56">
        <v>0</v>
      </c>
      <c r="H164" s="56">
        <v>564000</v>
      </c>
      <c r="I164" s="19">
        <f t="shared" si="13"/>
        <v>564000</v>
      </c>
      <c r="J164" s="56">
        <v>1316</v>
      </c>
      <c r="K164" s="57"/>
    </row>
    <row r="165" spans="1:11" ht="15.75" x14ac:dyDescent="0.25">
      <c r="A165" s="74">
        <v>45887</v>
      </c>
      <c r="B165" s="17">
        <v>210560</v>
      </c>
      <c r="C165" s="17">
        <v>210341</v>
      </c>
      <c r="D165" s="17">
        <v>210320</v>
      </c>
      <c r="E165" s="46">
        <f t="shared" si="12"/>
        <v>631221</v>
      </c>
      <c r="F165" s="56">
        <v>621900</v>
      </c>
      <c r="G165" s="56">
        <v>0</v>
      </c>
      <c r="H165" s="56">
        <v>612000</v>
      </c>
      <c r="I165" s="19">
        <f t="shared" si="13"/>
        <v>612000</v>
      </c>
      <c r="J165" s="56">
        <v>1317</v>
      </c>
      <c r="K165" s="57"/>
    </row>
    <row r="166" spans="1:11" ht="15.75" x14ac:dyDescent="0.25">
      <c r="A166" s="74">
        <v>45888</v>
      </c>
      <c r="B166" s="17">
        <v>226832</v>
      </c>
      <c r="C166" s="17">
        <v>227438</v>
      </c>
      <c r="D166" s="17">
        <v>227176</v>
      </c>
      <c r="E166" s="46">
        <f t="shared" si="12"/>
        <v>681446</v>
      </c>
      <c r="F166" s="56">
        <v>671400</v>
      </c>
      <c r="G166" s="56">
        <v>0</v>
      </c>
      <c r="H166" s="56">
        <v>660000</v>
      </c>
      <c r="I166" s="19">
        <f t="shared" si="13"/>
        <v>660000</v>
      </c>
      <c r="J166" s="56">
        <v>1296</v>
      </c>
      <c r="K166" s="57"/>
    </row>
    <row r="167" spans="1:11" ht="15.75" x14ac:dyDescent="0.25">
      <c r="A167" s="74">
        <v>45889</v>
      </c>
      <c r="B167" s="17">
        <v>227328</v>
      </c>
      <c r="C167" s="17">
        <v>227330</v>
      </c>
      <c r="D167" s="17">
        <v>227601</v>
      </c>
      <c r="E167" s="46">
        <f t="shared" si="12"/>
        <v>682259</v>
      </c>
      <c r="F167" s="56">
        <v>671940</v>
      </c>
      <c r="G167" s="56">
        <v>0</v>
      </c>
      <c r="H167" s="56">
        <v>669000</v>
      </c>
      <c r="I167" s="19">
        <f t="shared" si="13"/>
        <v>669000</v>
      </c>
      <c r="J167" s="56">
        <v>1281</v>
      </c>
      <c r="K167" s="57"/>
    </row>
    <row r="168" spans="1:11" ht="15.75" x14ac:dyDescent="0.25">
      <c r="A168" s="74">
        <v>45890</v>
      </c>
      <c r="B168" s="17">
        <v>227304</v>
      </c>
      <c r="C168" s="17">
        <v>216318</v>
      </c>
      <c r="D168" s="17">
        <v>227393</v>
      </c>
      <c r="E168" s="46">
        <f t="shared" si="12"/>
        <v>671015</v>
      </c>
      <c r="F168" s="56">
        <v>662400</v>
      </c>
      <c r="G168" s="56">
        <v>0</v>
      </c>
      <c r="H168" s="56">
        <v>651000</v>
      </c>
      <c r="I168" s="19">
        <f t="shared" si="13"/>
        <v>651000</v>
      </c>
      <c r="J168" s="56">
        <v>1262</v>
      </c>
      <c r="K168" s="57"/>
    </row>
    <row r="169" spans="1:11" ht="15.75" x14ac:dyDescent="0.25">
      <c r="A169" s="74">
        <v>45891</v>
      </c>
      <c r="B169" s="17">
        <v>228488</v>
      </c>
      <c r="C169" s="17">
        <v>215107</v>
      </c>
      <c r="D169" s="17">
        <v>228616</v>
      </c>
      <c r="E169" s="46">
        <f t="shared" si="12"/>
        <v>672211</v>
      </c>
      <c r="F169" s="56">
        <v>662724</v>
      </c>
      <c r="G169" s="56">
        <v>0</v>
      </c>
      <c r="H169" s="56">
        <v>654000</v>
      </c>
      <c r="I169" s="19">
        <f t="shared" si="13"/>
        <v>654000</v>
      </c>
      <c r="J169" s="56">
        <v>1271</v>
      </c>
      <c r="K169" s="57"/>
    </row>
    <row r="170" spans="1:11" ht="15.75" x14ac:dyDescent="0.25">
      <c r="A170" s="74">
        <v>45892</v>
      </c>
      <c r="B170" s="17">
        <v>226544</v>
      </c>
      <c r="C170" s="17">
        <v>226203</v>
      </c>
      <c r="D170" s="17">
        <v>226782</v>
      </c>
      <c r="E170" s="46">
        <f t="shared" si="12"/>
        <v>679529</v>
      </c>
      <c r="F170" s="56">
        <v>670032</v>
      </c>
      <c r="G170" s="56">
        <v>0</v>
      </c>
      <c r="H170" s="56">
        <v>657000</v>
      </c>
      <c r="I170" s="19">
        <f t="shared" si="13"/>
        <v>657000</v>
      </c>
      <c r="J170" s="56">
        <v>1241</v>
      </c>
      <c r="K170" s="57"/>
    </row>
    <row r="171" spans="1:11" ht="15.75" x14ac:dyDescent="0.25">
      <c r="A171" s="74">
        <v>45893</v>
      </c>
      <c r="B171" s="17">
        <v>138064</v>
      </c>
      <c r="C171" s="17">
        <v>146077</v>
      </c>
      <c r="D171" s="17">
        <v>141551</v>
      </c>
      <c r="E171" s="46">
        <f t="shared" si="12"/>
        <v>425692</v>
      </c>
      <c r="F171" s="56">
        <v>420084</v>
      </c>
      <c r="G171" s="56">
        <v>0</v>
      </c>
      <c r="H171" s="56">
        <v>414000</v>
      </c>
      <c r="I171" s="19">
        <f t="shared" si="13"/>
        <v>414000</v>
      </c>
      <c r="J171" s="56">
        <v>1116</v>
      </c>
      <c r="K171" s="57"/>
    </row>
    <row r="172" spans="1:11" ht="15.75" x14ac:dyDescent="0.25">
      <c r="A172" s="74">
        <v>45894</v>
      </c>
      <c r="B172" s="17">
        <v>226592</v>
      </c>
      <c r="C172" s="17">
        <v>226083</v>
      </c>
      <c r="D172" s="17">
        <v>226916</v>
      </c>
      <c r="E172" s="46">
        <f t="shared" si="12"/>
        <v>679591</v>
      </c>
      <c r="F172" s="56">
        <v>669780</v>
      </c>
      <c r="G172" s="56">
        <v>0</v>
      </c>
      <c r="H172" s="56">
        <v>660000</v>
      </c>
      <c r="I172" s="19">
        <f t="shared" si="13"/>
        <v>660000</v>
      </c>
      <c r="J172" s="56">
        <v>1370</v>
      </c>
      <c r="K172" s="57"/>
    </row>
    <row r="173" spans="1:11" ht="15.75" x14ac:dyDescent="0.25">
      <c r="A173" s="74">
        <v>45895</v>
      </c>
      <c r="B173" s="17">
        <v>170240</v>
      </c>
      <c r="C173" s="17">
        <v>170033</v>
      </c>
      <c r="D173" s="17">
        <v>168896</v>
      </c>
      <c r="E173" s="46">
        <f t="shared" si="12"/>
        <v>509169</v>
      </c>
      <c r="F173" s="56">
        <v>501480</v>
      </c>
      <c r="G173" s="56">
        <v>0</v>
      </c>
      <c r="H173" s="56">
        <v>495000</v>
      </c>
      <c r="I173" s="19">
        <f t="shared" si="13"/>
        <v>495000</v>
      </c>
      <c r="J173" s="56">
        <v>1325</v>
      </c>
      <c r="K173" s="57"/>
    </row>
    <row r="174" spans="1:11" ht="15.75" x14ac:dyDescent="0.25">
      <c r="A174" s="74">
        <v>45896</v>
      </c>
      <c r="B174" s="17">
        <v>221064</v>
      </c>
      <c r="C174" s="17">
        <v>220769</v>
      </c>
      <c r="D174" s="17">
        <v>220747</v>
      </c>
      <c r="E174" s="46">
        <f t="shared" si="12"/>
        <v>662580</v>
      </c>
      <c r="F174" s="56">
        <v>652860</v>
      </c>
      <c r="G174" s="56">
        <v>0</v>
      </c>
      <c r="H174" s="56">
        <v>642000</v>
      </c>
      <c r="I174" s="19">
        <f t="shared" si="13"/>
        <v>642000</v>
      </c>
      <c r="J174" s="56">
        <v>1316</v>
      </c>
      <c r="K174" s="57"/>
    </row>
    <row r="175" spans="1:11" ht="15.75" x14ac:dyDescent="0.25">
      <c r="A175" s="74">
        <v>45897</v>
      </c>
      <c r="B175" s="17">
        <v>225432</v>
      </c>
      <c r="C175" s="17">
        <v>225565</v>
      </c>
      <c r="D175" s="17">
        <v>225898</v>
      </c>
      <c r="E175" s="46">
        <f t="shared" si="12"/>
        <v>676895</v>
      </c>
      <c r="F175" s="56">
        <v>668232</v>
      </c>
      <c r="G175" s="56">
        <v>0</v>
      </c>
      <c r="H175" s="56">
        <v>660000</v>
      </c>
      <c r="I175" s="19">
        <f t="shared" si="13"/>
        <v>660000</v>
      </c>
      <c r="J175" s="56">
        <v>1310</v>
      </c>
      <c r="K175" s="57"/>
    </row>
    <row r="176" spans="1:11" ht="15.75" x14ac:dyDescent="0.25">
      <c r="A176" s="74">
        <v>45898</v>
      </c>
      <c r="B176" s="17">
        <v>219328</v>
      </c>
      <c r="C176" s="17">
        <v>220854</v>
      </c>
      <c r="D176" s="17">
        <v>207009</v>
      </c>
      <c r="E176" s="46">
        <f t="shared" si="12"/>
        <v>647191</v>
      </c>
      <c r="F176" s="56">
        <v>639252</v>
      </c>
      <c r="G176" s="56">
        <v>0</v>
      </c>
      <c r="H176" s="56">
        <v>630000</v>
      </c>
      <c r="I176" s="19">
        <f t="shared" si="13"/>
        <v>630000</v>
      </c>
      <c r="J176" s="56">
        <v>1302</v>
      </c>
      <c r="K176" s="57"/>
    </row>
    <row r="177" spans="1:11" ht="15.75" x14ac:dyDescent="0.25">
      <c r="A177" s="74">
        <v>45899</v>
      </c>
      <c r="B177" s="17">
        <v>213768</v>
      </c>
      <c r="C177" s="17">
        <v>220313</v>
      </c>
      <c r="D177" s="17">
        <v>218997</v>
      </c>
      <c r="E177" s="46">
        <f t="shared" si="12"/>
        <v>653078</v>
      </c>
      <c r="F177" s="56">
        <v>645732</v>
      </c>
      <c r="G177" s="56">
        <v>0</v>
      </c>
      <c r="H177" s="56">
        <v>630000</v>
      </c>
      <c r="I177" s="19">
        <f t="shared" si="13"/>
        <v>630000</v>
      </c>
      <c r="J177" s="56">
        <v>1308</v>
      </c>
      <c r="K177" s="57"/>
    </row>
    <row r="178" spans="1:11" ht="16.5" thickBot="1" x14ac:dyDescent="0.3">
      <c r="A178" s="74">
        <v>45900</v>
      </c>
      <c r="B178" s="58">
        <v>193392</v>
      </c>
      <c r="C178" s="58">
        <v>187804</v>
      </c>
      <c r="D178" s="58">
        <v>165230</v>
      </c>
      <c r="E178" s="46">
        <f t="shared" si="12"/>
        <v>546426</v>
      </c>
      <c r="F178" s="56">
        <v>538956</v>
      </c>
      <c r="G178" s="56">
        <v>0</v>
      </c>
      <c r="H178" s="56">
        <v>531000</v>
      </c>
      <c r="I178" s="19">
        <f t="shared" si="13"/>
        <v>531000</v>
      </c>
      <c r="J178" s="56">
        <v>1165</v>
      </c>
      <c r="K178" s="60"/>
    </row>
    <row r="179" spans="1:11" ht="16.5" thickBot="1" x14ac:dyDescent="0.3">
      <c r="A179" s="68" t="s">
        <v>13</v>
      </c>
      <c r="B179" s="77">
        <f t="shared" ref="B179:G179" si="14">SUM(B148:B178)</f>
        <v>3215992</v>
      </c>
      <c r="C179" s="77">
        <f t="shared" si="14"/>
        <v>3201157</v>
      </c>
      <c r="D179" s="77">
        <f t="shared" si="14"/>
        <v>3184572</v>
      </c>
      <c r="E179" s="71">
        <f t="shared" si="14"/>
        <v>9601721</v>
      </c>
      <c r="F179" s="71">
        <f t="shared" si="14"/>
        <v>9469332</v>
      </c>
      <c r="G179" s="71">
        <f t="shared" si="14"/>
        <v>21000</v>
      </c>
      <c r="H179" s="71">
        <f>SUM(H148:H178)</f>
        <v>9327000</v>
      </c>
      <c r="I179" s="71"/>
      <c r="J179" s="71">
        <f>SUM(J148:J178)</f>
        <v>26600</v>
      </c>
      <c r="K179" s="64"/>
    </row>
    <row r="180" spans="1:11" ht="15" customHeight="1" thickBot="1" x14ac:dyDescent="0.3">
      <c r="A180" s="35"/>
      <c r="B180" s="36"/>
      <c r="C180" s="36"/>
      <c r="D180" s="36"/>
      <c r="E180" s="37"/>
      <c r="F180" s="38"/>
      <c r="G180" s="38"/>
      <c r="H180" s="39"/>
      <c r="I180" s="40"/>
      <c r="J180" s="41"/>
      <c r="K180" s="42"/>
    </row>
    <row r="181" spans="1:11" ht="17.25" customHeight="1" thickBot="1" x14ac:dyDescent="0.3">
      <c r="A181" s="3" t="s">
        <v>18</v>
      </c>
      <c r="B181" s="4"/>
      <c r="C181" s="4"/>
      <c r="D181" s="4"/>
      <c r="E181" s="4"/>
      <c r="F181" s="4"/>
      <c r="G181" s="4"/>
      <c r="H181" s="4"/>
      <c r="I181" s="4"/>
      <c r="J181" s="4"/>
      <c r="K181" s="5"/>
    </row>
    <row r="182" spans="1:11" ht="15" customHeight="1" x14ac:dyDescent="0.25">
      <c r="A182" s="6" t="s">
        <v>2</v>
      </c>
      <c r="B182" s="7" t="s">
        <v>3</v>
      </c>
      <c r="C182" s="7" t="s">
        <v>4</v>
      </c>
      <c r="D182" s="7" t="s">
        <v>5</v>
      </c>
      <c r="E182" s="8" t="s">
        <v>6</v>
      </c>
      <c r="F182" s="8" t="s">
        <v>7</v>
      </c>
      <c r="G182" s="8" t="s">
        <v>8</v>
      </c>
      <c r="H182" s="8" t="s">
        <v>9</v>
      </c>
      <c r="I182" s="8" t="s">
        <v>10</v>
      </c>
      <c r="J182" s="7" t="s">
        <v>11</v>
      </c>
      <c r="K182" s="9" t="s">
        <v>12</v>
      </c>
    </row>
    <row r="183" spans="1:11" ht="15.75" customHeight="1" thickBot="1" x14ac:dyDescent="0.3">
      <c r="A183" s="10"/>
      <c r="B183" s="11"/>
      <c r="C183" s="11"/>
      <c r="D183" s="11"/>
      <c r="E183" s="12"/>
      <c r="F183" s="12"/>
      <c r="G183" s="13"/>
      <c r="H183" s="13"/>
      <c r="I183" s="13"/>
      <c r="J183" s="14"/>
      <c r="K183" s="44"/>
    </row>
    <row r="184" spans="1:11" ht="15.75" x14ac:dyDescent="0.25">
      <c r="A184" s="21">
        <v>45901</v>
      </c>
      <c r="B184" s="45">
        <v>238216</v>
      </c>
      <c r="C184" s="45">
        <v>236361</v>
      </c>
      <c r="D184" s="45">
        <v>65264</v>
      </c>
      <c r="E184" s="46">
        <f>B184+C184+D184</f>
        <v>539841</v>
      </c>
      <c r="F184" s="56">
        <v>532188</v>
      </c>
      <c r="G184" s="56">
        <v>0</v>
      </c>
      <c r="H184" s="56">
        <v>528000</v>
      </c>
      <c r="I184" s="19">
        <f>SUM(H184-G184)</f>
        <v>528000</v>
      </c>
      <c r="J184" s="56">
        <v>1227</v>
      </c>
      <c r="K184" s="75"/>
    </row>
    <row r="185" spans="1:11" ht="15.75" x14ac:dyDescent="0.25">
      <c r="A185" s="21">
        <v>45902</v>
      </c>
      <c r="B185" s="17">
        <v>156808</v>
      </c>
      <c r="C185" s="17">
        <v>243028</v>
      </c>
      <c r="D185" s="17">
        <v>248825</v>
      </c>
      <c r="E185" s="46">
        <f t="shared" ref="E185:E213" si="15">B185+C185+D185</f>
        <v>648661</v>
      </c>
      <c r="F185" s="56">
        <v>641340</v>
      </c>
      <c r="G185" s="56">
        <v>0</v>
      </c>
      <c r="H185" s="56">
        <v>630000</v>
      </c>
      <c r="I185" s="19">
        <f t="shared" ref="I185:I213" si="16">SUM(H185-G185)</f>
        <v>630000</v>
      </c>
      <c r="J185" s="56">
        <v>1270</v>
      </c>
      <c r="K185" s="57"/>
    </row>
    <row r="186" spans="1:11" ht="15.75" x14ac:dyDescent="0.25">
      <c r="A186" s="21">
        <v>45903</v>
      </c>
      <c r="B186" s="17">
        <v>223232</v>
      </c>
      <c r="C186" s="17">
        <v>226753</v>
      </c>
      <c r="D186" s="17">
        <v>226861</v>
      </c>
      <c r="E186" s="46">
        <f t="shared" si="15"/>
        <v>676846</v>
      </c>
      <c r="F186" s="56">
        <v>668124</v>
      </c>
      <c r="G186" s="56">
        <v>0</v>
      </c>
      <c r="H186" s="56">
        <v>654000</v>
      </c>
      <c r="I186" s="19">
        <f t="shared" si="16"/>
        <v>654000</v>
      </c>
      <c r="J186" s="56">
        <v>1255</v>
      </c>
      <c r="K186" s="57"/>
    </row>
    <row r="187" spans="1:11" ht="15.75" x14ac:dyDescent="0.25">
      <c r="A187" s="21">
        <v>45904</v>
      </c>
      <c r="B187" s="17">
        <v>227632</v>
      </c>
      <c r="C187" s="17">
        <v>222083</v>
      </c>
      <c r="D187" s="17">
        <v>227857</v>
      </c>
      <c r="E187" s="46">
        <f t="shared" si="15"/>
        <v>677572</v>
      </c>
      <c r="F187" s="56">
        <v>669348</v>
      </c>
      <c r="G187" s="56">
        <v>0</v>
      </c>
      <c r="H187" s="56">
        <v>657000</v>
      </c>
      <c r="I187" s="19">
        <f t="shared" si="16"/>
        <v>657000</v>
      </c>
      <c r="J187" s="56">
        <v>1250</v>
      </c>
      <c r="K187" s="57"/>
    </row>
    <row r="188" spans="1:11" ht="15.75" x14ac:dyDescent="0.25">
      <c r="A188" s="21">
        <v>45905</v>
      </c>
      <c r="B188" s="17">
        <v>226608</v>
      </c>
      <c r="C188" s="17">
        <v>222772</v>
      </c>
      <c r="D188" s="17">
        <v>227480</v>
      </c>
      <c r="E188" s="46">
        <f t="shared" si="15"/>
        <v>676860</v>
      </c>
      <c r="F188" s="56">
        <v>669168</v>
      </c>
      <c r="G188" s="56">
        <v>0</v>
      </c>
      <c r="H188" s="56">
        <v>660000</v>
      </c>
      <c r="I188" s="19">
        <f t="shared" si="16"/>
        <v>660000</v>
      </c>
      <c r="J188" s="56">
        <v>1333</v>
      </c>
      <c r="K188" s="57"/>
    </row>
    <row r="189" spans="1:11" ht="15.75" x14ac:dyDescent="0.25">
      <c r="A189" s="21">
        <v>45906</v>
      </c>
      <c r="B189" s="17">
        <v>223768</v>
      </c>
      <c r="C189" s="17">
        <v>226223</v>
      </c>
      <c r="D189" s="17">
        <v>227683</v>
      </c>
      <c r="E189" s="46">
        <f t="shared" si="15"/>
        <v>677674</v>
      </c>
      <c r="F189" s="56">
        <v>669348</v>
      </c>
      <c r="G189" s="56">
        <v>0</v>
      </c>
      <c r="H189" s="56">
        <v>657000</v>
      </c>
      <c r="I189" s="19">
        <f t="shared" si="16"/>
        <v>657000</v>
      </c>
      <c r="J189" s="56">
        <v>1343</v>
      </c>
      <c r="K189" s="57"/>
    </row>
    <row r="190" spans="1:11" ht="15.75" x14ac:dyDescent="0.25">
      <c r="A190" s="21">
        <v>45907</v>
      </c>
      <c r="B190" s="17">
        <v>262448</v>
      </c>
      <c r="C190" s="17">
        <v>113678</v>
      </c>
      <c r="D190" s="17">
        <v>263083</v>
      </c>
      <c r="E190" s="46">
        <f t="shared" si="15"/>
        <v>639209</v>
      </c>
      <c r="F190" s="56">
        <v>631368</v>
      </c>
      <c r="G190" s="56">
        <v>0</v>
      </c>
      <c r="H190" s="56">
        <v>627000</v>
      </c>
      <c r="I190" s="19">
        <f t="shared" si="16"/>
        <v>627000</v>
      </c>
      <c r="J190" s="56">
        <v>1195</v>
      </c>
      <c r="K190" s="57"/>
    </row>
    <row r="191" spans="1:11" ht="15.75" x14ac:dyDescent="0.25">
      <c r="A191" s="21">
        <v>45908</v>
      </c>
      <c r="B191" s="17">
        <v>222648</v>
      </c>
      <c r="C191" s="17">
        <v>219617</v>
      </c>
      <c r="D191" s="17">
        <v>222603</v>
      </c>
      <c r="E191" s="46">
        <f t="shared" si="15"/>
        <v>664868</v>
      </c>
      <c r="F191" s="56">
        <v>657468</v>
      </c>
      <c r="G191" s="56">
        <v>0</v>
      </c>
      <c r="H191" s="56">
        <v>645000</v>
      </c>
      <c r="I191" s="19">
        <f t="shared" si="16"/>
        <v>645000</v>
      </c>
      <c r="J191" s="56">
        <v>1257</v>
      </c>
      <c r="K191" s="57"/>
    </row>
    <row r="192" spans="1:11" ht="15.75" x14ac:dyDescent="0.25">
      <c r="A192" s="21">
        <v>45909</v>
      </c>
      <c r="B192" s="17">
        <v>224048</v>
      </c>
      <c r="C192" s="17">
        <v>225257</v>
      </c>
      <c r="D192" s="17">
        <v>224446</v>
      </c>
      <c r="E192" s="46">
        <f t="shared" si="15"/>
        <v>673751</v>
      </c>
      <c r="F192" s="56">
        <v>665208</v>
      </c>
      <c r="G192" s="56">
        <v>0</v>
      </c>
      <c r="H192" s="56">
        <v>654000</v>
      </c>
      <c r="I192" s="19">
        <f>SUM(H192-G192)</f>
        <v>654000</v>
      </c>
      <c r="J192" s="56">
        <v>1331</v>
      </c>
      <c r="K192" s="57"/>
    </row>
    <row r="193" spans="1:11" ht="15.75" x14ac:dyDescent="0.25">
      <c r="A193" s="21">
        <v>45910</v>
      </c>
      <c r="B193" s="17">
        <v>227410</v>
      </c>
      <c r="C193" s="17">
        <v>226139</v>
      </c>
      <c r="D193" s="17">
        <v>227276</v>
      </c>
      <c r="E193" s="46">
        <f t="shared" si="15"/>
        <v>680825</v>
      </c>
      <c r="F193" s="56">
        <v>671976</v>
      </c>
      <c r="G193" s="56">
        <v>0</v>
      </c>
      <c r="H193" s="56">
        <v>663000</v>
      </c>
      <c r="I193" s="19">
        <f t="shared" si="16"/>
        <v>663000</v>
      </c>
      <c r="J193" s="56">
        <v>1379</v>
      </c>
      <c r="K193" s="57"/>
    </row>
    <row r="194" spans="1:11" ht="14.25" customHeight="1" x14ac:dyDescent="0.25">
      <c r="A194" s="21">
        <v>45911</v>
      </c>
      <c r="B194" s="17">
        <v>227405</v>
      </c>
      <c r="C194" s="17">
        <v>226723</v>
      </c>
      <c r="D194" s="17">
        <v>227702</v>
      </c>
      <c r="E194" s="46">
        <f t="shared" si="15"/>
        <v>681830</v>
      </c>
      <c r="F194" s="56">
        <v>674064</v>
      </c>
      <c r="G194" s="56">
        <v>0</v>
      </c>
      <c r="H194" s="56">
        <v>657000</v>
      </c>
      <c r="I194" s="19">
        <f t="shared" si="16"/>
        <v>657000</v>
      </c>
      <c r="J194" s="56">
        <v>1390</v>
      </c>
      <c r="K194" s="57"/>
    </row>
    <row r="195" spans="1:11" ht="15.75" x14ac:dyDescent="0.25">
      <c r="A195" s="21">
        <v>45912</v>
      </c>
      <c r="B195" s="17">
        <v>227370</v>
      </c>
      <c r="C195" s="17">
        <v>226465</v>
      </c>
      <c r="D195" s="17">
        <v>228026</v>
      </c>
      <c r="E195" s="46">
        <f t="shared" si="15"/>
        <v>681861</v>
      </c>
      <c r="F195" s="56">
        <v>672948</v>
      </c>
      <c r="G195" s="56">
        <v>0</v>
      </c>
      <c r="H195" s="56">
        <v>663000</v>
      </c>
      <c r="I195" s="19">
        <f t="shared" si="16"/>
        <v>663000</v>
      </c>
      <c r="J195" s="56">
        <v>1378</v>
      </c>
      <c r="K195" s="57"/>
    </row>
    <row r="196" spans="1:11" ht="15.75" x14ac:dyDescent="0.25">
      <c r="A196" s="21">
        <v>45913</v>
      </c>
      <c r="B196" s="17">
        <v>227134</v>
      </c>
      <c r="C196" s="17">
        <v>226392</v>
      </c>
      <c r="D196" s="17">
        <v>228035</v>
      </c>
      <c r="E196" s="46">
        <f t="shared" si="15"/>
        <v>681561</v>
      </c>
      <c r="F196" s="56">
        <v>672948</v>
      </c>
      <c r="G196" s="56">
        <v>0</v>
      </c>
      <c r="H196" s="56">
        <v>663000</v>
      </c>
      <c r="I196" s="19">
        <f t="shared" si="16"/>
        <v>663000</v>
      </c>
      <c r="J196" s="56">
        <v>1345</v>
      </c>
      <c r="K196" s="57"/>
    </row>
    <row r="197" spans="1:11" ht="15.75" x14ac:dyDescent="0.25">
      <c r="A197" s="21">
        <v>45914</v>
      </c>
      <c r="B197" s="17">
        <v>226849</v>
      </c>
      <c r="C197" s="17">
        <v>226495</v>
      </c>
      <c r="D197" s="17">
        <v>227405</v>
      </c>
      <c r="E197" s="46">
        <f t="shared" si="15"/>
        <v>680749</v>
      </c>
      <c r="F197" s="56">
        <v>673272</v>
      </c>
      <c r="G197" s="56">
        <v>0</v>
      </c>
      <c r="H197" s="56">
        <v>663000</v>
      </c>
      <c r="I197" s="19">
        <f t="shared" si="16"/>
        <v>663000</v>
      </c>
      <c r="J197" s="56">
        <v>1330</v>
      </c>
      <c r="K197" s="57"/>
    </row>
    <row r="198" spans="1:11" ht="15.75" x14ac:dyDescent="0.25">
      <c r="A198" s="21">
        <v>45915</v>
      </c>
      <c r="B198" s="17">
        <v>223369</v>
      </c>
      <c r="C198" s="17">
        <v>224622</v>
      </c>
      <c r="D198" s="17">
        <v>224887</v>
      </c>
      <c r="E198" s="46">
        <f>B198+C198+D198</f>
        <v>672878</v>
      </c>
      <c r="F198" s="56">
        <v>664956</v>
      </c>
      <c r="G198" s="56">
        <v>0</v>
      </c>
      <c r="H198" s="56">
        <v>654000</v>
      </c>
      <c r="I198" s="19">
        <f t="shared" si="16"/>
        <v>654000</v>
      </c>
      <c r="J198" s="56">
        <v>1327</v>
      </c>
      <c r="K198" s="57"/>
    </row>
    <row r="199" spans="1:11" ht="15.75" x14ac:dyDescent="0.25">
      <c r="A199" s="21">
        <v>45916</v>
      </c>
      <c r="B199" s="17">
        <v>226776</v>
      </c>
      <c r="C199" s="17">
        <v>226785</v>
      </c>
      <c r="D199" s="17">
        <v>227002</v>
      </c>
      <c r="E199" s="46">
        <f t="shared" si="15"/>
        <v>680563</v>
      </c>
      <c r="F199" s="56">
        <v>671472</v>
      </c>
      <c r="G199" s="56">
        <v>0</v>
      </c>
      <c r="H199" s="56">
        <v>666000</v>
      </c>
      <c r="I199" s="19">
        <f t="shared" si="16"/>
        <v>666000</v>
      </c>
      <c r="J199" s="56">
        <v>1340</v>
      </c>
      <c r="K199" s="57"/>
    </row>
    <row r="200" spans="1:11" ht="15.75" x14ac:dyDescent="0.25">
      <c r="A200" s="21">
        <v>45917</v>
      </c>
      <c r="B200" s="17">
        <v>226785</v>
      </c>
      <c r="C200" s="17">
        <v>226719</v>
      </c>
      <c r="D200" s="17">
        <v>226472</v>
      </c>
      <c r="E200" s="46">
        <f t="shared" si="15"/>
        <v>679976</v>
      </c>
      <c r="F200" s="56">
        <v>672012</v>
      </c>
      <c r="G200" s="56">
        <v>0</v>
      </c>
      <c r="H200" s="56">
        <v>654000</v>
      </c>
      <c r="I200" s="19">
        <f t="shared" si="16"/>
        <v>654000</v>
      </c>
      <c r="J200" s="56">
        <v>1379</v>
      </c>
      <c r="K200" s="57"/>
    </row>
    <row r="201" spans="1:11" ht="15.75" x14ac:dyDescent="0.25">
      <c r="A201" s="21">
        <v>45918</v>
      </c>
      <c r="B201" s="17">
        <v>224803</v>
      </c>
      <c r="C201" s="17">
        <v>224751</v>
      </c>
      <c r="D201" s="17">
        <v>224885</v>
      </c>
      <c r="E201" s="46">
        <f t="shared" si="15"/>
        <v>674439</v>
      </c>
      <c r="F201" s="56">
        <v>667080</v>
      </c>
      <c r="G201" s="56">
        <v>0</v>
      </c>
      <c r="H201" s="56">
        <v>657000</v>
      </c>
      <c r="I201" s="19">
        <f t="shared" si="16"/>
        <v>657000</v>
      </c>
      <c r="J201" s="56">
        <v>1347</v>
      </c>
      <c r="K201" s="57"/>
    </row>
    <row r="202" spans="1:11" ht="15.75" x14ac:dyDescent="0.25">
      <c r="A202" s="21">
        <v>45919</v>
      </c>
      <c r="B202" s="17">
        <v>226597</v>
      </c>
      <c r="C202" s="17">
        <v>226617</v>
      </c>
      <c r="D202" s="17">
        <v>226528</v>
      </c>
      <c r="E202" s="46">
        <f t="shared" si="15"/>
        <v>679742</v>
      </c>
      <c r="F202" s="56">
        <v>672984</v>
      </c>
      <c r="G202" s="56">
        <v>0</v>
      </c>
      <c r="H202" s="56">
        <v>660000</v>
      </c>
      <c r="I202" s="19">
        <f t="shared" si="16"/>
        <v>660000</v>
      </c>
      <c r="J202" s="56">
        <v>1344</v>
      </c>
      <c r="K202" s="57"/>
    </row>
    <row r="203" spans="1:11" ht="15.75" x14ac:dyDescent="0.25">
      <c r="A203" s="21">
        <v>45920</v>
      </c>
      <c r="B203" s="17">
        <v>221929</v>
      </c>
      <c r="C203" s="17">
        <v>222242</v>
      </c>
      <c r="D203" s="17">
        <v>221978</v>
      </c>
      <c r="E203" s="46">
        <f t="shared" si="15"/>
        <v>666149</v>
      </c>
      <c r="F203" s="56">
        <v>658656</v>
      </c>
      <c r="G203" s="56">
        <v>0</v>
      </c>
      <c r="H203" s="56">
        <v>648000</v>
      </c>
      <c r="I203" s="19">
        <f t="shared" si="16"/>
        <v>648000</v>
      </c>
      <c r="J203" s="56">
        <v>1337</v>
      </c>
      <c r="K203" s="57"/>
    </row>
    <row r="204" spans="1:11" ht="15.75" x14ac:dyDescent="0.25">
      <c r="A204" s="21">
        <v>45921</v>
      </c>
      <c r="B204" s="17">
        <v>215143</v>
      </c>
      <c r="C204" s="17">
        <v>214880</v>
      </c>
      <c r="D204" s="17">
        <v>215068</v>
      </c>
      <c r="E204" s="46">
        <f t="shared" si="15"/>
        <v>645091</v>
      </c>
      <c r="F204" s="56">
        <v>638136</v>
      </c>
      <c r="G204" s="56">
        <v>0</v>
      </c>
      <c r="H204" s="56">
        <v>627000</v>
      </c>
      <c r="I204" s="19">
        <f t="shared" si="16"/>
        <v>627000</v>
      </c>
      <c r="J204" s="56">
        <v>1369</v>
      </c>
      <c r="K204" s="57"/>
    </row>
    <row r="205" spans="1:11" ht="15.75" x14ac:dyDescent="0.25">
      <c r="A205" s="21">
        <v>45922</v>
      </c>
      <c r="B205" s="17">
        <v>209420</v>
      </c>
      <c r="C205" s="17">
        <v>209639</v>
      </c>
      <c r="D205" s="17">
        <v>209596</v>
      </c>
      <c r="E205" s="46">
        <f t="shared" si="15"/>
        <v>628655</v>
      </c>
      <c r="F205" s="56">
        <v>622332</v>
      </c>
      <c r="G205" s="56">
        <v>0</v>
      </c>
      <c r="H205" s="56">
        <v>612000</v>
      </c>
      <c r="I205" s="19">
        <f t="shared" si="16"/>
        <v>612000</v>
      </c>
      <c r="J205" s="56">
        <v>1367</v>
      </c>
      <c r="K205" s="57"/>
    </row>
    <row r="206" spans="1:11" ht="15.75" x14ac:dyDescent="0.25">
      <c r="A206" s="21">
        <v>45923</v>
      </c>
      <c r="B206" s="17">
        <v>199709</v>
      </c>
      <c r="C206" s="17">
        <v>200263</v>
      </c>
      <c r="D206" s="17">
        <v>199957</v>
      </c>
      <c r="E206" s="46">
        <f t="shared" si="15"/>
        <v>599929</v>
      </c>
      <c r="F206" s="56">
        <v>593172</v>
      </c>
      <c r="G206" s="56">
        <v>0</v>
      </c>
      <c r="H206" s="56">
        <v>585000</v>
      </c>
      <c r="I206" s="19">
        <f t="shared" si="16"/>
        <v>585000</v>
      </c>
      <c r="J206" s="56">
        <v>1395</v>
      </c>
      <c r="K206" s="57"/>
    </row>
    <row r="207" spans="1:11" ht="15.75" x14ac:dyDescent="0.25">
      <c r="A207" s="21">
        <v>45924</v>
      </c>
      <c r="B207" s="17">
        <v>186022</v>
      </c>
      <c r="C207" s="17">
        <v>186526</v>
      </c>
      <c r="D207" s="17">
        <v>185058</v>
      </c>
      <c r="E207" s="46">
        <f t="shared" si="15"/>
        <v>557606</v>
      </c>
      <c r="F207" s="56">
        <v>550980</v>
      </c>
      <c r="G207" s="56">
        <v>0</v>
      </c>
      <c r="H207" s="56">
        <v>543000</v>
      </c>
      <c r="I207" s="19">
        <f t="shared" si="16"/>
        <v>543000</v>
      </c>
      <c r="J207" s="56">
        <v>1308</v>
      </c>
      <c r="K207" s="57"/>
    </row>
    <row r="208" spans="1:11" ht="15.75" x14ac:dyDescent="0.25">
      <c r="A208" s="21">
        <v>45925</v>
      </c>
      <c r="B208" s="17">
        <v>169490</v>
      </c>
      <c r="C208" s="17">
        <v>169084</v>
      </c>
      <c r="D208" s="17">
        <v>168742</v>
      </c>
      <c r="E208" s="46">
        <f t="shared" si="15"/>
        <v>507316</v>
      </c>
      <c r="F208" s="56">
        <v>501840</v>
      </c>
      <c r="G208" s="56">
        <v>0</v>
      </c>
      <c r="H208" s="56">
        <v>495000</v>
      </c>
      <c r="I208" s="19">
        <f t="shared" si="16"/>
        <v>495000</v>
      </c>
      <c r="J208" s="56">
        <v>1249</v>
      </c>
      <c r="K208" s="57"/>
    </row>
    <row r="209" spans="1:11" ht="15.75" x14ac:dyDescent="0.25">
      <c r="A209" s="21">
        <v>45926</v>
      </c>
      <c r="B209" s="17">
        <v>160741</v>
      </c>
      <c r="C209" s="17">
        <v>160635</v>
      </c>
      <c r="D209" s="17">
        <v>160413</v>
      </c>
      <c r="E209" s="46">
        <f t="shared" si="15"/>
        <v>481789</v>
      </c>
      <c r="F209" s="56">
        <v>476136</v>
      </c>
      <c r="G209" s="56">
        <v>0</v>
      </c>
      <c r="H209" s="56">
        <v>471000</v>
      </c>
      <c r="I209" s="19">
        <f t="shared" si="16"/>
        <v>471000</v>
      </c>
      <c r="J209" s="56">
        <v>1325</v>
      </c>
      <c r="K209" s="57"/>
    </row>
    <row r="210" spans="1:11" ht="15.75" x14ac:dyDescent="0.25">
      <c r="A210" s="21">
        <v>45927</v>
      </c>
      <c r="B210" s="17">
        <v>153868</v>
      </c>
      <c r="C210" s="17">
        <v>154053</v>
      </c>
      <c r="D210" s="17">
        <v>154320</v>
      </c>
      <c r="E210" s="46">
        <f t="shared" si="15"/>
        <v>462241</v>
      </c>
      <c r="F210" s="56">
        <v>456840</v>
      </c>
      <c r="G210" s="56">
        <v>0</v>
      </c>
      <c r="H210" s="56">
        <v>453000</v>
      </c>
      <c r="I210" s="19">
        <f t="shared" si="16"/>
        <v>453000</v>
      </c>
      <c r="J210" s="56">
        <v>1265</v>
      </c>
      <c r="K210" s="57"/>
    </row>
    <row r="211" spans="1:11" ht="15.75" x14ac:dyDescent="0.25">
      <c r="A211" s="21">
        <v>45928</v>
      </c>
      <c r="B211" s="17">
        <v>150310</v>
      </c>
      <c r="C211" s="17">
        <v>150310</v>
      </c>
      <c r="D211" s="17">
        <v>150510</v>
      </c>
      <c r="E211" s="46">
        <f t="shared" si="15"/>
        <v>451130</v>
      </c>
      <c r="F211" s="56">
        <v>446220</v>
      </c>
      <c r="G211" s="56">
        <v>0</v>
      </c>
      <c r="H211" s="56">
        <v>441000</v>
      </c>
      <c r="I211" s="19">
        <f t="shared" si="16"/>
        <v>441000</v>
      </c>
      <c r="J211" s="56">
        <v>1257</v>
      </c>
      <c r="K211" s="57"/>
    </row>
    <row r="212" spans="1:11" ht="15.75" x14ac:dyDescent="0.25">
      <c r="A212" s="21">
        <v>45929</v>
      </c>
      <c r="B212" s="17">
        <v>138316</v>
      </c>
      <c r="C212" s="17">
        <v>138160</v>
      </c>
      <c r="D212" s="17">
        <v>138309</v>
      </c>
      <c r="E212" s="46">
        <f t="shared" si="15"/>
        <v>414785</v>
      </c>
      <c r="F212" s="56">
        <v>410364</v>
      </c>
      <c r="G212" s="56">
        <v>0</v>
      </c>
      <c r="H212" s="56">
        <v>405000</v>
      </c>
      <c r="I212" s="19">
        <f t="shared" si="16"/>
        <v>405000</v>
      </c>
      <c r="J212" s="56">
        <v>1239</v>
      </c>
      <c r="K212" s="57"/>
    </row>
    <row r="213" spans="1:11" ht="16.5" thickBot="1" x14ac:dyDescent="0.3">
      <c r="A213" s="21">
        <v>45930</v>
      </c>
      <c r="B213" s="58">
        <v>129873</v>
      </c>
      <c r="C213" s="58">
        <v>131005</v>
      </c>
      <c r="D213" s="58">
        <v>130571</v>
      </c>
      <c r="E213" s="46">
        <f t="shared" si="15"/>
        <v>391449</v>
      </c>
      <c r="F213" s="56">
        <v>387000</v>
      </c>
      <c r="G213" s="56">
        <v>0</v>
      </c>
      <c r="H213" s="56">
        <v>384000</v>
      </c>
      <c r="I213" s="19">
        <f t="shared" si="16"/>
        <v>384000</v>
      </c>
      <c r="J213" s="56">
        <v>1284</v>
      </c>
      <c r="K213" s="60"/>
    </row>
    <row r="214" spans="1:11" ht="16.5" thickBot="1" x14ac:dyDescent="0.3">
      <c r="A214" s="51" t="s">
        <v>13</v>
      </c>
      <c r="B214" s="78">
        <f t="shared" ref="B214:E214" si="17">SUM(B184:B213)</f>
        <v>6204727</v>
      </c>
      <c r="C214" s="77">
        <f t="shared" si="17"/>
        <v>6134277</v>
      </c>
      <c r="D214" s="77">
        <f t="shared" si="17"/>
        <v>6136842</v>
      </c>
      <c r="E214" s="79">
        <f t="shared" si="17"/>
        <v>18475846</v>
      </c>
      <c r="F214" s="79">
        <f>SUM(F184:F213)</f>
        <v>18258948</v>
      </c>
      <c r="G214" s="79">
        <f>SUM(G184:G213)</f>
        <v>0</v>
      </c>
      <c r="H214" s="79">
        <f>SUM(H184:H213)</f>
        <v>17976000</v>
      </c>
      <c r="I214" s="79">
        <f>SUM(I184:I213)</f>
        <v>17976000</v>
      </c>
      <c r="J214" s="79">
        <f>SUM(J184:J213)</f>
        <v>39415</v>
      </c>
      <c r="K214" s="64"/>
    </row>
    <row r="215" spans="1:11" ht="16.5" thickBot="1" x14ac:dyDescent="0.3">
      <c r="A215" s="35"/>
      <c r="B215" s="36"/>
      <c r="C215" s="36"/>
      <c r="D215" s="36"/>
      <c r="E215" s="37"/>
      <c r="F215" s="38"/>
      <c r="G215" s="38"/>
      <c r="H215" s="39"/>
      <c r="I215" s="40"/>
      <c r="J215" s="41"/>
      <c r="K215" s="42"/>
    </row>
    <row r="216" spans="1:11" ht="21.75" thickBot="1" x14ac:dyDescent="0.3">
      <c r="A216" s="3" t="s">
        <v>19</v>
      </c>
      <c r="B216" s="4"/>
      <c r="C216" s="4"/>
      <c r="D216" s="4"/>
      <c r="E216" s="4"/>
      <c r="F216" s="4"/>
      <c r="G216" s="4"/>
      <c r="H216" s="4"/>
      <c r="I216" s="4"/>
      <c r="J216" s="4"/>
      <c r="K216" s="5"/>
    </row>
    <row r="217" spans="1:11" x14ac:dyDescent="0.25">
      <c r="A217" s="6" t="s">
        <v>2</v>
      </c>
      <c r="B217" s="7" t="s">
        <v>3</v>
      </c>
      <c r="C217" s="7" t="s">
        <v>4</v>
      </c>
      <c r="D217" s="7" t="s">
        <v>5</v>
      </c>
      <c r="E217" s="8" t="s">
        <v>6</v>
      </c>
      <c r="F217" s="8" t="s">
        <v>7</v>
      </c>
      <c r="G217" s="8" t="s">
        <v>8</v>
      </c>
      <c r="H217" s="8" t="s">
        <v>20</v>
      </c>
      <c r="I217" s="8" t="s">
        <v>10</v>
      </c>
      <c r="J217" s="7" t="s">
        <v>11</v>
      </c>
      <c r="K217" s="9" t="s">
        <v>12</v>
      </c>
    </row>
    <row r="218" spans="1:11" ht="15.75" thickBot="1" x14ac:dyDescent="0.3">
      <c r="A218" s="10"/>
      <c r="B218" s="11"/>
      <c r="C218" s="11"/>
      <c r="D218" s="11"/>
      <c r="E218" s="12"/>
      <c r="F218" s="12"/>
      <c r="G218" s="13"/>
      <c r="H218" s="13"/>
      <c r="I218" s="13"/>
      <c r="J218" s="14"/>
      <c r="K218" s="44"/>
    </row>
    <row r="219" spans="1:11" ht="18.75" x14ac:dyDescent="0.3">
      <c r="A219" s="80">
        <v>45931</v>
      </c>
      <c r="B219" s="17">
        <v>172133</v>
      </c>
      <c r="C219" s="17">
        <v>50559</v>
      </c>
      <c r="D219" s="17">
        <v>172159</v>
      </c>
      <c r="E219" s="46">
        <f t="shared" ref="E219:E249" si="18">B219+C219+D219</f>
        <v>394851</v>
      </c>
      <c r="F219" s="81">
        <v>389736</v>
      </c>
      <c r="G219" s="19">
        <v>0</v>
      </c>
      <c r="H219" s="81">
        <v>387000</v>
      </c>
      <c r="I219" s="19">
        <f>SUM(H219-G219)</f>
        <v>387000</v>
      </c>
      <c r="J219" s="81">
        <v>1175</v>
      </c>
      <c r="K219" s="75"/>
    </row>
    <row r="220" spans="1:11" ht="18.75" x14ac:dyDescent="0.3">
      <c r="A220" s="80">
        <v>45932</v>
      </c>
      <c r="B220" s="17">
        <v>187978</v>
      </c>
      <c r="C220" s="17">
        <v>0</v>
      </c>
      <c r="D220" s="17">
        <v>187806</v>
      </c>
      <c r="E220" s="46">
        <f t="shared" si="18"/>
        <v>375784</v>
      </c>
      <c r="F220" s="81">
        <v>371592</v>
      </c>
      <c r="G220" s="19">
        <v>0</v>
      </c>
      <c r="H220" s="81">
        <v>366000</v>
      </c>
      <c r="I220" s="19">
        <f t="shared" ref="I220:I248" si="19">SUM(H220-G220)</f>
        <v>366000</v>
      </c>
      <c r="J220" s="81">
        <v>1110</v>
      </c>
      <c r="K220" s="57"/>
    </row>
    <row r="221" spans="1:11" ht="18.75" x14ac:dyDescent="0.3">
      <c r="A221" s="80">
        <v>45933</v>
      </c>
      <c r="B221" s="17">
        <v>178568</v>
      </c>
      <c r="C221" s="17">
        <v>0</v>
      </c>
      <c r="D221" s="17">
        <v>178651</v>
      </c>
      <c r="E221" s="46">
        <f t="shared" si="18"/>
        <v>357219</v>
      </c>
      <c r="F221" s="81">
        <v>353448</v>
      </c>
      <c r="G221" s="19">
        <v>0</v>
      </c>
      <c r="H221" s="81">
        <v>351000</v>
      </c>
      <c r="I221" s="19">
        <f>SUM(H221-G221)</f>
        <v>351000</v>
      </c>
      <c r="J221" s="81">
        <v>1127</v>
      </c>
      <c r="K221" s="57"/>
    </row>
    <row r="222" spans="1:11" ht="18.75" x14ac:dyDescent="0.3">
      <c r="A222" s="80">
        <v>45934</v>
      </c>
      <c r="B222" s="17">
        <v>174497</v>
      </c>
      <c r="C222" s="17">
        <v>0</v>
      </c>
      <c r="D222" s="17">
        <v>175040</v>
      </c>
      <c r="E222" s="46">
        <f t="shared" si="18"/>
        <v>349537</v>
      </c>
      <c r="F222" s="81">
        <v>345564</v>
      </c>
      <c r="G222" s="19">
        <v>0</v>
      </c>
      <c r="H222" s="81">
        <v>342000</v>
      </c>
      <c r="I222" s="19">
        <f t="shared" si="19"/>
        <v>342000</v>
      </c>
      <c r="J222" s="81">
        <v>1109</v>
      </c>
      <c r="K222" s="57"/>
    </row>
    <row r="223" spans="1:11" ht="18.75" x14ac:dyDescent="0.3">
      <c r="A223" s="80">
        <v>45935</v>
      </c>
      <c r="B223" s="17">
        <v>173746</v>
      </c>
      <c r="C223" s="17">
        <v>0</v>
      </c>
      <c r="D223" s="17">
        <v>173584</v>
      </c>
      <c r="E223" s="46">
        <f t="shared" si="18"/>
        <v>347330</v>
      </c>
      <c r="F223" s="81">
        <v>343620</v>
      </c>
      <c r="G223" s="19">
        <v>0</v>
      </c>
      <c r="H223" s="81">
        <v>342000</v>
      </c>
      <c r="I223" s="19">
        <f t="shared" si="19"/>
        <v>342000</v>
      </c>
      <c r="J223" s="81">
        <v>1064</v>
      </c>
      <c r="K223" s="57"/>
    </row>
    <row r="224" spans="1:11" ht="18.75" x14ac:dyDescent="0.3">
      <c r="A224" s="80">
        <v>45936</v>
      </c>
      <c r="B224" s="17">
        <v>173443</v>
      </c>
      <c r="C224" s="17">
        <v>33717</v>
      </c>
      <c r="D224" s="17">
        <v>173303</v>
      </c>
      <c r="E224" s="46">
        <f t="shared" si="18"/>
        <v>380463</v>
      </c>
      <c r="F224" s="81">
        <v>376920</v>
      </c>
      <c r="G224" s="19">
        <v>0</v>
      </c>
      <c r="H224" s="81">
        <v>372000</v>
      </c>
      <c r="I224" s="19">
        <f t="shared" si="19"/>
        <v>372000</v>
      </c>
      <c r="J224" s="81">
        <v>1113</v>
      </c>
      <c r="K224" s="57"/>
    </row>
    <row r="225" spans="1:11" ht="18.75" x14ac:dyDescent="0.3">
      <c r="A225" s="80">
        <v>45937</v>
      </c>
      <c r="B225" s="17">
        <v>161094</v>
      </c>
      <c r="C225" s="17">
        <v>41104</v>
      </c>
      <c r="D225" s="17">
        <v>161172</v>
      </c>
      <c r="E225" s="46">
        <f t="shared" si="18"/>
        <v>363370</v>
      </c>
      <c r="F225" s="81">
        <v>359100</v>
      </c>
      <c r="G225" s="19">
        <v>0</v>
      </c>
      <c r="H225" s="81">
        <v>354000</v>
      </c>
      <c r="I225" s="19">
        <f t="shared" si="19"/>
        <v>354000</v>
      </c>
      <c r="J225" s="81">
        <v>1156</v>
      </c>
      <c r="K225" s="57"/>
    </row>
    <row r="226" spans="1:11" ht="17.25" customHeight="1" x14ac:dyDescent="0.3">
      <c r="A226" s="80">
        <v>45938</v>
      </c>
      <c r="B226" s="17">
        <v>188569</v>
      </c>
      <c r="C226" s="17">
        <v>92190</v>
      </c>
      <c r="D226" s="17">
        <v>96773</v>
      </c>
      <c r="E226" s="46">
        <f t="shared" si="18"/>
        <v>377532</v>
      </c>
      <c r="F226" s="81">
        <v>372600</v>
      </c>
      <c r="G226" s="19">
        <v>0</v>
      </c>
      <c r="H226" s="81">
        <v>369000</v>
      </c>
      <c r="I226" s="19">
        <f t="shared" si="19"/>
        <v>369000</v>
      </c>
      <c r="J226" s="81">
        <v>1163</v>
      </c>
      <c r="K226" s="57"/>
    </row>
    <row r="227" spans="1:11" ht="18.75" x14ac:dyDescent="0.3">
      <c r="A227" s="80">
        <v>45939</v>
      </c>
      <c r="B227" s="17">
        <v>201291</v>
      </c>
      <c r="C227" s="17">
        <v>201448</v>
      </c>
      <c r="D227" s="17">
        <v>0</v>
      </c>
      <c r="E227" s="46">
        <f t="shared" si="18"/>
        <v>402739</v>
      </c>
      <c r="F227" s="81">
        <v>397260</v>
      </c>
      <c r="G227" s="19">
        <v>0</v>
      </c>
      <c r="H227" s="81">
        <v>393000</v>
      </c>
      <c r="I227" s="19">
        <f t="shared" si="19"/>
        <v>393000</v>
      </c>
      <c r="J227" s="81">
        <v>1196</v>
      </c>
      <c r="K227" s="57"/>
    </row>
    <row r="228" spans="1:11" ht="18.75" x14ac:dyDescent="0.3">
      <c r="A228" s="80">
        <v>45940</v>
      </c>
      <c r="B228" s="17">
        <v>185140</v>
      </c>
      <c r="C228" s="17">
        <v>185404</v>
      </c>
      <c r="D228" s="17">
        <v>0</v>
      </c>
      <c r="E228" s="46">
        <f t="shared" si="18"/>
        <v>370544</v>
      </c>
      <c r="F228" s="81">
        <v>366012</v>
      </c>
      <c r="G228" s="19">
        <v>0</v>
      </c>
      <c r="H228" s="81">
        <v>363000</v>
      </c>
      <c r="I228" s="19">
        <f t="shared" si="19"/>
        <v>363000</v>
      </c>
      <c r="J228" s="81">
        <v>1172</v>
      </c>
      <c r="K228" s="57"/>
    </row>
    <row r="229" spans="1:11" ht="18.75" x14ac:dyDescent="0.3">
      <c r="A229" s="80">
        <v>45941</v>
      </c>
      <c r="B229" s="17">
        <v>171572</v>
      </c>
      <c r="C229" s="17">
        <v>171878</v>
      </c>
      <c r="D229" s="17">
        <v>0</v>
      </c>
      <c r="E229" s="46">
        <f t="shared" si="18"/>
        <v>343450</v>
      </c>
      <c r="F229" s="81">
        <v>337896</v>
      </c>
      <c r="G229" s="19">
        <v>0</v>
      </c>
      <c r="H229" s="81">
        <v>333000</v>
      </c>
      <c r="I229" s="19">
        <f t="shared" si="19"/>
        <v>333000</v>
      </c>
      <c r="J229" s="81">
        <v>1180</v>
      </c>
      <c r="K229" s="57"/>
    </row>
    <row r="230" spans="1:11" ht="18.75" x14ac:dyDescent="0.3">
      <c r="A230" s="80">
        <v>45942</v>
      </c>
      <c r="B230" s="17">
        <v>167032</v>
      </c>
      <c r="C230" s="17">
        <v>167276</v>
      </c>
      <c r="D230" s="17">
        <v>0</v>
      </c>
      <c r="E230" s="46">
        <f t="shared" si="18"/>
        <v>334308</v>
      </c>
      <c r="F230" s="81">
        <v>329688</v>
      </c>
      <c r="G230" s="19">
        <v>0</v>
      </c>
      <c r="H230" s="81">
        <v>327000</v>
      </c>
      <c r="I230" s="19">
        <f t="shared" si="19"/>
        <v>327000</v>
      </c>
      <c r="J230" s="81">
        <v>1152</v>
      </c>
      <c r="K230" s="57"/>
    </row>
    <row r="231" spans="1:11" ht="18.75" x14ac:dyDescent="0.3">
      <c r="A231" s="80">
        <v>45943</v>
      </c>
      <c r="B231" s="17">
        <v>163489</v>
      </c>
      <c r="C231" s="17">
        <v>163397</v>
      </c>
      <c r="D231" s="17">
        <v>0</v>
      </c>
      <c r="E231" s="46">
        <f t="shared" si="18"/>
        <v>326886</v>
      </c>
      <c r="F231" s="81">
        <v>322128</v>
      </c>
      <c r="G231" s="19">
        <v>0</v>
      </c>
      <c r="H231" s="81">
        <v>318000</v>
      </c>
      <c r="I231" s="19">
        <f t="shared" si="19"/>
        <v>318000</v>
      </c>
      <c r="J231" s="81">
        <v>1189</v>
      </c>
      <c r="K231" s="57"/>
    </row>
    <row r="232" spans="1:11" ht="18.75" x14ac:dyDescent="0.3">
      <c r="A232" s="80">
        <v>45944</v>
      </c>
      <c r="B232" s="17">
        <v>161189</v>
      </c>
      <c r="C232" s="17">
        <v>160844</v>
      </c>
      <c r="D232" s="17">
        <v>0</v>
      </c>
      <c r="E232" s="46">
        <f t="shared" si="18"/>
        <v>322033</v>
      </c>
      <c r="F232" s="81">
        <v>317448</v>
      </c>
      <c r="G232" s="19">
        <v>0</v>
      </c>
      <c r="H232" s="81">
        <v>315000</v>
      </c>
      <c r="I232" s="19">
        <f t="shared" si="19"/>
        <v>315000</v>
      </c>
      <c r="J232" s="81">
        <v>1194</v>
      </c>
      <c r="K232" s="57"/>
    </row>
    <row r="233" spans="1:11" ht="18.75" x14ac:dyDescent="0.3">
      <c r="A233" s="80">
        <v>45945</v>
      </c>
      <c r="B233" s="17">
        <v>157165</v>
      </c>
      <c r="C233" s="17">
        <v>153502</v>
      </c>
      <c r="D233" s="17">
        <v>0</v>
      </c>
      <c r="E233" s="46">
        <f t="shared" si="18"/>
        <v>310667</v>
      </c>
      <c r="F233" s="81">
        <v>306288</v>
      </c>
      <c r="G233" s="19">
        <v>0</v>
      </c>
      <c r="H233" s="81">
        <v>303000</v>
      </c>
      <c r="I233" s="19">
        <f t="shared" si="19"/>
        <v>303000</v>
      </c>
      <c r="J233" s="81">
        <v>1246</v>
      </c>
      <c r="K233" s="57"/>
    </row>
    <row r="234" spans="1:11" ht="18.75" x14ac:dyDescent="0.3">
      <c r="A234" s="80">
        <v>45946</v>
      </c>
      <c r="B234" s="17">
        <v>145388</v>
      </c>
      <c r="C234" s="17">
        <v>145564</v>
      </c>
      <c r="D234" s="17">
        <v>0</v>
      </c>
      <c r="E234" s="46">
        <f t="shared" si="18"/>
        <v>290952</v>
      </c>
      <c r="F234" s="81">
        <v>286560</v>
      </c>
      <c r="G234" s="19">
        <v>0</v>
      </c>
      <c r="H234" s="81">
        <v>282000</v>
      </c>
      <c r="I234" s="19">
        <f t="shared" si="19"/>
        <v>282000</v>
      </c>
      <c r="J234" s="81">
        <v>1283</v>
      </c>
      <c r="K234" s="57"/>
    </row>
    <row r="235" spans="1:11" ht="18.75" x14ac:dyDescent="0.3">
      <c r="A235" s="80">
        <v>45947</v>
      </c>
      <c r="B235" s="17">
        <v>140868</v>
      </c>
      <c r="C235" s="17">
        <v>140949</v>
      </c>
      <c r="D235" s="17">
        <v>0</v>
      </c>
      <c r="E235" s="46">
        <f t="shared" si="18"/>
        <v>281817</v>
      </c>
      <c r="F235" s="81">
        <v>277200</v>
      </c>
      <c r="G235" s="19">
        <v>0</v>
      </c>
      <c r="H235" s="81">
        <v>276000</v>
      </c>
      <c r="I235" s="19">
        <f t="shared" si="19"/>
        <v>276000</v>
      </c>
      <c r="J235" s="81">
        <v>1296</v>
      </c>
      <c r="K235" s="57"/>
    </row>
    <row r="236" spans="1:11" ht="18.75" x14ac:dyDescent="0.3">
      <c r="A236" s="80">
        <v>45948</v>
      </c>
      <c r="B236" s="17">
        <v>135235</v>
      </c>
      <c r="C236" s="17">
        <v>135352</v>
      </c>
      <c r="D236" s="17">
        <v>0</v>
      </c>
      <c r="E236" s="46">
        <f t="shared" si="18"/>
        <v>270587</v>
      </c>
      <c r="F236" s="81">
        <v>266004</v>
      </c>
      <c r="G236" s="19">
        <v>0</v>
      </c>
      <c r="H236" s="81">
        <v>264000</v>
      </c>
      <c r="I236" s="19">
        <f t="shared" si="19"/>
        <v>264000</v>
      </c>
      <c r="J236" s="81">
        <v>1310</v>
      </c>
      <c r="K236" s="57"/>
    </row>
    <row r="237" spans="1:11" ht="18.75" x14ac:dyDescent="0.3">
      <c r="A237" s="80">
        <v>45949</v>
      </c>
      <c r="B237" s="17">
        <v>126704</v>
      </c>
      <c r="C237" s="17">
        <v>126449</v>
      </c>
      <c r="D237" s="17">
        <v>0</v>
      </c>
      <c r="E237" s="46">
        <f t="shared" si="18"/>
        <v>253153</v>
      </c>
      <c r="F237" s="81">
        <v>248796</v>
      </c>
      <c r="G237" s="19">
        <v>0</v>
      </c>
      <c r="H237" s="81">
        <v>246000</v>
      </c>
      <c r="I237" s="19">
        <f t="shared" si="19"/>
        <v>246000</v>
      </c>
      <c r="J237" s="81">
        <v>1313</v>
      </c>
      <c r="K237" s="57"/>
    </row>
    <row r="238" spans="1:11" ht="18.75" x14ac:dyDescent="0.3">
      <c r="A238" s="80">
        <v>45950</v>
      </c>
      <c r="B238" s="17">
        <v>126432</v>
      </c>
      <c r="C238" s="17">
        <v>126864</v>
      </c>
      <c r="D238" s="17">
        <v>0</v>
      </c>
      <c r="E238" s="46">
        <f t="shared" si="18"/>
        <v>253296</v>
      </c>
      <c r="F238" s="81">
        <v>248832</v>
      </c>
      <c r="G238" s="19">
        <v>0</v>
      </c>
      <c r="H238" s="81">
        <v>246000</v>
      </c>
      <c r="I238" s="19">
        <f t="shared" si="19"/>
        <v>246000</v>
      </c>
      <c r="J238" s="81">
        <v>1286</v>
      </c>
      <c r="K238" s="57"/>
    </row>
    <row r="239" spans="1:11" ht="18.75" x14ac:dyDescent="0.3">
      <c r="A239" s="80">
        <v>45951</v>
      </c>
      <c r="B239" s="17">
        <v>126177</v>
      </c>
      <c r="C239" s="17">
        <v>126073</v>
      </c>
      <c r="D239" s="17">
        <v>0</v>
      </c>
      <c r="E239" s="46">
        <f t="shared" si="18"/>
        <v>252250</v>
      </c>
      <c r="F239" s="81">
        <v>247788</v>
      </c>
      <c r="G239" s="19">
        <v>0</v>
      </c>
      <c r="H239" s="81">
        <v>246000</v>
      </c>
      <c r="I239" s="19">
        <f t="shared" si="19"/>
        <v>246000</v>
      </c>
      <c r="J239" s="81">
        <v>1282</v>
      </c>
      <c r="K239" s="57"/>
    </row>
    <row r="240" spans="1:11" ht="18.75" x14ac:dyDescent="0.3">
      <c r="A240" s="80">
        <v>45952</v>
      </c>
      <c r="B240" s="17">
        <v>122965</v>
      </c>
      <c r="C240" s="17">
        <v>123160</v>
      </c>
      <c r="D240" s="17">
        <v>0</v>
      </c>
      <c r="E240" s="46">
        <f t="shared" si="18"/>
        <v>246125</v>
      </c>
      <c r="F240" s="81">
        <v>241740</v>
      </c>
      <c r="G240" s="19">
        <v>0</v>
      </c>
      <c r="H240" s="81">
        <v>240000</v>
      </c>
      <c r="I240" s="19">
        <f t="shared" si="19"/>
        <v>240000</v>
      </c>
      <c r="J240" s="81">
        <v>1291</v>
      </c>
      <c r="K240" s="57"/>
    </row>
    <row r="241" spans="1:11" ht="18.75" x14ac:dyDescent="0.3">
      <c r="A241" s="80">
        <v>45953</v>
      </c>
      <c r="B241" s="17">
        <v>118036</v>
      </c>
      <c r="C241" s="17">
        <v>118547</v>
      </c>
      <c r="D241" s="17">
        <v>0</v>
      </c>
      <c r="E241" s="46">
        <f t="shared" si="18"/>
        <v>236583</v>
      </c>
      <c r="F241" s="81">
        <v>232020</v>
      </c>
      <c r="G241" s="19">
        <v>0</v>
      </c>
      <c r="H241" s="81">
        <v>231000</v>
      </c>
      <c r="I241" s="19">
        <f t="shared" si="19"/>
        <v>231000</v>
      </c>
      <c r="J241" s="81">
        <v>1288</v>
      </c>
      <c r="K241" s="57"/>
    </row>
    <row r="242" spans="1:11" ht="18.75" x14ac:dyDescent="0.3">
      <c r="A242" s="80">
        <v>45954</v>
      </c>
      <c r="B242" s="17">
        <v>106498</v>
      </c>
      <c r="C242" s="17">
        <v>128882</v>
      </c>
      <c r="D242" s="17">
        <v>0</v>
      </c>
      <c r="E242" s="46">
        <f t="shared" si="18"/>
        <v>235380</v>
      </c>
      <c r="F242" s="81">
        <v>231444</v>
      </c>
      <c r="G242" s="19">
        <v>0</v>
      </c>
      <c r="H242" s="81">
        <v>231000</v>
      </c>
      <c r="I242" s="19">
        <f t="shared" si="19"/>
        <v>231000</v>
      </c>
      <c r="J242" s="81">
        <v>1300</v>
      </c>
      <c r="K242" s="57"/>
    </row>
    <row r="243" spans="1:11" ht="18.75" x14ac:dyDescent="0.3">
      <c r="A243" s="80">
        <v>45955</v>
      </c>
      <c r="B243" s="17">
        <v>110788</v>
      </c>
      <c r="C243" s="17">
        <v>113076</v>
      </c>
      <c r="D243" s="17">
        <v>0</v>
      </c>
      <c r="E243" s="46">
        <f t="shared" si="18"/>
        <v>223864</v>
      </c>
      <c r="F243" s="81">
        <v>219960</v>
      </c>
      <c r="G243" s="19">
        <v>0</v>
      </c>
      <c r="H243" s="81">
        <v>216000</v>
      </c>
      <c r="I243" s="19">
        <f t="shared" si="19"/>
        <v>216000</v>
      </c>
      <c r="J243" s="81">
        <v>1291</v>
      </c>
      <c r="K243" s="57"/>
    </row>
    <row r="244" spans="1:11" ht="18.75" x14ac:dyDescent="0.3">
      <c r="A244" s="80">
        <v>45956</v>
      </c>
      <c r="B244" s="17">
        <v>4755</v>
      </c>
      <c r="C244" s="17">
        <v>171832</v>
      </c>
      <c r="D244" s="17">
        <v>43687</v>
      </c>
      <c r="E244" s="46">
        <f t="shared" si="18"/>
        <v>220274</v>
      </c>
      <c r="F244" s="81">
        <v>216288</v>
      </c>
      <c r="G244" s="19">
        <v>0</v>
      </c>
      <c r="H244" s="81">
        <v>216000</v>
      </c>
      <c r="I244" s="19">
        <f t="shared" si="19"/>
        <v>216000</v>
      </c>
      <c r="J244" s="81">
        <v>1266</v>
      </c>
      <c r="K244" s="57"/>
    </row>
    <row r="245" spans="1:11" ht="18.75" x14ac:dyDescent="0.3">
      <c r="A245" s="80">
        <v>45957</v>
      </c>
      <c r="B245" s="17">
        <v>48970</v>
      </c>
      <c r="C245" s="17">
        <v>154536</v>
      </c>
      <c r="D245" s="17">
        <v>12651</v>
      </c>
      <c r="E245" s="46">
        <f t="shared" si="18"/>
        <v>216157</v>
      </c>
      <c r="F245" s="81">
        <v>212328</v>
      </c>
      <c r="G245" s="19">
        <v>0</v>
      </c>
      <c r="H245" s="81">
        <v>210000</v>
      </c>
      <c r="I245" s="19">
        <f t="shared" si="19"/>
        <v>210000</v>
      </c>
      <c r="J245" s="81">
        <v>1261</v>
      </c>
      <c r="K245" s="57"/>
    </row>
    <row r="246" spans="1:11" ht="18.75" x14ac:dyDescent="0.3">
      <c r="A246" s="80">
        <v>45958</v>
      </c>
      <c r="B246" s="17">
        <v>4579</v>
      </c>
      <c r="C246" s="17">
        <v>211426</v>
      </c>
      <c r="D246" s="17">
        <v>0</v>
      </c>
      <c r="E246" s="46">
        <f t="shared" si="18"/>
        <v>216005</v>
      </c>
      <c r="F246" s="81">
        <v>211320</v>
      </c>
      <c r="G246" s="19">
        <v>0</v>
      </c>
      <c r="H246" s="81">
        <v>210000</v>
      </c>
      <c r="I246" s="19">
        <f t="shared" si="19"/>
        <v>210000</v>
      </c>
      <c r="J246" s="81">
        <v>1208</v>
      </c>
      <c r="K246" s="57"/>
    </row>
    <row r="247" spans="1:11" ht="18.75" x14ac:dyDescent="0.3">
      <c r="A247" s="80">
        <v>45959</v>
      </c>
      <c r="B247" s="17">
        <v>0</v>
      </c>
      <c r="C247" s="17">
        <v>217797</v>
      </c>
      <c r="D247" s="17">
        <v>0</v>
      </c>
      <c r="E247" s="46">
        <f t="shared" si="18"/>
        <v>217797</v>
      </c>
      <c r="F247" s="81">
        <v>212688</v>
      </c>
      <c r="G247" s="19">
        <v>0</v>
      </c>
      <c r="H247" s="81">
        <v>210000</v>
      </c>
      <c r="I247" s="19">
        <f t="shared" si="19"/>
        <v>210000</v>
      </c>
      <c r="J247" s="81">
        <v>1234</v>
      </c>
      <c r="K247" s="57"/>
    </row>
    <row r="248" spans="1:11" ht="18.75" x14ac:dyDescent="0.3">
      <c r="A248" s="80">
        <v>45960</v>
      </c>
      <c r="B248" s="17">
        <v>158861</v>
      </c>
      <c r="C248" s="17">
        <v>57037</v>
      </c>
      <c r="D248" s="17">
        <v>0</v>
      </c>
      <c r="E248" s="46">
        <f t="shared" si="18"/>
        <v>215898</v>
      </c>
      <c r="F248" s="81">
        <v>211608</v>
      </c>
      <c r="G248" s="19">
        <v>0</v>
      </c>
      <c r="H248" s="81">
        <v>210000</v>
      </c>
      <c r="I248" s="19">
        <f t="shared" si="19"/>
        <v>210000</v>
      </c>
      <c r="J248" s="81">
        <v>1137</v>
      </c>
      <c r="K248" s="57"/>
    </row>
    <row r="249" spans="1:11" ht="19.5" thickBot="1" x14ac:dyDescent="0.35">
      <c r="A249" s="80">
        <v>45961</v>
      </c>
      <c r="B249" s="58">
        <v>207814</v>
      </c>
      <c r="C249" s="58">
        <v>0</v>
      </c>
      <c r="D249" s="58">
        <v>0</v>
      </c>
      <c r="E249" s="46">
        <f t="shared" si="18"/>
        <v>207814</v>
      </c>
      <c r="F249" s="81">
        <v>203616</v>
      </c>
      <c r="G249" s="19">
        <v>0</v>
      </c>
      <c r="H249" s="81">
        <v>204000</v>
      </c>
      <c r="I249" s="19">
        <f>SUM(H249-G249)</f>
        <v>204000</v>
      </c>
      <c r="J249" s="81">
        <v>1129</v>
      </c>
      <c r="K249" s="60"/>
    </row>
    <row r="250" spans="1:11" ht="16.5" thickBot="1" x14ac:dyDescent="0.3">
      <c r="A250" s="68" t="s">
        <v>13</v>
      </c>
      <c r="B250" s="77">
        <f>SUM(B219:B249)</f>
        <v>4300976</v>
      </c>
      <c r="C250" s="77">
        <f>SUM(C219:C249)</f>
        <v>3518863</v>
      </c>
      <c r="D250" s="77">
        <f t="shared" ref="D250:I250" si="20">SUM(D219:D249)</f>
        <v>1374826</v>
      </c>
      <c r="E250" s="82">
        <f t="shared" si="20"/>
        <v>9194665</v>
      </c>
      <c r="F250" s="82">
        <f t="shared" si="20"/>
        <v>9057492</v>
      </c>
      <c r="G250" s="82">
        <f t="shared" si="20"/>
        <v>0</v>
      </c>
      <c r="H250" s="82">
        <f t="shared" si="20"/>
        <v>8973000</v>
      </c>
      <c r="I250" s="82">
        <f t="shared" si="20"/>
        <v>8973000</v>
      </c>
      <c r="J250" s="82">
        <f>SUM(J219:J249)</f>
        <v>37521</v>
      </c>
      <c r="K250" s="64"/>
    </row>
    <row r="251" spans="1:11" ht="15" customHeight="1" thickBot="1" x14ac:dyDescent="0.3">
      <c r="A251" s="83"/>
      <c r="B251" s="84"/>
      <c r="C251" s="84"/>
      <c r="D251" s="84"/>
      <c r="E251" s="85"/>
      <c r="F251" s="86"/>
      <c r="G251" s="86"/>
      <c r="H251" s="87"/>
      <c r="I251" s="88"/>
      <c r="J251" s="89"/>
      <c r="K251" s="90"/>
    </row>
    <row r="252" spans="1:11" ht="15" customHeight="1" thickBot="1" x14ac:dyDescent="0.3">
      <c r="A252" s="3" t="s">
        <v>21</v>
      </c>
      <c r="B252" s="4"/>
      <c r="C252" s="4"/>
      <c r="D252" s="4"/>
      <c r="E252" s="4"/>
      <c r="F252" s="4"/>
      <c r="G252" s="4"/>
      <c r="H252" s="4"/>
      <c r="I252" s="4"/>
      <c r="J252" s="4"/>
      <c r="K252" s="5"/>
    </row>
    <row r="253" spans="1:11" ht="15" customHeight="1" x14ac:dyDescent="0.25">
      <c r="A253" s="6" t="s">
        <v>2</v>
      </c>
      <c r="B253" s="7" t="s">
        <v>3</v>
      </c>
      <c r="C253" s="7" t="s">
        <v>4</v>
      </c>
      <c r="D253" s="7" t="s">
        <v>5</v>
      </c>
      <c r="E253" s="8" t="s">
        <v>6</v>
      </c>
      <c r="F253" s="8" t="s">
        <v>7</v>
      </c>
      <c r="G253" s="8" t="s">
        <v>8</v>
      </c>
      <c r="H253" s="8" t="s">
        <v>20</v>
      </c>
      <c r="I253" s="8" t="s">
        <v>10</v>
      </c>
      <c r="J253" s="7" t="s">
        <v>11</v>
      </c>
      <c r="K253" s="9" t="s">
        <v>12</v>
      </c>
    </row>
    <row r="254" spans="1:11" ht="15.75" customHeight="1" thickBot="1" x14ac:dyDescent="0.3">
      <c r="A254" s="10"/>
      <c r="B254" s="11"/>
      <c r="C254" s="11"/>
      <c r="D254" s="11"/>
      <c r="E254" s="12"/>
      <c r="F254" s="12"/>
      <c r="G254" s="13"/>
      <c r="H254" s="13"/>
      <c r="I254" s="13"/>
      <c r="J254" s="14"/>
      <c r="K254" s="44"/>
    </row>
    <row r="255" spans="1:11" ht="18.75" x14ac:dyDescent="0.3">
      <c r="A255" s="74">
        <v>45962</v>
      </c>
      <c r="B255" s="17">
        <v>205444</v>
      </c>
      <c r="C255" s="17">
        <v>0</v>
      </c>
      <c r="D255" s="17">
        <v>0</v>
      </c>
      <c r="E255" s="46">
        <f t="shared" ref="E255:E284" si="21">B255+C255+D255</f>
        <v>205444</v>
      </c>
      <c r="F255" s="81">
        <v>201420</v>
      </c>
      <c r="G255" s="19">
        <v>0</v>
      </c>
      <c r="H255" s="81">
        <v>201000</v>
      </c>
      <c r="I255" s="19">
        <f>SUM(H255-G255)</f>
        <v>201000</v>
      </c>
      <c r="J255" s="81">
        <v>1106</v>
      </c>
      <c r="K255" s="75"/>
    </row>
    <row r="256" spans="1:11" ht="18.75" x14ac:dyDescent="0.3">
      <c r="A256" s="74">
        <v>45963</v>
      </c>
      <c r="B256" s="17">
        <v>200417</v>
      </c>
      <c r="C256" s="17">
        <v>0</v>
      </c>
      <c r="D256" s="17">
        <v>0</v>
      </c>
      <c r="E256" s="46">
        <f t="shared" si="21"/>
        <v>200417</v>
      </c>
      <c r="F256" s="81">
        <v>196668</v>
      </c>
      <c r="G256" s="91">
        <v>0</v>
      </c>
      <c r="H256" s="81">
        <v>195000</v>
      </c>
      <c r="I256" s="19">
        <f t="shared" ref="I256:I283" si="22">SUM(H256-G256)</f>
        <v>195000</v>
      </c>
      <c r="J256" s="81">
        <v>1116</v>
      </c>
      <c r="K256" s="57"/>
    </row>
    <row r="257" spans="1:11" ht="16.5" customHeight="1" x14ac:dyDescent="0.3">
      <c r="A257" s="74">
        <v>45964</v>
      </c>
      <c r="B257" s="17">
        <v>195003</v>
      </c>
      <c r="C257" s="17">
        <v>0</v>
      </c>
      <c r="D257" s="17">
        <v>0</v>
      </c>
      <c r="E257" s="46">
        <f t="shared" si="21"/>
        <v>195003</v>
      </c>
      <c r="F257" s="81">
        <v>190980</v>
      </c>
      <c r="G257" s="91">
        <v>0</v>
      </c>
      <c r="H257" s="81">
        <v>189000</v>
      </c>
      <c r="I257" s="19">
        <f t="shared" si="22"/>
        <v>189000</v>
      </c>
      <c r="J257" s="81">
        <v>1113</v>
      </c>
      <c r="K257" s="57"/>
    </row>
    <row r="258" spans="1:11" ht="18.75" x14ac:dyDescent="0.3">
      <c r="A258" s="74">
        <v>45965</v>
      </c>
      <c r="B258" s="17">
        <v>191596</v>
      </c>
      <c r="C258" s="17">
        <v>0</v>
      </c>
      <c r="D258" s="17">
        <v>0</v>
      </c>
      <c r="E258" s="46">
        <f t="shared" si="21"/>
        <v>191596</v>
      </c>
      <c r="F258" s="81">
        <v>187380</v>
      </c>
      <c r="G258" s="91">
        <v>0</v>
      </c>
      <c r="H258" s="81">
        <v>186000</v>
      </c>
      <c r="I258" s="19">
        <f t="shared" si="22"/>
        <v>186000</v>
      </c>
      <c r="J258" s="81">
        <v>1119</v>
      </c>
      <c r="K258" s="57"/>
    </row>
    <row r="259" spans="1:11" ht="18.75" x14ac:dyDescent="0.3">
      <c r="A259" s="74">
        <v>45966</v>
      </c>
      <c r="B259" s="17">
        <v>193470</v>
      </c>
      <c r="C259" s="17">
        <v>0</v>
      </c>
      <c r="D259" s="17">
        <v>0</v>
      </c>
      <c r="E259" s="46">
        <f t="shared" si="21"/>
        <v>193470</v>
      </c>
      <c r="F259" s="81">
        <v>189540</v>
      </c>
      <c r="G259" s="91">
        <v>0</v>
      </c>
      <c r="H259" s="81">
        <v>186000</v>
      </c>
      <c r="I259" s="19">
        <f t="shared" si="22"/>
        <v>186000</v>
      </c>
      <c r="J259" s="81">
        <v>1120</v>
      </c>
      <c r="K259" s="57"/>
    </row>
    <row r="260" spans="1:11" ht="18.75" x14ac:dyDescent="0.3">
      <c r="A260" s="74">
        <v>45967</v>
      </c>
      <c r="B260" s="17">
        <v>181983</v>
      </c>
      <c r="C260" s="17">
        <v>0</v>
      </c>
      <c r="D260" s="17">
        <v>0</v>
      </c>
      <c r="E260" s="46">
        <f t="shared" si="21"/>
        <v>181983</v>
      </c>
      <c r="F260" s="81">
        <v>178200</v>
      </c>
      <c r="G260" s="91">
        <v>0</v>
      </c>
      <c r="H260" s="81">
        <v>177000</v>
      </c>
      <c r="I260" s="19">
        <f t="shared" si="22"/>
        <v>177000</v>
      </c>
      <c r="J260" s="81">
        <v>1131</v>
      </c>
      <c r="K260" s="57"/>
    </row>
    <row r="261" spans="1:11" ht="18.75" x14ac:dyDescent="0.3">
      <c r="A261" s="74">
        <v>45968</v>
      </c>
      <c r="B261" s="17">
        <v>177606</v>
      </c>
      <c r="C261" s="17">
        <v>0</v>
      </c>
      <c r="D261" s="17">
        <v>0</v>
      </c>
      <c r="E261" s="46">
        <f t="shared" si="21"/>
        <v>177606</v>
      </c>
      <c r="F261" s="81">
        <v>173916</v>
      </c>
      <c r="G261" s="91">
        <v>0</v>
      </c>
      <c r="H261" s="81">
        <v>174000</v>
      </c>
      <c r="I261" s="19">
        <f t="shared" si="22"/>
        <v>174000</v>
      </c>
      <c r="J261" s="81">
        <v>1153</v>
      </c>
      <c r="K261" s="57"/>
    </row>
    <row r="262" spans="1:11" ht="18.75" x14ac:dyDescent="0.3">
      <c r="A262" s="74">
        <v>45969</v>
      </c>
      <c r="B262" s="17">
        <v>178512</v>
      </c>
      <c r="C262" s="17">
        <v>0</v>
      </c>
      <c r="D262" s="17">
        <v>0</v>
      </c>
      <c r="E262" s="46">
        <f t="shared" si="21"/>
        <v>178512</v>
      </c>
      <c r="F262" s="81">
        <v>174924</v>
      </c>
      <c r="G262" s="91">
        <v>0</v>
      </c>
      <c r="H262" s="81">
        <v>174000</v>
      </c>
      <c r="I262" s="19">
        <f t="shared" si="22"/>
        <v>174000</v>
      </c>
      <c r="J262" s="81">
        <v>1151</v>
      </c>
      <c r="K262" s="57"/>
    </row>
    <row r="263" spans="1:11" ht="18.75" x14ac:dyDescent="0.3">
      <c r="A263" s="74">
        <v>45970</v>
      </c>
      <c r="B263" s="17">
        <v>170546</v>
      </c>
      <c r="C263" s="17">
        <v>0</v>
      </c>
      <c r="D263" s="17">
        <v>0</v>
      </c>
      <c r="E263" s="46">
        <f t="shared" si="21"/>
        <v>170546</v>
      </c>
      <c r="F263" s="81">
        <v>166932</v>
      </c>
      <c r="G263" s="91">
        <v>0</v>
      </c>
      <c r="H263" s="81">
        <v>165000</v>
      </c>
      <c r="I263" s="19">
        <f t="shared" si="22"/>
        <v>165000</v>
      </c>
      <c r="J263" s="81">
        <v>1155</v>
      </c>
      <c r="K263" s="57"/>
    </row>
    <row r="264" spans="1:11" ht="18.75" x14ac:dyDescent="0.3">
      <c r="A264" s="74">
        <v>45971</v>
      </c>
      <c r="B264" s="17">
        <v>164766</v>
      </c>
      <c r="C264" s="17">
        <v>0</v>
      </c>
      <c r="D264" s="17">
        <v>0</v>
      </c>
      <c r="E264" s="46">
        <f t="shared" si="21"/>
        <v>164766</v>
      </c>
      <c r="F264" s="81">
        <v>161604</v>
      </c>
      <c r="G264" s="91">
        <v>0</v>
      </c>
      <c r="H264" s="81">
        <v>159000</v>
      </c>
      <c r="I264" s="19">
        <f t="shared" si="22"/>
        <v>159000</v>
      </c>
      <c r="J264" s="81">
        <v>1130</v>
      </c>
      <c r="K264" s="57"/>
    </row>
    <row r="265" spans="1:11" ht="18.75" x14ac:dyDescent="0.3">
      <c r="A265" s="74">
        <v>45972</v>
      </c>
      <c r="B265" s="17">
        <v>164598</v>
      </c>
      <c r="C265" s="17">
        <v>0</v>
      </c>
      <c r="D265" s="17">
        <v>0</v>
      </c>
      <c r="E265" s="46">
        <f t="shared" si="21"/>
        <v>164598</v>
      </c>
      <c r="F265" s="81">
        <v>161064</v>
      </c>
      <c r="G265" s="91">
        <v>0</v>
      </c>
      <c r="H265" s="81">
        <v>162000</v>
      </c>
      <c r="I265" s="19">
        <f t="shared" si="22"/>
        <v>162000</v>
      </c>
      <c r="J265" s="81">
        <v>1130</v>
      </c>
      <c r="K265" s="57"/>
    </row>
    <row r="266" spans="1:11" ht="18.75" x14ac:dyDescent="0.3">
      <c r="A266" s="74">
        <v>45973</v>
      </c>
      <c r="B266" s="17">
        <v>158471</v>
      </c>
      <c r="C266" s="17">
        <v>0</v>
      </c>
      <c r="D266" s="17">
        <v>0</v>
      </c>
      <c r="E266" s="46">
        <f t="shared" si="21"/>
        <v>158471</v>
      </c>
      <c r="F266" s="81">
        <v>155520</v>
      </c>
      <c r="G266" s="91">
        <v>0</v>
      </c>
      <c r="H266" s="81">
        <v>153000</v>
      </c>
      <c r="I266" s="19">
        <f t="shared" si="22"/>
        <v>153000</v>
      </c>
      <c r="J266" s="81">
        <v>1153</v>
      </c>
      <c r="K266" s="57"/>
    </row>
    <row r="267" spans="1:11" ht="18.75" x14ac:dyDescent="0.3">
      <c r="A267" s="74">
        <v>45974</v>
      </c>
      <c r="B267" s="17">
        <v>158078</v>
      </c>
      <c r="C267" s="17">
        <v>0</v>
      </c>
      <c r="D267" s="17">
        <v>0</v>
      </c>
      <c r="E267" s="46">
        <f t="shared" si="21"/>
        <v>158078</v>
      </c>
      <c r="F267" s="81">
        <v>154836</v>
      </c>
      <c r="G267" s="91">
        <v>0</v>
      </c>
      <c r="H267" s="81">
        <v>153000</v>
      </c>
      <c r="I267" s="19">
        <f t="shared" si="22"/>
        <v>153000</v>
      </c>
      <c r="J267" s="81">
        <v>1133</v>
      </c>
      <c r="K267" s="57"/>
    </row>
    <row r="268" spans="1:11" ht="18.75" x14ac:dyDescent="0.3">
      <c r="A268" s="74">
        <v>45975</v>
      </c>
      <c r="B268" s="17">
        <v>155125</v>
      </c>
      <c r="C268" s="17">
        <v>0</v>
      </c>
      <c r="D268" s="17">
        <v>0</v>
      </c>
      <c r="E268" s="46">
        <f t="shared" si="21"/>
        <v>155125</v>
      </c>
      <c r="F268" s="81">
        <v>151848</v>
      </c>
      <c r="G268" s="91">
        <v>0</v>
      </c>
      <c r="H268" s="81">
        <v>153000</v>
      </c>
      <c r="I268" s="19">
        <f t="shared" si="22"/>
        <v>153000</v>
      </c>
      <c r="J268" s="81">
        <v>965</v>
      </c>
      <c r="K268" s="57"/>
    </row>
    <row r="269" spans="1:11" ht="18.75" x14ac:dyDescent="0.3">
      <c r="A269" s="74">
        <v>45976</v>
      </c>
      <c r="B269" s="17">
        <v>153757</v>
      </c>
      <c r="C269" s="17">
        <v>0</v>
      </c>
      <c r="D269" s="17">
        <v>0</v>
      </c>
      <c r="E269" s="46">
        <f t="shared" si="21"/>
        <v>153757</v>
      </c>
      <c r="F269" s="81">
        <v>150336</v>
      </c>
      <c r="G269" s="91">
        <v>0</v>
      </c>
      <c r="H269" s="81">
        <v>147000</v>
      </c>
      <c r="I269" s="19">
        <f t="shared" si="22"/>
        <v>147000</v>
      </c>
      <c r="J269" s="81">
        <v>1054</v>
      </c>
      <c r="K269" s="57"/>
    </row>
    <row r="270" spans="1:11" ht="18.75" x14ac:dyDescent="0.3">
      <c r="A270" s="74">
        <v>45977</v>
      </c>
      <c r="B270" s="17">
        <v>151067</v>
      </c>
      <c r="C270" s="17">
        <v>0</v>
      </c>
      <c r="D270" s="17">
        <v>0</v>
      </c>
      <c r="E270" s="46">
        <f t="shared" si="21"/>
        <v>151067</v>
      </c>
      <c r="F270" s="81">
        <v>147600</v>
      </c>
      <c r="G270" s="91">
        <v>0</v>
      </c>
      <c r="H270" s="81">
        <v>147000</v>
      </c>
      <c r="I270" s="19">
        <f t="shared" si="22"/>
        <v>147000</v>
      </c>
      <c r="J270" s="81">
        <v>1102</v>
      </c>
      <c r="K270" s="57"/>
    </row>
    <row r="271" spans="1:11" ht="18.75" x14ac:dyDescent="0.3">
      <c r="A271" s="74">
        <v>45978</v>
      </c>
      <c r="B271" s="17">
        <v>148193</v>
      </c>
      <c r="C271" s="17">
        <v>0</v>
      </c>
      <c r="D271" s="17">
        <v>0</v>
      </c>
      <c r="E271" s="46">
        <f t="shared" si="21"/>
        <v>148193</v>
      </c>
      <c r="F271" s="81">
        <v>144720</v>
      </c>
      <c r="G271" s="91">
        <v>0</v>
      </c>
      <c r="H271" s="81">
        <v>144000</v>
      </c>
      <c r="I271" s="19">
        <f t="shared" si="22"/>
        <v>144000</v>
      </c>
      <c r="J271" s="81">
        <v>1133</v>
      </c>
      <c r="K271" s="57"/>
    </row>
    <row r="272" spans="1:11" ht="18.75" x14ac:dyDescent="0.3">
      <c r="A272" s="74">
        <v>45979</v>
      </c>
      <c r="B272" s="17">
        <v>148197</v>
      </c>
      <c r="C272" s="17">
        <v>0</v>
      </c>
      <c r="D272" s="17">
        <v>0</v>
      </c>
      <c r="E272" s="46">
        <f t="shared" si="21"/>
        <v>148197</v>
      </c>
      <c r="F272" s="81">
        <v>145368</v>
      </c>
      <c r="G272" s="91">
        <v>0</v>
      </c>
      <c r="H272" s="81">
        <v>144000</v>
      </c>
      <c r="I272" s="19">
        <f t="shared" si="22"/>
        <v>144000</v>
      </c>
      <c r="J272" s="81">
        <v>1170</v>
      </c>
      <c r="K272" s="57"/>
    </row>
    <row r="273" spans="1:11" ht="18.75" x14ac:dyDescent="0.3">
      <c r="A273" s="74">
        <v>45980</v>
      </c>
      <c r="B273" s="17">
        <v>142411</v>
      </c>
      <c r="C273" s="17">
        <v>0</v>
      </c>
      <c r="D273" s="17">
        <v>0</v>
      </c>
      <c r="E273" s="46">
        <f t="shared" si="21"/>
        <v>142411</v>
      </c>
      <c r="F273" s="81">
        <v>138816</v>
      </c>
      <c r="G273" s="91">
        <v>0</v>
      </c>
      <c r="H273" s="81">
        <v>138000</v>
      </c>
      <c r="I273" s="19">
        <f t="shared" si="22"/>
        <v>138000</v>
      </c>
      <c r="J273" s="81">
        <v>1174</v>
      </c>
      <c r="K273" s="57"/>
    </row>
    <row r="274" spans="1:11" ht="18.75" x14ac:dyDescent="0.3">
      <c r="A274" s="74">
        <v>45981</v>
      </c>
      <c r="B274" s="17">
        <v>144194</v>
      </c>
      <c r="C274" s="17">
        <v>0</v>
      </c>
      <c r="D274" s="17">
        <v>0</v>
      </c>
      <c r="E274" s="46">
        <f t="shared" si="21"/>
        <v>144194</v>
      </c>
      <c r="F274" s="81">
        <v>141048</v>
      </c>
      <c r="G274" s="91">
        <v>0</v>
      </c>
      <c r="H274" s="81">
        <v>141000</v>
      </c>
      <c r="I274" s="19">
        <f t="shared" si="22"/>
        <v>141000</v>
      </c>
      <c r="J274" s="81">
        <v>1204</v>
      </c>
      <c r="K274" s="57"/>
    </row>
    <row r="275" spans="1:11" ht="18.75" x14ac:dyDescent="0.3">
      <c r="A275" s="74">
        <v>45982</v>
      </c>
      <c r="B275" s="17">
        <v>133519</v>
      </c>
      <c r="C275" s="17">
        <v>0</v>
      </c>
      <c r="D275" s="17">
        <v>0</v>
      </c>
      <c r="E275" s="46">
        <f t="shared" si="21"/>
        <v>133519</v>
      </c>
      <c r="F275" s="81">
        <v>130716</v>
      </c>
      <c r="G275" s="91">
        <v>0</v>
      </c>
      <c r="H275" s="81">
        <v>129000</v>
      </c>
      <c r="I275" s="19">
        <f t="shared" si="22"/>
        <v>129000</v>
      </c>
      <c r="J275" s="81">
        <v>1189</v>
      </c>
      <c r="K275" s="57"/>
    </row>
    <row r="276" spans="1:11" ht="18.75" x14ac:dyDescent="0.3">
      <c r="A276" s="74">
        <v>45983</v>
      </c>
      <c r="B276" s="17">
        <v>131112</v>
      </c>
      <c r="C276" s="17">
        <v>0</v>
      </c>
      <c r="D276" s="17">
        <v>0</v>
      </c>
      <c r="E276" s="46">
        <f t="shared" si="21"/>
        <v>131112</v>
      </c>
      <c r="F276" s="81">
        <v>128124</v>
      </c>
      <c r="G276" s="91">
        <v>0</v>
      </c>
      <c r="H276" s="81">
        <v>129000</v>
      </c>
      <c r="I276" s="19">
        <f t="shared" si="22"/>
        <v>129000</v>
      </c>
      <c r="J276" s="81">
        <v>1175</v>
      </c>
      <c r="K276" s="57"/>
    </row>
    <row r="277" spans="1:11" ht="18.75" x14ac:dyDescent="0.3">
      <c r="A277" s="74">
        <v>45984</v>
      </c>
      <c r="B277" s="17">
        <v>134203</v>
      </c>
      <c r="C277" s="17">
        <v>0</v>
      </c>
      <c r="D277" s="17">
        <v>0</v>
      </c>
      <c r="E277" s="46">
        <f t="shared" si="21"/>
        <v>134203</v>
      </c>
      <c r="F277" s="81">
        <v>130968</v>
      </c>
      <c r="G277" s="91">
        <v>0</v>
      </c>
      <c r="H277" s="81">
        <v>129000</v>
      </c>
      <c r="I277" s="19">
        <f t="shared" si="22"/>
        <v>129000</v>
      </c>
      <c r="J277" s="81">
        <v>1176</v>
      </c>
      <c r="K277" s="57"/>
    </row>
    <row r="278" spans="1:11" ht="18.75" x14ac:dyDescent="0.3">
      <c r="A278" s="74">
        <v>45985</v>
      </c>
      <c r="B278" s="17">
        <v>130739</v>
      </c>
      <c r="C278" s="17">
        <v>0</v>
      </c>
      <c r="D278" s="17">
        <v>0</v>
      </c>
      <c r="E278" s="46">
        <f t="shared" si="21"/>
        <v>130739</v>
      </c>
      <c r="F278" s="81">
        <v>127440</v>
      </c>
      <c r="G278" s="91">
        <v>0</v>
      </c>
      <c r="H278" s="81">
        <v>129000</v>
      </c>
      <c r="I278" s="19">
        <f t="shared" si="22"/>
        <v>129000</v>
      </c>
      <c r="J278" s="81">
        <v>1182</v>
      </c>
      <c r="K278" s="57"/>
    </row>
    <row r="279" spans="1:11" ht="18.75" x14ac:dyDescent="0.3">
      <c r="A279" s="74">
        <v>45986</v>
      </c>
      <c r="B279" s="17">
        <v>123442</v>
      </c>
      <c r="C279" s="17">
        <v>0</v>
      </c>
      <c r="D279" s="17">
        <v>0</v>
      </c>
      <c r="E279" s="46">
        <f t="shared" si="21"/>
        <v>123442</v>
      </c>
      <c r="F279" s="81">
        <v>120384</v>
      </c>
      <c r="G279" s="91">
        <v>0</v>
      </c>
      <c r="H279" s="81">
        <v>120000</v>
      </c>
      <c r="I279" s="19">
        <f t="shared" si="22"/>
        <v>120000</v>
      </c>
      <c r="J279" s="81">
        <v>1187</v>
      </c>
      <c r="K279" s="57"/>
    </row>
    <row r="280" spans="1:11" ht="18.75" x14ac:dyDescent="0.3">
      <c r="A280" s="74">
        <v>45987</v>
      </c>
      <c r="B280" s="17">
        <v>126875</v>
      </c>
      <c r="C280" s="17">
        <v>0</v>
      </c>
      <c r="D280" s="17">
        <v>0</v>
      </c>
      <c r="E280" s="46">
        <f t="shared" si="21"/>
        <v>126875</v>
      </c>
      <c r="F280" s="81">
        <v>124344</v>
      </c>
      <c r="G280" s="91">
        <v>0</v>
      </c>
      <c r="H280" s="81">
        <v>123000</v>
      </c>
      <c r="I280" s="19">
        <f t="shared" si="22"/>
        <v>123000</v>
      </c>
      <c r="J280" s="81">
        <v>1196</v>
      </c>
      <c r="K280" s="57"/>
    </row>
    <row r="281" spans="1:11" ht="18.75" x14ac:dyDescent="0.3">
      <c r="A281" s="74">
        <v>45988</v>
      </c>
      <c r="B281" s="17">
        <v>122292</v>
      </c>
      <c r="C281" s="17">
        <v>0</v>
      </c>
      <c r="D281" s="17">
        <v>0</v>
      </c>
      <c r="E281" s="46">
        <f t="shared" si="21"/>
        <v>122292</v>
      </c>
      <c r="F281" s="81">
        <v>119556</v>
      </c>
      <c r="G281" s="91">
        <v>0</v>
      </c>
      <c r="H281" s="81">
        <v>120000</v>
      </c>
      <c r="I281" s="19">
        <f t="shared" si="22"/>
        <v>120000</v>
      </c>
      <c r="J281" s="81">
        <v>1195</v>
      </c>
      <c r="K281" s="57"/>
    </row>
    <row r="282" spans="1:11" ht="18.75" x14ac:dyDescent="0.3">
      <c r="A282" s="74">
        <v>45989</v>
      </c>
      <c r="B282" s="17">
        <v>120505</v>
      </c>
      <c r="C282" s="17">
        <v>0</v>
      </c>
      <c r="D282" s="17">
        <v>0</v>
      </c>
      <c r="E282" s="46">
        <f t="shared" si="21"/>
        <v>120505</v>
      </c>
      <c r="F282" s="81">
        <v>117684</v>
      </c>
      <c r="G282" s="91">
        <v>0</v>
      </c>
      <c r="H282" s="81">
        <v>117000</v>
      </c>
      <c r="I282" s="19">
        <f t="shared" si="22"/>
        <v>117000</v>
      </c>
      <c r="J282" s="81">
        <v>1161</v>
      </c>
      <c r="K282" s="57"/>
    </row>
    <row r="283" spans="1:11" ht="18.75" x14ac:dyDescent="0.3">
      <c r="A283" s="74">
        <v>45990</v>
      </c>
      <c r="B283" s="17">
        <v>120046</v>
      </c>
      <c r="C283" s="17">
        <v>0</v>
      </c>
      <c r="D283" s="17">
        <v>0</v>
      </c>
      <c r="E283" s="46">
        <f t="shared" si="21"/>
        <v>120046</v>
      </c>
      <c r="F283" s="81">
        <v>117180</v>
      </c>
      <c r="G283" s="91">
        <v>0</v>
      </c>
      <c r="H283" s="81">
        <v>117000</v>
      </c>
      <c r="I283" s="19">
        <f t="shared" si="22"/>
        <v>117000</v>
      </c>
      <c r="J283" s="81">
        <v>1147</v>
      </c>
      <c r="K283" s="57"/>
    </row>
    <row r="284" spans="1:11" ht="19.5" thickBot="1" x14ac:dyDescent="0.35">
      <c r="A284" s="74">
        <v>45991</v>
      </c>
      <c r="B284" s="17">
        <v>118246</v>
      </c>
      <c r="C284" s="17">
        <v>0</v>
      </c>
      <c r="D284" s="17">
        <v>0</v>
      </c>
      <c r="E284" s="46">
        <f t="shared" si="21"/>
        <v>118246</v>
      </c>
      <c r="F284" s="81">
        <v>115200</v>
      </c>
      <c r="G284" s="92">
        <v>0</v>
      </c>
      <c r="H284" s="81">
        <v>114000</v>
      </c>
      <c r="I284" s="19">
        <f>SUM(H284-G284)</f>
        <v>114000</v>
      </c>
      <c r="J284" s="81">
        <v>1124</v>
      </c>
      <c r="K284" s="60"/>
    </row>
    <row r="285" spans="1:11" ht="16.5" thickBot="1" x14ac:dyDescent="0.3">
      <c r="A285" s="68" t="s">
        <v>13</v>
      </c>
      <c r="B285" s="93">
        <f>SUM(B255:B284)</f>
        <v>4644413</v>
      </c>
      <c r="C285" s="93">
        <f>SUM(C255:C284)</f>
        <v>0</v>
      </c>
      <c r="D285" s="93">
        <f>SUM(D255:D284)</f>
        <v>0</v>
      </c>
      <c r="E285" s="79">
        <f>SUM(E255:E284)</f>
        <v>4644413</v>
      </c>
      <c r="F285" s="79">
        <f>SUM(F255:F284)</f>
        <v>4544316</v>
      </c>
      <c r="G285" s="79">
        <f>SUM(G254:G284)</f>
        <v>0</v>
      </c>
      <c r="H285" s="79">
        <f>SUM(H255:H284)</f>
        <v>4515000</v>
      </c>
      <c r="I285" s="79">
        <f>SUM(I255:I284)</f>
        <v>4515000</v>
      </c>
      <c r="J285" s="79">
        <f>SUM(J255:J284)</f>
        <v>34244</v>
      </c>
      <c r="K285" s="64"/>
    </row>
    <row r="286" spans="1:11" ht="16.5" thickBot="1" x14ac:dyDescent="0.3">
      <c r="A286" s="83"/>
      <c r="B286" s="84"/>
      <c r="C286" s="84"/>
      <c r="D286" s="84"/>
      <c r="E286" s="85"/>
      <c r="F286" s="86"/>
      <c r="G286" s="86"/>
      <c r="H286" s="87"/>
      <c r="I286" s="88"/>
      <c r="J286" s="89"/>
      <c r="K286" s="90"/>
    </row>
    <row r="287" spans="1:11" ht="21.75" thickBot="1" x14ac:dyDescent="0.3">
      <c r="A287" s="3" t="s">
        <v>22</v>
      </c>
      <c r="B287" s="4"/>
      <c r="C287" s="4"/>
      <c r="D287" s="4"/>
      <c r="E287" s="4"/>
      <c r="F287" s="4"/>
      <c r="G287" s="4"/>
      <c r="H287" s="4"/>
      <c r="I287" s="4"/>
      <c r="J287" s="4"/>
      <c r="K287" s="5"/>
    </row>
    <row r="288" spans="1:11" x14ac:dyDescent="0.25">
      <c r="A288" s="6" t="s">
        <v>2</v>
      </c>
      <c r="B288" s="7" t="s">
        <v>3</v>
      </c>
      <c r="C288" s="7" t="s">
        <v>4</v>
      </c>
      <c r="D288" s="7" t="s">
        <v>5</v>
      </c>
      <c r="E288" s="8" t="s">
        <v>6</v>
      </c>
      <c r="F288" s="8" t="s">
        <v>7</v>
      </c>
      <c r="G288" s="8" t="s">
        <v>8</v>
      </c>
      <c r="H288" s="8" t="s">
        <v>20</v>
      </c>
      <c r="I288" s="8" t="s">
        <v>10</v>
      </c>
      <c r="J288" s="7" t="s">
        <v>11</v>
      </c>
      <c r="K288" s="9" t="s">
        <v>12</v>
      </c>
    </row>
    <row r="289" spans="1:11" ht="15.75" thickBot="1" x14ac:dyDescent="0.3">
      <c r="A289" s="10"/>
      <c r="B289" s="11"/>
      <c r="C289" s="11"/>
      <c r="D289" s="11"/>
      <c r="E289" s="12"/>
      <c r="F289" s="12"/>
      <c r="G289" s="13"/>
      <c r="H289" s="13"/>
      <c r="I289" s="13"/>
      <c r="J289" s="14"/>
      <c r="K289" s="44"/>
    </row>
    <row r="290" spans="1:11" ht="18.75" x14ac:dyDescent="0.3">
      <c r="A290" s="74">
        <v>45992</v>
      </c>
      <c r="B290" s="17">
        <v>111938</v>
      </c>
      <c r="C290" s="17">
        <v>0</v>
      </c>
      <c r="D290" s="17">
        <v>0</v>
      </c>
      <c r="E290" s="46">
        <f>B290+C290+D290</f>
        <v>111938</v>
      </c>
      <c r="F290" s="94">
        <v>109116</v>
      </c>
      <c r="G290" s="19">
        <v>0</v>
      </c>
      <c r="H290" s="94">
        <v>108000</v>
      </c>
      <c r="I290" s="19">
        <f>SUM(H290-G290)</f>
        <v>108000</v>
      </c>
      <c r="J290" s="94">
        <v>1140</v>
      </c>
      <c r="K290" s="75"/>
    </row>
    <row r="291" spans="1:11" ht="18.75" x14ac:dyDescent="0.3">
      <c r="A291" s="74">
        <v>45993</v>
      </c>
      <c r="B291" s="17">
        <v>113965</v>
      </c>
      <c r="C291" s="17">
        <v>0</v>
      </c>
      <c r="D291" s="17">
        <v>0</v>
      </c>
      <c r="E291" s="46">
        <f t="shared" ref="E291:E319" si="23">B291+C291+D291</f>
        <v>113965</v>
      </c>
      <c r="F291" s="94">
        <v>111096</v>
      </c>
      <c r="G291" s="91">
        <v>0</v>
      </c>
      <c r="H291" s="94">
        <v>111000</v>
      </c>
      <c r="I291" s="19">
        <f t="shared" ref="I291:I320" si="24">SUM(H291-G291)</f>
        <v>111000</v>
      </c>
      <c r="J291" s="94">
        <v>1170</v>
      </c>
      <c r="K291" s="57"/>
    </row>
    <row r="292" spans="1:11" ht="18.75" x14ac:dyDescent="0.3">
      <c r="A292" s="74">
        <v>45994</v>
      </c>
      <c r="B292" s="17">
        <v>111199</v>
      </c>
      <c r="C292" s="17">
        <v>0</v>
      </c>
      <c r="D292" s="17">
        <v>0</v>
      </c>
      <c r="E292" s="46">
        <f t="shared" si="23"/>
        <v>111199</v>
      </c>
      <c r="F292" s="94">
        <v>108432</v>
      </c>
      <c r="G292" s="91">
        <v>0</v>
      </c>
      <c r="H292" s="94">
        <v>108000</v>
      </c>
      <c r="I292" s="19">
        <f t="shared" si="24"/>
        <v>108000</v>
      </c>
      <c r="J292" s="94">
        <v>1162</v>
      </c>
      <c r="K292" s="57"/>
    </row>
    <row r="293" spans="1:11" ht="18.75" x14ac:dyDescent="0.3">
      <c r="A293" s="74">
        <v>45995</v>
      </c>
      <c r="B293" s="17">
        <v>107296</v>
      </c>
      <c r="C293" s="17">
        <v>0</v>
      </c>
      <c r="D293" s="17">
        <v>0</v>
      </c>
      <c r="E293" s="46">
        <f t="shared" si="23"/>
        <v>107296</v>
      </c>
      <c r="F293" s="94">
        <v>104688</v>
      </c>
      <c r="G293" s="91">
        <v>0</v>
      </c>
      <c r="H293" s="94">
        <v>105000</v>
      </c>
      <c r="I293" s="19">
        <f t="shared" si="24"/>
        <v>105000</v>
      </c>
      <c r="J293" s="94">
        <v>1091</v>
      </c>
      <c r="K293" s="57"/>
    </row>
    <row r="294" spans="1:11" ht="18.75" x14ac:dyDescent="0.3">
      <c r="A294" s="74">
        <v>45996</v>
      </c>
      <c r="B294" s="17">
        <v>108216</v>
      </c>
      <c r="C294" s="17">
        <v>0</v>
      </c>
      <c r="D294" s="17">
        <v>0</v>
      </c>
      <c r="E294" s="46">
        <f t="shared" si="23"/>
        <v>108216</v>
      </c>
      <c r="F294" s="94">
        <v>105588</v>
      </c>
      <c r="G294" s="91">
        <v>0</v>
      </c>
      <c r="H294" s="94">
        <v>105000</v>
      </c>
      <c r="I294" s="19">
        <f t="shared" si="24"/>
        <v>105000</v>
      </c>
      <c r="J294" s="94">
        <v>988</v>
      </c>
      <c r="K294" s="57"/>
    </row>
    <row r="295" spans="1:11" ht="18.75" x14ac:dyDescent="0.3">
      <c r="A295" s="74">
        <v>45997</v>
      </c>
      <c r="B295" s="17">
        <v>107406</v>
      </c>
      <c r="C295" s="17">
        <v>0</v>
      </c>
      <c r="D295" s="17">
        <v>0</v>
      </c>
      <c r="E295" s="46">
        <f t="shared" si="23"/>
        <v>107406</v>
      </c>
      <c r="F295" s="94">
        <v>104832</v>
      </c>
      <c r="G295" s="91">
        <v>0</v>
      </c>
      <c r="H295" s="94">
        <v>105000</v>
      </c>
      <c r="I295" s="19">
        <f t="shared" si="24"/>
        <v>105000</v>
      </c>
      <c r="J295" s="94">
        <v>966</v>
      </c>
      <c r="K295" s="57"/>
    </row>
    <row r="296" spans="1:11" ht="18.75" x14ac:dyDescent="0.3">
      <c r="A296" s="74">
        <v>45998</v>
      </c>
      <c r="B296" s="17">
        <v>104985</v>
      </c>
      <c r="C296" s="17">
        <v>0</v>
      </c>
      <c r="D296" s="17">
        <v>0</v>
      </c>
      <c r="E296" s="46">
        <f t="shared" si="23"/>
        <v>104985</v>
      </c>
      <c r="F296" s="94">
        <v>102060</v>
      </c>
      <c r="G296" s="91">
        <v>0</v>
      </c>
      <c r="H296" s="94">
        <v>102000</v>
      </c>
      <c r="I296" s="19">
        <f t="shared" si="24"/>
        <v>102000</v>
      </c>
      <c r="J296" s="94">
        <v>1013</v>
      </c>
      <c r="K296" s="57"/>
    </row>
    <row r="297" spans="1:11" ht="18.75" x14ac:dyDescent="0.3">
      <c r="A297" s="74">
        <v>45999</v>
      </c>
      <c r="B297" s="17">
        <v>105137</v>
      </c>
      <c r="C297" s="17">
        <v>0</v>
      </c>
      <c r="D297" s="17">
        <v>0</v>
      </c>
      <c r="E297" s="46">
        <f t="shared" si="23"/>
        <v>105137</v>
      </c>
      <c r="F297" s="94">
        <v>102924</v>
      </c>
      <c r="G297" s="91">
        <v>0</v>
      </c>
      <c r="H297" s="94">
        <v>102000</v>
      </c>
      <c r="I297" s="19">
        <f t="shared" si="24"/>
        <v>102000</v>
      </c>
      <c r="J297" s="94">
        <v>960</v>
      </c>
      <c r="K297" s="57"/>
    </row>
    <row r="298" spans="1:11" ht="18.75" x14ac:dyDescent="0.3">
      <c r="A298" s="74">
        <v>46000</v>
      </c>
      <c r="B298" s="17">
        <v>101630</v>
      </c>
      <c r="C298" s="17">
        <v>0</v>
      </c>
      <c r="D298" s="17">
        <v>0</v>
      </c>
      <c r="E298" s="46">
        <f t="shared" si="23"/>
        <v>101630</v>
      </c>
      <c r="F298" s="94">
        <v>99108</v>
      </c>
      <c r="G298" s="91">
        <v>0</v>
      </c>
      <c r="H298" s="94">
        <v>99000</v>
      </c>
      <c r="I298" s="19">
        <f t="shared" si="24"/>
        <v>99000</v>
      </c>
      <c r="J298" s="94">
        <v>976</v>
      </c>
      <c r="K298" s="57"/>
    </row>
    <row r="299" spans="1:11" ht="18.75" x14ac:dyDescent="0.3">
      <c r="A299" s="74">
        <v>46001</v>
      </c>
      <c r="B299" s="17">
        <v>103128</v>
      </c>
      <c r="C299" s="17">
        <v>0</v>
      </c>
      <c r="D299" s="17">
        <v>0</v>
      </c>
      <c r="E299" s="46">
        <f t="shared" si="23"/>
        <v>103128</v>
      </c>
      <c r="F299" s="94">
        <v>100368</v>
      </c>
      <c r="G299" s="91">
        <v>0</v>
      </c>
      <c r="H299" s="94">
        <v>99000</v>
      </c>
      <c r="I299" s="19">
        <f t="shared" si="24"/>
        <v>99000</v>
      </c>
      <c r="J299" s="94">
        <v>990</v>
      </c>
      <c r="K299" s="57"/>
    </row>
    <row r="300" spans="1:11" ht="18.75" x14ac:dyDescent="0.3">
      <c r="A300" s="74">
        <v>46002</v>
      </c>
      <c r="B300" s="17">
        <v>100895</v>
      </c>
      <c r="C300" s="17">
        <v>0</v>
      </c>
      <c r="D300" s="17">
        <v>0</v>
      </c>
      <c r="E300" s="46">
        <f t="shared" si="23"/>
        <v>100895</v>
      </c>
      <c r="F300" s="94">
        <v>98388</v>
      </c>
      <c r="G300" s="91">
        <v>0</v>
      </c>
      <c r="H300" s="94">
        <v>99000</v>
      </c>
      <c r="I300" s="19">
        <f t="shared" si="24"/>
        <v>99000</v>
      </c>
      <c r="J300" s="94">
        <v>982</v>
      </c>
      <c r="K300" s="57"/>
    </row>
    <row r="301" spans="1:11" ht="18.75" x14ac:dyDescent="0.3">
      <c r="A301" s="74">
        <v>46003</v>
      </c>
      <c r="B301" s="17">
        <v>102677</v>
      </c>
      <c r="C301" s="17">
        <v>0</v>
      </c>
      <c r="D301" s="17">
        <v>0</v>
      </c>
      <c r="E301" s="46">
        <f t="shared" si="23"/>
        <v>102677</v>
      </c>
      <c r="F301" s="94">
        <v>100332</v>
      </c>
      <c r="G301" s="91">
        <v>0</v>
      </c>
      <c r="H301" s="94">
        <v>99000</v>
      </c>
      <c r="I301" s="19">
        <f t="shared" si="24"/>
        <v>99000</v>
      </c>
      <c r="J301" s="94">
        <v>982</v>
      </c>
      <c r="K301" s="57"/>
    </row>
    <row r="302" spans="1:11" ht="18.75" x14ac:dyDescent="0.3">
      <c r="A302" s="74">
        <v>46004</v>
      </c>
      <c r="B302" s="17">
        <v>97947</v>
      </c>
      <c r="C302" s="17">
        <v>0</v>
      </c>
      <c r="D302" s="17">
        <v>0</v>
      </c>
      <c r="E302" s="46">
        <f t="shared" si="23"/>
        <v>97947</v>
      </c>
      <c r="F302" s="94">
        <v>95616</v>
      </c>
      <c r="G302" s="91">
        <v>0</v>
      </c>
      <c r="H302" s="94">
        <v>96000</v>
      </c>
      <c r="I302" s="19">
        <f t="shared" si="24"/>
        <v>96000</v>
      </c>
      <c r="J302" s="94">
        <v>953</v>
      </c>
      <c r="K302" s="57"/>
    </row>
    <row r="303" spans="1:11" ht="18.75" x14ac:dyDescent="0.3">
      <c r="A303" s="74">
        <v>46005</v>
      </c>
      <c r="B303" s="17">
        <v>96358</v>
      </c>
      <c r="C303" s="17">
        <v>0</v>
      </c>
      <c r="D303" s="17">
        <v>0</v>
      </c>
      <c r="E303" s="46">
        <f t="shared" si="23"/>
        <v>96358</v>
      </c>
      <c r="F303" s="94">
        <v>94104</v>
      </c>
      <c r="G303" s="91">
        <v>0</v>
      </c>
      <c r="H303" s="94">
        <v>93000</v>
      </c>
      <c r="I303" s="19">
        <f t="shared" si="24"/>
        <v>93000</v>
      </c>
      <c r="J303" s="94">
        <v>979</v>
      </c>
      <c r="K303" s="57"/>
    </row>
    <row r="304" spans="1:11" ht="18.75" x14ac:dyDescent="0.3">
      <c r="A304" s="74">
        <v>46006</v>
      </c>
      <c r="B304" s="17">
        <v>96134</v>
      </c>
      <c r="C304" s="17">
        <v>0</v>
      </c>
      <c r="D304" s="17">
        <v>0</v>
      </c>
      <c r="E304" s="46">
        <f t="shared" si="23"/>
        <v>96134</v>
      </c>
      <c r="F304" s="94">
        <v>93744</v>
      </c>
      <c r="G304" s="91">
        <v>0</v>
      </c>
      <c r="H304" s="94">
        <v>93000</v>
      </c>
      <c r="I304" s="19">
        <f t="shared" si="24"/>
        <v>93000</v>
      </c>
      <c r="J304" s="94">
        <v>953</v>
      </c>
      <c r="K304" s="57"/>
    </row>
    <row r="305" spans="1:11" ht="18.75" x14ac:dyDescent="0.3">
      <c r="A305" s="74">
        <v>46007</v>
      </c>
      <c r="B305" s="17">
        <v>91407</v>
      </c>
      <c r="C305" s="17">
        <v>0</v>
      </c>
      <c r="D305" s="17">
        <v>0</v>
      </c>
      <c r="E305" s="46">
        <f t="shared" si="23"/>
        <v>91407</v>
      </c>
      <c r="F305" s="94">
        <v>88848</v>
      </c>
      <c r="G305" s="91">
        <v>0</v>
      </c>
      <c r="H305" s="94">
        <v>90000</v>
      </c>
      <c r="I305" s="19">
        <f t="shared" si="24"/>
        <v>90000</v>
      </c>
      <c r="J305" s="94">
        <v>1011</v>
      </c>
      <c r="K305" s="57"/>
    </row>
    <row r="306" spans="1:11" ht="18.75" x14ac:dyDescent="0.3">
      <c r="A306" s="74">
        <v>46008</v>
      </c>
      <c r="B306" s="17">
        <v>93813</v>
      </c>
      <c r="C306" s="17">
        <v>0</v>
      </c>
      <c r="D306" s="17">
        <v>0</v>
      </c>
      <c r="E306" s="46">
        <f t="shared" si="23"/>
        <v>93813</v>
      </c>
      <c r="F306" s="94">
        <v>91188</v>
      </c>
      <c r="G306" s="91">
        <v>0</v>
      </c>
      <c r="H306" s="94">
        <v>90000</v>
      </c>
      <c r="I306" s="19">
        <f t="shared" si="24"/>
        <v>90000</v>
      </c>
      <c r="J306" s="94">
        <v>1150</v>
      </c>
      <c r="K306" s="57"/>
    </row>
    <row r="307" spans="1:11" ht="18.75" x14ac:dyDescent="0.3">
      <c r="A307" s="74">
        <v>46009</v>
      </c>
      <c r="B307" s="17">
        <v>92085</v>
      </c>
      <c r="C307" s="17">
        <v>0</v>
      </c>
      <c r="D307" s="17">
        <v>0</v>
      </c>
      <c r="E307" s="46">
        <f t="shared" si="23"/>
        <v>92085</v>
      </c>
      <c r="F307" s="94">
        <v>89460</v>
      </c>
      <c r="G307" s="91">
        <v>0</v>
      </c>
      <c r="H307" s="94">
        <v>90000</v>
      </c>
      <c r="I307" s="19">
        <f t="shared" si="24"/>
        <v>90000</v>
      </c>
      <c r="J307" s="94">
        <v>1197</v>
      </c>
      <c r="K307" s="57"/>
    </row>
    <row r="308" spans="1:11" ht="18.75" x14ac:dyDescent="0.3">
      <c r="A308" s="74">
        <v>46010</v>
      </c>
      <c r="B308" s="17">
        <v>91657</v>
      </c>
      <c r="C308" s="17">
        <v>0</v>
      </c>
      <c r="D308" s="17">
        <v>0</v>
      </c>
      <c r="E308" s="46">
        <f t="shared" si="23"/>
        <v>91657</v>
      </c>
      <c r="F308" s="94">
        <v>89172</v>
      </c>
      <c r="G308" s="91">
        <v>0</v>
      </c>
      <c r="H308" s="94">
        <v>87000</v>
      </c>
      <c r="I308" s="19">
        <f t="shared" si="24"/>
        <v>87000</v>
      </c>
      <c r="J308" s="94">
        <v>1057</v>
      </c>
      <c r="K308" s="57"/>
    </row>
    <row r="309" spans="1:11" ht="18.75" x14ac:dyDescent="0.3">
      <c r="A309" s="74">
        <v>46011</v>
      </c>
      <c r="B309" s="17">
        <v>90895</v>
      </c>
      <c r="C309" s="17">
        <v>0</v>
      </c>
      <c r="D309" s="17">
        <v>0</v>
      </c>
      <c r="E309" s="46">
        <f t="shared" si="23"/>
        <v>90895</v>
      </c>
      <c r="F309" s="94">
        <v>88452</v>
      </c>
      <c r="G309" s="91">
        <v>0</v>
      </c>
      <c r="H309" s="94">
        <v>90000</v>
      </c>
      <c r="I309" s="19">
        <f t="shared" si="24"/>
        <v>90000</v>
      </c>
      <c r="J309" s="94">
        <v>986</v>
      </c>
      <c r="K309" s="57"/>
    </row>
    <row r="310" spans="1:11" ht="18.75" x14ac:dyDescent="0.3">
      <c r="A310" s="74">
        <v>46012</v>
      </c>
      <c r="B310" s="17">
        <v>85102</v>
      </c>
      <c r="C310" s="17">
        <v>0</v>
      </c>
      <c r="D310" s="17">
        <v>0</v>
      </c>
      <c r="E310" s="46">
        <f t="shared" si="23"/>
        <v>85102</v>
      </c>
      <c r="F310" s="94">
        <v>82692</v>
      </c>
      <c r="G310" s="91">
        <v>0</v>
      </c>
      <c r="H310" s="94">
        <v>81000</v>
      </c>
      <c r="I310" s="19">
        <f t="shared" si="24"/>
        <v>81000</v>
      </c>
      <c r="J310" s="94">
        <v>983</v>
      </c>
      <c r="K310" s="57"/>
    </row>
    <row r="311" spans="1:11" ht="18.75" x14ac:dyDescent="0.3">
      <c r="A311" s="74">
        <v>46013</v>
      </c>
      <c r="B311" s="17">
        <v>88077</v>
      </c>
      <c r="C311" s="17">
        <v>0</v>
      </c>
      <c r="D311" s="17">
        <v>0</v>
      </c>
      <c r="E311" s="46">
        <f t="shared" si="23"/>
        <v>88077</v>
      </c>
      <c r="F311" s="94">
        <v>85680</v>
      </c>
      <c r="G311" s="91">
        <v>0</v>
      </c>
      <c r="H311" s="94">
        <v>87000</v>
      </c>
      <c r="I311" s="19">
        <f t="shared" si="24"/>
        <v>87000</v>
      </c>
      <c r="J311" s="94">
        <v>1031</v>
      </c>
      <c r="K311" s="57"/>
    </row>
    <row r="312" spans="1:11" ht="18.75" x14ac:dyDescent="0.3">
      <c r="A312" s="74">
        <v>46014</v>
      </c>
      <c r="B312" s="17">
        <v>44722</v>
      </c>
      <c r="C312" s="17">
        <v>41067</v>
      </c>
      <c r="D312" s="17">
        <v>0</v>
      </c>
      <c r="E312" s="46">
        <f t="shared" si="23"/>
        <v>85789</v>
      </c>
      <c r="F312" s="94">
        <v>82980</v>
      </c>
      <c r="G312" s="91">
        <v>0</v>
      </c>
      <c r="H312" s="94">
        <v>81000</v>
      </c>
      <c r="I312" s="19">
        <f t="shared" si="24"/>
        <v>81000</v>
      </c>
      <c r="J312" s="94">
        <v>1188</v>
      </c>
      <c r="K312" s="57"/>
    </row>
    <row r="313" spans="1:11" ht="18.75" x14ac:dyDescent="0.3">
      <c r="A313" s="74">
        <v>46015</v>
      </c>
      <c r="B313" s="17">
        <v>0</v>
      </c>
      <c r="C313" s="17">
        <v>84037</v>
      </c>
      <c r="D313" s="17">
        <v>0</v>
      </c>
      <c r="E313" s="46">
        <f t="shared" si="23"/>
        <v>84037</v>
      </c>
      <c r="F313" s="94">
        <v>81144</v>
      </c>
      <c r="G313" s="91">
        <v>0</v>
      </c>
      <c r="H313" s="94">
        <v>81000</v>
      </c>
      <c r="I313" s="19">
        <f t="shared" si="24"/>
        <v>81000</v>
      </c>
      <c r="J313" s="94">
        <v>1209</v>
      </c>
      <c r="K313" s="57"/>
    </row>
    <row r="314" spans="1:11" ht="18.75" x14ac:dyDescent="0.3">
      <c r="A314" s="74">
        <v>46016</v>
      </c>
      <c r="B314" s="17">
        <v>0</v>
      </c>
      <c r="C314" s="17">
        <v>84644</v>
      </c>
      <c r="D314" s="17">
        <v>0</v>
      </c>
      <c r="E314" s="46">
        <f t="shared" si="23"/>
        <v>84644</v>
      </c>
      <c r="F314" s="94">
        <v>81792</v>
      </c>
      <c r="G314" s="91">
        <v>0</v>
      </c>
      <c r="H314" s="94">
        <v>81000</v>
      </c>
      <c r="I314" s="19">
        <f t="shared" si="24"/>
        <v>81000</v>
      </c>
      <c r="J314" s="94">
        <v>1223</v>
      </c>
      <c r="K314" s="57"/>
    </row>
    <row r="315" spans="1:11" ht="18.75" x14ac:dyDescent="0.3">
      <c r="A315" s="74">
        <v>46017</v>
      </c>
      <c r="B315" s="17">
        <v>0</v>
      </c>
      <c r="C315" s="17">
        <v>80352</v>
      </c>
      <c r="D315" s="17">
        <v>0</v>
      </c>
      <c r="E315" s="46">
        <f t="shared" si="23"/>
        <v>80352</v>
      </c>
      <c r="F315" s="94">
        <v>77292</v>
      </c>
      <c r="G315" s="91">
        <v>0</v>
      </c>
      <c r="H315" s="94">
        <v>78000</v>
      </c>
      <c r="I315" s="19">
        <f t="shared" si="24"/>
        <v>78000</v>
      </c>
      <c r="J315" s="94">
        <v>1270</v>
      </c>
      <c r="K315" s="57"/>
    </row>
    <row r="316" spans="1:11" ht="18.75" x14ac:dyDescent="0.3">
      <c r="A316" s="74">
        <v>46018</v>
      </c>
      <c r="B316" s="17">
        <v>0</v>
      </c>
      <c r="C316" s="17">
        <v>75921</v>
      </c>
      <c r="D316" s="17">
        <v>0</v>
      </c>
      <c r="E316" s="46">
        <f t="shared" si="23"/>
        <v>75921</v>
      </c>
      <c r="F316" s="94">
        <v>73116</v>
      </c>
      <c r="G316" s="91">
        <v>0</v>
      </c>
      <c r="H316" s="94">
        <v>72000</v>
      </c>
      <c r="I316" s="19">
        <f t="shared" si="24"/>
        <v>72000</v>
      </c>
      <c r="J316" s="94">
        <v>1197</v>
      </c>
      <c r="K316" s="57"/>
    </row>
    <row r="317" spans="1:11" ht="18.75" x14ac:dyDescent="0.3">
      <c r="A317" s="74">
        <v>46019</v>
      </c>
      <c r="B317" s="17">
        <v>0</v>
      </c>
      <c r="C317" s="17">
        <v>77778</v>
      </c>
      <c r="D317" s="17">
        <v>0</v>
      </c>
      <c r="E317" s="46">
        <f t="shared" si="23"/>
        <v>77778</v>
      </c>
      <c r="F317" s="94">
        <v>74880</v>
      </c>
      <c r="G317" s="91">
        <v>0</v>
      </c>
      <c r="H317" s="94">
        <v>75000</v>
      </c>
      <c r="I317" s="19">
        <f t="shared" si="24"/>
        <v>75000</v>
      </c>
      <c r="J317" s="94">
        <v>1186</v>
      </c>
      <c r="K317" s="57"/>
    </row>
    <row r="318" spans="1:11" ht="18.75" x14ac:dyDescent="0.3">
      <c r="A318" s="74">
        <v>46020</v>
      </c>
      <c r="B318" s="17">
        <v>0</v>
      </c>
      <c r="C318" s="17">
        <v>72137</v>
      </c>
      <c r="D318" s="17">
        <v>0</v>
      </c>
      <c r="E318" s="46">
        <f t="shared" si="23"/>
        <v>72137</v>
      </c>
      <c r="F318" s="94">
        <v>69264</v>
      </c>
      <c r="G318" s="91">
        <v>0</v>
      </c>
      <c r="H318" s="94">
        <v>69000</v>
      </c>
      <c r="I318" s="19">
        <f t="shared" si="24"/>
        <v>69000</v>
      </c>
      <c r="J318" s="94">
        <v>1217</v>
      </c>
      <c r="K318" s="57"/>
    </row>
    <row r="319" spans="1:11" ht="18.75" x14ac:dyDescent="0.3">
      <c r="A319" s="74">
        <v>46021</v>
      </c>
      <c r="B319" s="17">
        <v>0</v>
      </c>
      <c r="C319" s="17">
        <v>75468</v>
      </c>
      <c r="D319" s="17">
        <v>70696</v>
      </c>
      <c r="E319" s="46">
        <f t="shared" si="23"/>
        <v>146164</v>
      </c>
      <c r="F319" s="94">
        <v>72720</v>
      </c>
      <c r="G319" s="91">
        <v>0</v>
      </c>
      <c r="H319" s="94">
        <v>72000</v>
      </c>
      <c r="I319" s="19">
        <f t="shared" si="24"/>
        <v>72000</v>
      </c>
      <c r="J319" s="94">
        <v>1211</v>
      </c>
      <c r="K319" s="57"/>
    </row>
    <row r="320" spans="1:11" ht="19.5" thickBot="1" x14ac:dyDescent="0.35">
      <c r="A320" s="74">
        <v>46022</v>
      </c>
      <c r="B320" s="17">
        <v>0</v>
      </c>
      <c r="C320" s="17">
        <v>74988</v>
      </c>
      <c r="D320" s="17">
        <v>100024</v>
      </c>
      <c r="E320" s="46">
        <f>B320+C320+D320</f>
        <v>175012</v>
      </c>
      <c r="F320" s="94">
        <v>72216</v>
      </c>
      <c r="G320" s="92">
        <v>0</v>
      </c>
      <c r="H320" s="94">
        <v>72000</v>
      </c>
      <c r="I320" s="19">
        <f t="shared" si="24"/>
        <v>72000</v>
      </c>
      <c r="J320" s="94">
        <v>1251</v>
      </c>
      <c r="K320" s="60"/>
    </row>
    <row r="321" spans="1:11" ht="16.5" thickBot="1" x14ac:dyDescent="0.3">
      <c r="A321" s="68" t="s">
        <v>13</v>
      </c>
      <c r="B321" s="93">
        <f t="shared" ref="B321:J321" si="25">SUM(B290:B320)</f>
        <v>2246669</v>
      </c>
      <c r="C321" s="93">
        <f t="shared" si="25"/>
        <v>666392</v>
      </c>
      <c r="D321" s="93">
        <f t="shared" si="25"/>
        <v>170720</v>
      </c>
      <c r="E321" s="79">
        <f t="shared" si="25"/>
        <v>3083781</v>
      </c>
      <c r="F321" s="79">
        <f>SUM(F290:F320)</f>
        <v>2831292</v>
      </c>
      <c r="G321" s="79">
        <f t="shared" si="25"/>
        <v>0</v>
      </c>
      <c r="H321" s="79">
        <f>SUM(H290:H320)</f>
        <v>2820000</v>
      </c>
      <c r="I321" s="79">
        <f>SUM(I290:I320)</f>
        <v>2820000</v>
      </c>
      <c r="J321" s="79">
        <f t="shared" si="25"/>
        <v>33672</v>
      </c>
      <c r="K321" s="64"/>
    </row>
    <row r="322" spans="1:11" ht="15" customHeight="1" thickBot="1" x14ac:dyDescent="0.3">
      <c r="A322" s="83"/>
      <c r="B322" s="84"/>
      <c r="C322" s="84"/>
      <c r="D322" s="84"/>
      <c r="E322" s="85"/>
      <c r="F322" s="86"/>
      <c r="G322" s="86"/>
      <c r="H322" s="87"/>
      <c r="I322" s="88"/>
      <c r="J322" s="89"/>
      <c r="K322" s="90"/>
    </row>
    <row r="323" spans="1:11" ht="20.25" customHeight="1" thickBot="1" x14ac:dyDescent="0.3">
      <c r="A323" s="3" t="s">
        <v>23</v>
      </c>
      <c r="B323" s="4"/>
      <c r="C323" s="4"/>
      <c r="D323" s="4"/>
      <c r="E323" s="4"/>
      <c r="F323" s="4"/>
      <c r="G323" s="4"/>
      <c r="H323" s="4"/>
      <c r="I323" s="4"/>
      <c r="J323" s="4"/>
      <c r="K323" s="5"/>
    </row>
    <row r="324" spans="1:11" ht="15" customHeight="1" x14ac:dyDescent="0.25">
      <c r="A324" s="6" t="s">
        <v>2</v>
      </c>
      <c r="B324" s="7" t="s">
        <v>3</v>
      </c>
      <c r="C324" s="7" t="s">
        <v>4</v>
      </c>
      <c r="D324" s="7" t="s">
        <v>5</v>
      </c>
      <c r="E324" s="8" t="s">
        <v>6</v>
      </c>
      <c r="F324" s="8" t="s">
        <v>7</v>
      </c>
      <c r="G324" s="8" t="s">
        <v>8</v>
      </c>
      <c r="H324" s="8" t="s">
        <v>20</v>
      </c>
      <c r="I324" s="8" t="s">
        <v>10</v>
      </c>
      <c r="J324" s="7" t="s">
        <v>11</v>
      </c>
      <c r="K324" s="9" t="s">
        <v>12</v>
      </c>
    </row>
    <row r="325" spans="1:11" ht="15" customHeight="1" thickBot="1" x14ac:dyDescent="0.3">
      <c r="A325" s="10"/>
      <c r="B325" s="11"/>
      <c r="C325" s="11"/>
      <c r="D325" s="11"/>
      <c r="E325" s="12"/>
      <c r="F325" s="12"/>
      <c r="G325" s="13"/>
      <c r="H325" s="13"/>
      <c r="I325" s="13"/>
      <c r="J325" s="14"/>
      <c r="K325" s="44"/>
    </row>
    <row r="326" spans="1:11" ht="15.75" x14ac:dyDescent="0.25">
      <c r="A326" s="74">
        <v>46023</v>
      </c>
      <c r="B326" s="17">
        <v>0</v>
      </c>
      <c r="C326" s="17">
        <v>72654</v>
      </c>
      <c r="D326" s="17">
        <v>0</v>
      </c>
      <c r="E326" s="46">
        <f t="shared" ref="E326:E356" si="26">B326+C326+D326</f>
        <v>72654</v>
      </c>
      <c r="F326" s="95">
        <v>69840</v>
      </c>
      <c r="G326" s="19">
        <v>0</v>
      </c>
      <c r="H326" s="19">
        <v>69000</v>
      </c>
      <c r="I326" s="19">
        <f>SUM(H326-G326)</f>
        <v>69000</v>
      </c>
      <c r="J326" s="19">
        <v>1248</v>
      </c>
      <c r="K326" s="75"/>
    </row>
    <row r="327" spans="1:11" ht="15.75" x14ac:dyDescent="0.25">
      <c r="A327" s="74">
        <v>46024</v>
      </c>
      <c r="B327" s="17">
        <v>0</v>
      </c>
      <c r="C327" s="17">
        <v>74296</v>
      </c>
      <c r="D327" s="17">
        <v>0</v>
      </c>
      <c r="E327" s="46">
        <f t="shared" si="26"/>
        <v>74296</v>
      </c>
      <c r="F327" s="95">
        <v>71640</v>
      </c>
      <c r="G327" s="91">
        <v>0</v>
      </c>
      <c r="H327" s="19">
        <v>72000</v>
      </c>
      <c r="I327" s="19">
        <f t="shared" ref="I327:I355" si="27">SUM(H327-G327)</f>
        <v>72000</v>
      </c>
      <c r="J327" s="19">
        <v>1090</v>
      </c>
      <c r="K327" s="57"/>
    </row>
    <row r="328" spans="1:11" ht="15.75" x14ac:dyDescent="0.25">
      <c r="A328" s="74">
        <v>46025</v>
      </c>
      <c r="B328" s="17">
        <v>0</v>
      </c>
      <c r="C328" s="17">
        <v>69771</v>
      </c>
      <c r="D328" s="17">
        <v>0</v>
      </c>
      <c r="E328" s="46">
        <f t="shared" si="26"/>
        <v>69771</v>
      </c>
      <c r="F328" s="95">
        <v>67212</v>
      </c>
      <c r="G328" s="91">
        <v>0</v>
      </c>
      <c r="H328" s="19">
        <v>66000</v>
      </c>
      <c r="I328" s="19">
        <f t="shared" si="27"/>
        <v>66000</v>
      </c>
      <c r="J328" s="19">
        <v>1040</v>
      </c>
      <c r="K328" s="57"/>
    </row>
    <row r="329" spans="1:11" ht="15.75" x14ac:dyDescent="0.25">
      <c r="A329" s="74">
        <v>46026</v>
      </c>
      <c r="B329" s="17">
        <v>0</v>
      </c>
      <c r="C329" s="17">
        <v>72025</v>
      </c>
      <c r="D329" s="17">
        <v>0</v>
      </c>
      <c r="E329" s="46">
        <f t="shared" si="26"/>
        <v>72025</v>
      </c>
      <c r="F329" s="95">
        <v>69516</v>
      </c>
      <c r="G329" s="91">
        <v>0</v>
      </c>
      <c r="H329" s="19">
        <v>72000</v>
      </c>
      <c r="I329" s="19">
        <f t="shared" si="27"/>
        <v>72000</v>
      </c>
      <c r="J329" s="19">
        <v>1013</v>
      </c>
      <c r="K329" s="57"/>
    </row>
    <row r="330" spans="1:11" ht="15.75" x14ac:dyDescent="0.25">
      <c r="A330" s="74">
        <v>46027</v>
      </c>
      <c r="B330" s="17">
        <v>0</v>
      </c>
      <c r="C330" s="17">
        <v>73680</v>
      </c>
      <c r="D330" s="17">
        <v>0</v>
      </c>
      <c r="E330" s="46">
        <f t="shared" si="26"/>
        <v>73680</v>
      </c>
      <c r="F330" s="95">
        <v>71136</v>
      </c>
      <c r="G330" s="91">
        <v>0</v>
      </c>
      <c r="H330" s="19">
        <v>69000</v>
      </c>
      <c r="I330" s="19">
        <f t="shared" si="27"/>
        <v>69000</v>
      </c>
      <c r="J330" s="19">
        <v>1065</v>
      </c>
      <c r="K330" s="57"/>
    </row>
    <row r="331" spans="1:11" ht="15.75" x14ac:dyDescent="0.25">
      <c r="A331" s="74">
        <v>46028</v>
      </c>
      <c r="B331" s="17">
        <v>0</v>
      </c>
      <c r="C331" s="17">
        <v>68859</v>
      </c>
      <c r="D331" s="17">
        <v>0</v>
      </c>
      <c r="E331" s="46">
        <f t="shared" si="26"/>
        <v>68859</v>
      </c>
      <c r="F331" s="95">
        <v>66312</v>
      </c>
      <c r="G331" s="91">
        <v>0</v>
      </c>
      <c r="H331" s="19">
        <v>69000</v>
      </c>
      <c r="I331" s="19">
        <f t="shared" si="27"/>
        <v>69000</v>
      </c>
      <c r="J331" s="19">
        <v>1092</v>
      </c>
      <c r="K331" s="57"/>
    </row>
    <row r="332" spans="1:11" ht="15.75" x14ac:dyDescent="0.25">
      <c r="A332" s="74">
        <v>46029</v>
      </c>
      <c r="B332" s="17">
        <v>0</v>
      </c>
      <c r="C332" s="17">
        <v>69529</v>
      </c>
      <c r="D332" s="17">
        <v>0</v>
      </c>
      <c r="E332" s="46">
        <f t="shared" si="26"/>
        <v>69529</v>
      </c>
      <c r="F332" s="95">
        <v>66924</v>
      </c>
      <c r="G332" s="91">
        <v>0</v>
      </c>
      <c r="H332" s="19">
        <v>66000</v>
      </c>
      <c r="I332" s="19">
        <f t="shared" si="27"/>
        <v>66000</v>
      </c>
      <c r="J332" s="19">
        <v>1050</v>
      </c>
      <c r="K332" s="57"/>
    </row>
    <row r="333" spans="1:11" ht="15.75" x14ac:dyDescent="0.25">
      <c r="A333" s="74">
        <v>46030</v>
      </c>
      <c r="B333" s="17">
        <v>0</v>
      </c>
      <c r="C333" s="17">
        <v>67757</v>
      </c>
      <c r="D333" s="17">
        <v>0</v>
      </c>
      <c r="E333" s="46">
        <f t="shared" si="26"/>
        <v>67757</v>
      </c>
      <c r="F333" s="95">
        <v>65160</v>
      </c>
      <c r="G333" s="91">
        <v>0</v>
      </c>
      <c r="H333" s="19">
        <v>66000</v>
      </c>
      <c r="I333" s="19">
        <f t="shared" si="27"/>
        <v>66000</v>
      </c>
      <c r="J333" s="19">
        <v>1049</v>
      </c>
      <c r="K333" s="57"/>
    </row>
    <row r="334" spans="1:11" ht="15.75" x14ac:dyDescent="0.25">
      <c r="A334" s="74">
        <v>46031</v>
      </c>
      <c r="B334" s="17">
        <v>0</v>
      </c>
      <c r="C334" s="17">
        <v>67731</v>
      </c>
      <c r="D334" s="17">
        <v>0</v>
      </c>
      <c r="E334" s="46">
        <f t="shared" si="26"/>
        <v>67731</v>
      </c>
      <c r="F334" s="95">
        <v>64980</v>
      </c>
      <c r="G334" s="91">
        <v>0</v>
      </c>
      <c r="H334" s="19">
        <v>66000</v>
      </c>
      <c r="I334" s="19">
        <f t="shared" si="27"/>
        <v>66000</v>
      </c>
      <c r="J334" s="19">
        <v>1067</v>
      </c>
      <c r="K334" s="57"/>
    </row>
    <row r="335" spans="1:11" ht="15.75" x14ac:dyDescent="0.25">
      <c r="A335" s="74">
        <v>46032</v>
      </c>
      <c r="B335" s="17">
        <v>0</v>
      </c>
      <c r="C335" s="17">
        <v>70008</v>
      </c>
      <c r="D335" s="17">
        <v>0</v>
      </c>
      <c r="E335" s="46">
        <f t="shared" si="26"/>
        <v>70008</v>
      </c>
      <c r="F335" s="95">
        <v>67320</v>
      </c>
      <c r="G335" s="91">
        <v>0</v>
      </c>
      <c r="H335" s="19">
        <v>66000</v>
      </c>
      <c r="I335" s="19">
        <f t="shared" si="27"/>
        <v>66000</v>
      </c>
      <c r="J335" s="19">
        <v>1050</v>
      </c>
      <c r="K335" s="57"/>
    </row>
    <row r="336" spans="1:11" ht="15.75" x14ac:dyDescent="0.25">
      <c r="A336" s="74">
        <v>46033</v>
      </c>
      <c r="B336" s="17">
        <v>0</v>
      </c>
      <c r="C336" s="17">
        <v>55604</v>
      </c>
      <c r="D336" s="17">
        <v>0</v>
      </c>
      <c r="E336" s="46">
        <f t="shared" si="26"/>
        <v>55604</v>
      </c>
      <c r="F336" s="95">
        <v>53496</v>
      </c>
      <c r="G336" s="91">
        <v>0</v>
      </c>
      <c r="H336" s="19">
        <v>54000</v>
      </c>
      <c r="I336" s="19">
        <f t="shared" si="27"/>
        <v>54000</v>
      </c>
      <c r="J336" s="19">
        <v>907</v>
      </c>
      <c r="K336" s="57"/>
    </row>
    <row r="337" spans="1:11" ht="15.75" x14ac:dyDescent="0.25">
      <c r="A337" s="74">
        <v>46034</v>
      </c>
      <c r="B337" s="17">
        <v>0</v>
      </c>
      <c r="C337" s="17">
        <v>71777</v>
      </c>
      <c r="D337" s="17">
        <v>0</v>
      </c>
      <c r="E337" s="46">
        <f t="shared" si="26"/>
        <v>71777</v>
      </c>
      <c r="F337" s="95">
        <v>69372</v>
      </c>
      <c r="G337" s="91">
        <v>0</v>
      </c>
      <c r="H337" s="19">
        <v>69000</v>
      </c>
      <c r="I337" s="19">
        <f t="shared" si="27"/>
        <v>69000</v>
      </c>
      <c r="J337" s="19">
        <v>1047</v>
      </c>
      <c r="K337" s="57"/>
    </row>
    <row r="338" spans="1:11" ht="15.75" x14ac:dyDescent="0.25">
      <c r="A338" s="74">
        <v>46035</v>
      </c>
      <c r="B338" s="17">
        <v>0</v>
      </c>
      <c r="C338" s="17">
        <v>72589</v>
      </c>
      <c r="D338" s="17">
        <v>0</v>
      </c>
      <c r="E338" s="46">
        <f t="shared" si="26"/>
        <v>72589</v>
      </c>
      <c r="F338" s="95">
        <v>70200</v>
      </c>
      <c r="G338" s="91">
        <v>0</v>
      </c>
      <c r="H338" s="19">
        <v>69000</v>
      </c>
      <c r="I338" s="19">
        <f t="shared" si="27"/>
        <v>69000</v>
      </c>
      <c r="J338" s="19">
        <v>1017</v>
      </c>
      <c r="K338" s="57"/>
    </row>
    <row r="339" spans="1:11" ht="15.75" x14ac:dyDescent="0.25">
      <c r="A339" s="74">
        <v>46036</v>
      </c>
      <c r="B339" s="17">
        <v>0</v>
      </c>
      <c r="C339" s="17">
        <v>70602</v>
      </c>
      <c r="D339" s="17">
        <v>0</v>
      </c>
      <c r="E339" s="46">
        <f t="shared" si="26"/>
        <v>70602</v>
      </c>
      <c r="F339" s="95">
        <v>68220</v>
      </c>
      <c r="G339" s="91">
        <v>0</v>
      </c>
      <c r="H339" s="19">
        <v>69000</v>
      </c>
      <c r="I339" s="19">
        <f t="shared" si="27"/>
        <v>69000</v>
      </c>
      <c r="J339" s="19">
        <v>1043</v>
      </c>
      <c r="K339" s="57"/>
    </row>
    <row r="340" spans="1:11" ht="15.75" x14ac:dyDescent="0.25">
      <c r="A340" s="74">
        <v>46037</v>
      </c>
      <c r="B340" s="17">
        <v>0</v>
      </c>
      <c r="C340" s="17">
        <v>70022</v>
      </c>
      <c r="D340" s="17">
        <v>0</v>
      </c>
      <c r="E340" s="46">
        <f t="shared" si="26"/>
        <v>70022</v>
      </c>
      <c r="F340" s="95">
        <v>67536</v>
      </c>
      <c r="G340" s="91">
        <v>0</v>
      </c>
      <c r="H340" s="19">
        <v>66000</v>
      </c>
      <c r="I340" s="19">
        <f t="shared" si="27"/>
        <v>66000</v>
      </c>
      <c r="J340" s="19">
        <v>1044</v>
      </c>
      <c r="K340" s="57"/>
    </row>
    <row r="341" spans="1:11" ht="15.75" x14ac:dyDescent="0.25">
      <c r="A341" s="74">
        <v>46038</v>
      </c>
      <c r="B341" s="17">
        <v>0</v>
      </c>
      <c r="C341" s="17">
        <v>70017</v>
      </c>
      <c r="D341" s="17">
        <v>0</v>
      </c>
      <c r="E341" s="46">
        <f t="shared" si="26"/>
        <v>70017</v>
      </c>
      <c r="F341" s="95">
        <v>67392</v>
      </c>
      <c r="G341" s="91">
        <v>0</v>
      </c>
      <c r="H341" s="19">
        <v>66000</v>
      </c>
      <c r="I341" s="19">
        <f t="shared" si="27"/>
        <v>66000</v>
      </c>
      <c r="J341" s="19">
        <v>1014</v>
      </c>
      <c r="K341" s="57"/>
    </row>
    <row r="342" spans="1:11" ht="15.75" x14ac:dyDescent="0.25">
      <c r="A342" s="74">
        <v>46039</v>
      </c>
      <c r="B342" s="17">
        <v>0</v>
      </c>
      <c r="C342" s="17">
        <v>69991</v>
      </c>
      <c r="D342" s="17">
        <v>0</v>
      </c>
      <c r="E342" s="46">
        <f t="shared" si="26"/>
        <v>69991</v>
      </c>
      <c r="F342" s="95">
        <v>67356</v>
      </c>
      <c r="G342" s="91">
        <v>0</v>
      </c>
      <c r="H342" s="19">
        <v>69000</v>
      </c>
      <c r="I342" s="19">
        <f t="shared" si="27"/>
        <v>69000</v>
      </c>
      <c r="J342" s="19">
        <v>1008</v>
      </c>
      <c r="K342" s="57"/>
    </row>
    <row r="343" spans="1:11" ht="15.75" x14ac:dyDescent="0.25">
      <c r="A343" s="74">
        <v>46040</v>
      </c>
      <c r="B343" s="17">
        <v>0</v>
      </c>
      <c r="C343" s="17">
        <v>70092</v>
      </c>
      <c r="D343" s="17">
        <v>0</v>
      </c>
      <c r="E343" s="46">
        <f t="shared" si="26"/>
        <v>70092</v>
      </c>
      <c r="F343" s="95">
        <v>67356</v>
      </c>
      <c r="G343" s="91">
        <v>0</v>
      </c>
      <c r="H343" s="19">
        <v>66000</v>
      </c>
      <c r="I343" s="19">
        <f t="shared" si="27"/>
        <v>66000</v>
      </c>
      <c r="J343" s="19">
        <v>1037</v>
      </c>
      <c r="K343" s="57"/>
    </row>
    <row r="344" spans="1:11" ht="15.75" x14ac:dyDescent="0.25">
      <c r="A344" s="74">
        <v>46041</v>
      </c>
      <c r="B344" s="17">
        <v>0</v>
      </c>
      <c r="C344" s="17">
        <v>65870</v>
      </c>
      <c r="D344" s="17">
        <v>0</v>
      </c>
      <c r="E344" s="46">
        <f t="shared" si="26"/>
        <v>65870</v>
      </c>
      <c r="F344" s="95">
        <v>63216</v>
      </c>
      <c r="G344" s="91">
        <v>0</v>
      </c>
      <c r="H344" s="19">
        <v>63000</v>
      </c>
      <c r="I344" s="19">
        <f t="shared" si="27"/>
        <v>63000</v>
      </c>
      <c r="J344" s="19">
        <v>1153</v>
      </c>
      <c r="K344" s="57"/>
    </row>
    <row r="345" spans="1:11" ht="15.75" x14ac:dyDescent="0.25">
      <c r="A345" s="74">
        <v>46042</v>
      </c>
      <c r="B345" s="17">
        <v>0</v>
      </c>
      <c r="C345" s="17">
        <v>69773</v>
      </c>
      <c r="D345" s="17">
        <v>0</v>
      </c>
      <c r="E345" s="46">
        <f t="shared" si="26"/>
        <v>69773</v>
      </c>
      <c r="F345" s="95">
        <v>66924</v>
      </c>
      <c r="G345" s="91">
        <v>0</v>
      </c>
      <c r="H345" s="19">
        <v>69000</v>
      </c>
      <c r="I345" s="19">
        <f t="shared" si="27"/>
        <v>69000</v>
      </c>
      <c r="J345" s="19">
        <v>1212</v>
      </c>
      <c r="K345" s="57"/>
    </row>
    <row r="346" spans="1:11" ht="15.75" x14ac:dyDescent="0.25">
      <c r="A346" s="74">
        <v>46043</v>
      </c>
      <c r="B346" s="17">
        <v>0</v>
      </c>
      <c r="C346" s="17">
        <v>63335</v>
      </c>
      <c r="D346" s="17">
        <v>0</v>
      </c>
      <c r="E346" s="46">
        <f t="shared" si="26"/>
        <v>63335</v>
      </c>
      <c r="F346" s="95">
        <v>60588</v>
      </c>
      <c r="G346" s="91">
        <v>0</v>
      </c>
      <c r="H346" s="19">
        <v>60000</v>
      </c>
      <c r="I346" s="19">
        <f t="shared" si="27"/>
        <v>60000</v>
      </c>
      <c r="J346" s="96">
        <v>1218</v>
      </c>
      <c r="K346" s="57"/>
    </row>
    <row r="347" spans="1:11" ht="15.75" x14ac:dyDescent="0.25">
      <c r="A347" s="74">
        <v>46044</v>
      </c>
      <c r="B347" s="17">
        <v>0</v>
      </c>
      <c r="C347" s="17">
        <v>67315</v>
      </c>
      <c r="D347" s="17">
        <v>0</v>
      </c>
      <c r="E347" s="46">
        <f t="shared" si="26"/>
        <v>67315</v>
      </c>
      <c r="F347" s="95">
        <v>64620</v>
      </c>
      <c r="G347" s="91">
        <v>0</v>
      </c>
      <c r="H347" s="19">
        <v>63000</v>
      </c>
      <c r="I347" s="19">
        <f t="shared" si="27"/>
        <v>63000</v>
      </c>
      <c r="J347" s="19">
        <v>1209</v>
      </c>
      <c r="K347" s="57"/>
    </row>
    <row r="348" spans="1:11" ht="15.75" x14ac:dyDescent="0.25">
      <c r="A348" s="74">
        <v>46045</v>
      </c>
      <c r="B348" s="17">
        <v>0</v>
      </c>
      <c r="C348" s="17">
        <v>68476</v>
      </c>
      <c r="D348" s="17">
        <v>0</v>
      </c>
      <c r="E348" s="46">
        <f t="shared" si="26"/>
        <v>68476</v>
      </c>
      <c r="F348" s="95">
        <v>65664</v>
      </c>
      <c r="G348" s="91">
        <v>0</v>
      </c>
      <c r="H348" s="19">
        <v>66000</v>
      </c>
      <c r="I348" s="19">
        <f t="shared" si="27"/>
        <v>66000</v>
      </c>
      <c r="J348" s="19">
        <v>1316</v>
      </c>
      <c r="K348" s="57"/>
    </row>
    <row r="349" spans="1:11" ht="15.75" x14ac:dyDescent="0.25">
      <c r="A349" s="74">
        <v>46046</v>
      </c>
      <c r="B349" s="17">
        <v>0</v>
      </c>
      <c r="C349" s="17">
        <v>27194</v>
      </c>
      <c r="D349" s="17">
        <v>0</v>
      </c>
      <c r="E349" s="46">
        <f t="shared" si="26"/>
        <v>27194</v>
      </c>
      <c r="F349" s="95">
        <v>26244</v>
      </c>
      <c r="G349" s="91">
        <v>0</v>
      </c>
      <c r="H349" s="19">
        <v>27000</v>
      </c>
      <c r="I349" s="19">
        <f t="shared" si="27"/>
        <v>27000</v>
      </c>
      <c r="J349" s="19">
        <v>823</v>
      </c>
      <c r="K349" s="57"/>
    </row>
    <row r="350" spans="1:11" ht="15.75" x14ac:dyDescent="0.25">
      <c r="A350" s="74">
        <v>46047</v>
      </c>
      <c r="B350" s="17">
        <v>0</v>
      </c>
      <c r="C350" s="17">
        <v>0</v>
      </c>
      <c r="D350" s="17">
        <v>0</v>
      </c>
      <c r="E350" s="46">
        <f t="shared" si="26"/>
        <v>0</v>
      </c>
      <c r="F350" s="56">
        <v>0</v>
      </c>
      <c r="G350" s="91">
        <v>3000</v>
      </c>
      <c r="H350" s="19">
        <v>0</v>
      </c>
      <c r="I350" s="19">
        <f t="shared" si="27"/>
        <v>-3000</v>
      </c>
      <c r="J350" s="19">
        <v>484</v>
      </c>
      <c r="K350" s="57"/>
    </row>
    <row r="351" spans="1:11" ht="15.75" x14ac:dyDescent="0.25">
      <c r="A351" s="74">
        <v>46048</v>
      </c>
      <c r="B351" s="17">
        <v>0</v>
      </c>
      <c r="C351" s="17">
        <v>0</v>
      </c>
      <c r="D351" s="17">
        <v>0</v>
      </c>
      <c r="E351" s="46">
        <f t="shared" si="26"/>
        <v>0</v>
      </c>
      <c r="F351" s="56">
        <v>0</v>
      </c>
      <c r="G351" s="91">
        <v>0</v>
      </c>
      <c r="H351" s="19">
        <v>0</v>
      </c>
      <c r="I351" s="19">
        <f t="shared" si="27"/>
        <v>0</v>
      </c>
      <c r="J351" s="19">
        <v>434</v>
      </c>
      <c r="K351" s="57"/>
    </row>
    <row r="352" spans="1:11" ht="15.75" x14ac:dyDescent="0.25">
      <c r="A352" s="74">
        <v>46049</v>
      </c>
      <c r="B352" s="17">
        <v>0</v>
      </c>
      <c r="C352" s="17">
        <v>0</v>
      </c>
      <c r="D352" s="17">
        <v>0</v>
      </c>
      <c r="E352" s="46">
        <f t="shared" si="26"/>
        <v>0</v>
      </c>
      <c r="F352" s="56">
        <v>0</v>
      </c>
      <c r="G352" s="91">
        <v>0</v>
      </c>
      <c r="H352" s="91">
        <v>0</v>
      </c>
      <c r="I352" s="19">
        <f t="shared" si="27"/>
        <v>0</v>
      </c>
      <c r="J352" s="19">
        <v>500</v>
      </c>
      <c r="K352" s="57"/>
    </row>
    <row r="353" spans="1:11" ht="15.75" x14ac:dyDescent="0.25">
      <c r="A353" s="74">
        <v>46050</v>
      </c>
      <c r="B353" s="17">
        <v>0</v>
      </c>
      <c r="C353" s="17">
        <v>0</v>
      </c>
      <c r="D353" s="17">
        <v>0</v>
      </c>
      <c r="E353" s="46">
        <f t="shared" si="26"/>
        <v>0</v>
      </c>
      <c r="F353" s="56">
        <v>0</v>
      </c>
      <c r="G353" s="91">
        <v>3000</v>
      </c>
      <c r="H353" s="91">
        <v>0</v>
      </c>
      <c r="I353" s="19">
        <f t="shared" si="27"/>
        <v>-3000</v>
      </c>
      <c r="J353" s="19">
        <v>508</v>
      </c>
      <c r="K353" s="57"/>
    </row>
    <row r="354" spans="1:11" ht="15.75" x14ac:dyDescent="0.25">
      <c r="A354" s="74">
        <v>46051</v>
      </c>
      <c r="B354" s="17">
        <v>0</v>
      </c>
      <c r="C354" s="17">
        <v>0</v>
      </c>
      <c r="D354" s="17">
        <v>0</v>
      </c>
      <c r="E354" s="46">
        <f t="shared" si="26"/>
        <v>0</v>
      </c>
      <c r="F354" s="56">
        <v>0</v>
      </c>
      <c r="G354" s="91">
        <v>0</v>
      </c>
      <c r="H354" s="91">
        <v>0</v>
      </c>
      <c r="I354" s="19">
        <f t="shared" si="27"/>
        <v>0</v>
      </c>
      <c r="J354" s="19">
        <v>461</v>
      </c>
      <c r="K354" s="57"/>
    </row>
    <row r="355" spans="1:11" ht="15.75" x14ac:dyDescent="0.25">
      <c r="A355" s="74">
        <v>46052</v>
      </c>
      <c r="B355" s="17">
        <v>0</v>
      </c>
      <c r="C355" s="17">
        <v>0</v>
      </c>
      <c r="D355" s="17">
        <v>0</v>
      </c>
      <c r="E355" s="46">
        <f t="shared" si="26"/>
        <v>0</v>
      </c>
      <c r="F355" s="56">
        <v>0</v>
      </c>
      <c r="G355" s="91">
        <v>0</v>
      </c>
      <c r="H355" s="91">
        <v>0</v>
      </c>
      <c r="I355" s="19">
        <f t="shared" si="27"/>
        <v>0</v>
      </c>
      <c r="J355" s="19">
        <v>443</v>
      </c>
      <c r="K355" s="57"/>
    </row>
    <row r="356" spans="1:11" ht="16.5" thickBot="1" x14ac:dyDescent="0.3">
      <c r="A356" s="74">
        <v>46053</v>
      </c>
      <c r="B356" s="17">
        <v>0</v>
      </c>
      <c r="C356" s="17">
        <v>0</v>
      </c>
      <c r="D356" s="17">
        <v>0</v>
      </c>
      <c r="E356" s="46">
        <f t="shared" si="26"/>
        <v>0</v>
      </c>
      <c r="F356" s="97">
        <v>0</v>
      </c>
      <c r="G356" s="92">
        <v>0</v>
      </c>
      <c r="H356" s="92">
        <v>0</v>
      </c>
      <c r="I356" s="19">
        <f>SUM(H356-G356)</f>
        <v>0</v>
      </c>
      <c r="J356" s="19">
        <v>545</v>
      </c>
      <c r="K356" s="60"/>
    </row>
    <row r="357" spans="1:11" ht="19.5" thickBot="1" x14ac:dyDescent="0.3">
      <c r="A357" s="98" t="s">
        <v>13</v>
      </c>
      <c r="B357" s="93">
        <f>SUM(B326:B356)</f>
        <v>0</v>
      </c>
      <c r="C357" s="93">
        <f t="shared" ref="C357:J357" si="28">SUM(C326:C356)</f>
        <v>1618967</v>
      </c>
      <c r="D357" s="93">
        <f t="shared" si="28"/>
        <v>0</v>
      </c>
      <c r="E357" s="93">
        <f t="shared" si="28"/>
        <v>1618967</v>
      </c>
      <c r="F357" s="93">
        <f t="shared" si="28"/>
        <v>1558224</v>
      </c>
      <c r="G357" s="93">
        <f t="shared" si="28"/>
        <v>6000</v>
      </c>
      <c r="H357" s="99">
        <f t="shared" si="28"/>
        <v>1557000</v>
      </c>
      <c r="I357" s="99">
        <f t="shared" si="28"/>
        <v>1551000</v>
      </c>
      <c r="J357" s="93">
        <f t="shared" si="28"/>
        <v>29187</v>
      </c>
      <c r="K357" s="64"/>
    </row>
    <row r="358" spans="1:11" ht="16.5" thickBot="1" x14ac:dyDescent="0.3">
      <c r="A358" s="83"/>
      <c r="B358" s="84"/>
      <c r="C358" s="84"/>
      <c r="D358" s="84"/>
      <c r="E358" s="85"/>
      <c r="F358" s="86"/>
      <c r="G358" s="86"/>
      <c r="H358" s="87"/>
      <c r="I358" s="88"/>
      <c r="J358" s="89"/>
      <c r="K358" s="90"/>
    </row>
    <row r="359" spans="1:11" ht="21.75" thickBot="1" x14ac:dyDescent="0.3">
      <c r="A359" s="3" t="s">
        <v>24</v>
      </c>
      <c r="B359" s="4"/>
      <c r="C359" s="4"/>
      <c r="D359" s="4"/>
      <c r="E359" s="4"/>
      <c r="F359" s="4"/>
      <c r="G359" s="4"/>
      <c r="H359" s="4"/>
      <c r="I359" s="4"/>
      <c r="J359" s="4"/>
      <c r="K359" s="5"/>
    </row>
    <row r="360" spans="1:11" x14ac:dyDescent="0.25">
      <c r="A360" s="6" t="s">
        <v>2</v>
      </c>
      <c r="B360" s="7" t="s">
        <v>3</v>
      </c>
      <c r="C360" s="7" t="s">
        <v>4</v>
      </c>
      <c r="D360" s="7" t="s">
        <v>5</v>
      </c>
      <c r="E360" s="8" t="s">
        <v>6</v>
      </c>
      <c r="F360" s="8" t="s">
        <v>7</v>
      </c>
      <c r="G360" s="8" t="s">
        <v>8</v>
      </c>
      <c r="H360" s="8" t="s">
        <v>9</v>
      </c>
      <c r="I360" s="8" t="s">
        <v>10</v>
      </c>
      <c r="J360" s="7" t="s">
        <v>11</v>
      </c>
      <c r="K360" s="9" t="s">
        <v>12</v>
      </c>
    </row>
    <row r="361" spans="1:11" ht="15.75" thickBot="1" x14ac:dyDescent="0.3">
      <c r="A361" s="10"/>
      <c r="B361" s="11"/>
      <c r="C361" s="11"/>
      <c r="D361" s="11"/>
      <c r="E361" s="12"/>
      <c r="F361" s="12"/>
      <c r="G361" s="13"/>
      <c r="H361" s="13"/>
      <c r="I361" s="13"/>
      <c r="J361" s="14"/>
      <c r="K361" s="44"/>
    </row>
    <row r="362" spans="1:11" ht="15.75" x14ac:dyDescent="0.25">
      <c r="A362" s="74">
        <v>46054</v>
      </c>
      <c r="B362" s="17">
        <v>0</v>
      </c>
      <c r="C362" s="17">
        <v>0</v>
      </c>
      <c r="D362" s="17">
        <v>0</v>
      </c>
      <c r="E362" s="46">
        <f>B362+C362+D362</f>
        <v>0</v>
      </c>
      <c r="F362" s="100">
        <v>0</v>
      </c>
      <c r="G362" s="19">
        <v>3000</v>
      </c>
      <c r="H362" s="19">
        <v>0</v>
      </c>
      <c r="I362" s="19">
        <f t="shared" ref="I362:I374" si="29">SUM(H362-G362)</f>
        <v>-3000</v>
      </c>
      <c r="J362" s="19">
        <v>426</v>
      </c>
      <c r="K362" s="75"/>
    </row>
    <row r="363" spans="1:11" ht="15.75" x14ac:dyDescent="0.25">
      <c r="A363" s="74">
        <v>46055</v>
      </c>
      <c r="B363" s="17">
        <v>0</v>
      </c>
      <c r="C363" s="17">
        <v>0</v>
      </c>
      <c r="D363" s="17">
        <v>0</v>
      </c>
      <c r="E363" s="46">
        <f t="shared" ref="E363:E389" si="30">B363+C363+D363</f>
        <v>0</v>
      </c>
      <c r="F363" s="100">
        <v>0</v>
      </c>
      <c r="G363" s="19">
        <f t="shared" ref="G363:I387" si="31">SUM(F363-E363)</f>
        <v>0</v>
      </c>
      <c r="H363" s="19">
        <v>0</v>
      </c>
      <c r="I363" s="19">
        <f t="shared" si="29"/>
        <v>0</v>
      </c>
      <c r="J363" s="19">
        <v>479</v>
      </c>
      <c r="K363" s="57"/>
    </row>
    <row r="364" spans="1:11" ht="15.75" x14ac:dyDescent="0.25">
      <c r="A364" s="74">
        <v>46056</v>
      </c>
      <c r="B364" s="17">
        <v>0</v>
      </c>
      <c r="C364" s="17">
        <v>0</v>
      </c>
      <c r="D364" s="17">
        <v>0</v>
      </c>
      <c r="E364" s="46">
        <f t="shared" si="30"/>
        <v>0</v>
      </c>
      <c r="F364" s="100">
        <v>0</v>
      </c>
      <c r="G364" s="46">
        <f>SUM(F364-E364)</f>
        <v>0</v>
      </c>
      <c r="H364" s="19">
        <v>0</v>
      </c>
      <c r="I364" s="19">
        <f t="shared" si="29"/>
        <v>0</v>
      </c>
      <c r="J364" s="19">
        <v>538</v>
      </c>
      <c r="K364" s="57"/>
    </row>
    <row r="365" spans="1:11" ht="15.75" x14ac:dyDescent="0.25">
      <c r="A365" s="74">
        <v>46057</v>
      </c>
      <c r="B365" s="17">
        <v>0</v>
      </c>
      <c r="C365" s="17">
        <v>0</v>
      </c>
      <c r="D365" s="17">
        <v>0</v>
      </c>
      <c r="E365" s="46">
        <f t="shared" si="30"/>
        <v>0</v>
      </c>
      <c r="F365" s="100">
        <v>0</v>
      </c>
      <c r="G365" s="19">
        <v>3000</v>
      </c>
      <c r="H365" s="19">
        <v>0</v>
      </c>
      <c r="I365" s="19">
        <f t="shared" si="29"/>
        <v>-3000</v>
      </c>
      <c r="J365" s="19">
        <v>466</v>
      </c>
      <c r="K365" s="57"/>
    </row>
    <row r="366" spans="1:11" ht="15.75" x14ac:dyDescent="0.25">
      <c r="A366" s="74">
        <v>46058</v>
      </c>
      <c r="B366" s="17">
        <v>0</v>
      </c>
      <c r="C366" s="17">
        <v>0</v>
      </c>
      <c r="D366" s="17">
        <v>0</v>
      </c>
      <c r="E366" s="46">
        <f t="shared" si="30"/>
        <v>0</v>
      </c>
      <c r="F366" s="100">
        <v>0</v>
      </c>
      <c r="G366" s="19">
        <v>0</v>
      </c>
      <c r="H366" s="19">
        <v>0</v>
      </c>
      <c r="I366" s="19">
        <f>SUM(H366-G366)</f>
        <v>0</v>
      </c>
      <c r="J366" s="19">
        <v>260</v>
      </c>
      <c r="K366" s="57"/>
    </row>
    <row r="367" spans="1:11" ht="15.75" x14ac:dyDescent="0.25">
      <c r="A367" s="74">
        <v>46059</v>
      </c>
      <c r="B367" s="17">
        <v>41432</v>
      </c>
      <c r="C367" s="17">
        <v>0</v>
      </c>
      <c r="D367" s="17">
        <v>0</v>
      </c>
      <c r="E367" s="46">
        <f t="shared" si="30"/>
        <v>41432</v>
      </c>
      <c r="F367" s="100">
        <v>40032</v>
      </c>
      <c r="G367" s="19">
        <v>0</v>
      </c>
      <c r="H367" s="19">
        <v>39000</v>
      </c>
      <c r="I367" s="19">
        <f>SUM(H367-G367)</f>
        <v>39000</v>
      </c>
      <c r="J367" s="19">
        <v>1002</v>
      </c>
      <c r="K367" s="57"/>
    </row>
    <row r="368" spans="1:11" ht="15.75" x14ac:dyDescent="0.25">
      <c r="A368" s="74">
        <v>46060</v>
      </c>
      <c r="B368" s="17">
        <v>64400</v>
      </c>
      <c r="C368" s="17">
        <v>12864</v>
      </c>
      <c r="D368" s="17">
        <v>0</v>
      </c>
      <c r="E368" s="46">
        <f t="shared" si="30"/>
        <v>77264</v>
      </c>
      <c r="F368" s="100">
        <v>74952</v>
      </c>
      <c r="G368" s="19">
        <v>0</v>
      </c>
      <c r="H368" s="19">
        <v>75000</v>
      </c>
      <c r="I368" s="19">
        <f>SUM(H368-G368)</f>
        <v>75000</v>
      </c>
      <c r="J368" s="19">
        <v>1510</v>
      </c>
      <c r="K368" s="57"/>
    </row>
    <row r="369" spans="1:11" ht="15.75" x14ac:dyDescent="0.25">
      <c r="A369" s="74">
        <v>46061</v>
      </c>
      <c r="B369" s="17">
        <v>0</v>
      </c>
      <c r="C369" s="17">
        <v>82344</v>
      </c>
      <c r="D369" s="17">
        <v>0</v>
      </c>
      <c r="E369" s="46">
        <f t="shared" si="30"/>
        <v>82344</v>
      </c>
      <c r="F369" s="100">
        <v>79956</v>
      </c>
      <c r="G369" s="19">
        <v>0</v>
      </c>
      <c r="H369" s="19">
        <v>78000</v>
      </c>
      <c r="I369" s="19">
        <f>SUM(H369-G369)</f>
        <v>78000</v>
      </c>
      <c r="J369" s="19">
        <v>1315</v>
      </c>
      <c r="K369" s="57"/>
    </row>
    <row r="370" spans="1:11" ht="15.75" x14ac:dyDescent="0.25">
      <c r="A370" s="74">
        <v>46062</v>
      </c>
      <c r="B370" s="17">
        <v>16976</v>
      </c>
      <c r="C370" s="17">
        <v>64512</v>
      </c>
      <c r="D370" s="17">
        <v>0</v>
      </c>
      <c r="E370" s="46">
        <f t="shared" si="30"/>
        <v>81488</v>
      </c>
      <c r="F370" s="100">
        <v>78948</v>
      </c>
      <c r="G370" s="19">
        <v>0</v>
      </c>
      <c r="H370" s="19">
        <v>81000</v>
      </c>
      <c r="I370" s="19">
        <f t="shared" si="29"/>
        <v>81000</v>
      </c>
      <c r="J370" s="19">
        <v>1281</v>
      </c>
      <c r="K370" s="57"/>
    </row>
    <row r="371" spans="1:11" ht="15.75" x14ac:dyDescent="0.25">
      <c r="A371" s="74">
        <v>46063</v>
      </c>
      <c r="B371" s="17">
        <v>68736</v>
      </c>
      <c r="C371" s="17">
        <v>0</v>
      </c>
      <c r="D371" s="17">
        <v>0</v>
      </c>
      <c r="E371" s="46">
        <f t="shared" si="30"/>
        <v>68736</v>
      </c>
      <c r="F371" s="100">
        <v>66276</v>
      </c>
      <c r="G371" s="19">
        <v>0</v>
      </c>
      <c r="H371" s="19">
        <v>66000</v>
      </c>
      <c r="I371" s="19">
        <f t="shared" si="29"/>
        <v>66000</v>
      </c>
      <c r="J371" s="19">
        <v>1231</v>
      </c>
      <c r="K371" s="57"/>
    </row>
    <row r="372" spans="1:11" ht="15.75" x14ac:dyDescent="0.25">
      <c r="A372" s="74">
        <v>46064</v>
      </c>
      <c r="B372" s="17">
        <v>72096</v>
      </c>
      <c r="C372" s="17">
        <v>0</v>
      </c>
      <c r="D372" s="17">
        <v>0</v>
      </c>
      <c r="E372" s="46">
        <f t="shared" si="30"/>
        <v>72096</v>
      </c>
      <c r="F372" s="100">
        <v>69732</v>
      </c>
      <c r="G372" s="19">
        <v>0</v>
      </c>
      <c r="H372" s="19">
        <v>69000</v>
      </c>
      <c r="I372" s="19">
        <f t="shared" si="29"/>
        <v>69000</v>
      </c>
      <c r="J372" s="19">
        <v>1169</v>
      </c>
      <c r="K372" s="57"/>
    </row>
    <row r="373" spans="1:11" ht="15.75" x14ac:dyDescent="0.25">
      <c r="A373" s="74">
        <v>46065</v>
      </c>
      <c r="B373" s="17">
        <v>74752</v>
      </c>
      <c r="C373" s="17">
        <v>0</v>
      </c>
      <c r="D373" s="17">
        <v>0</v>
      </c>
      <c r="E373" s="46">
        <f t="shared" si="30"/>
        <v>74752</v>
      </c>
      <c r="F373" s="100">
        <v>72360</v>
      </c>
      <c r="G373" s="19">
        <v>0</v>
      </c>
      <c r="H373" s="19">
        <v>72000</v>
      </c>
      <c r="I373" s="19">
        <f t="shared" si="29"/>
        <v>72000</v>
      </c>
      <c r="J373" s="19">
        <v>1220</v>
      </c>
      <c r="K373" s="57"/>
    </row>
    <row r="374" spans="1:11" ht="15.75" x14ac:dyDescent="0.25">
      <c r="A374" s="74">
        <v>46066</v>
      </c>
      <c r="B374" s="17">
        <v>75472</v>
      </c>
      <c r="C374" s="17">
        <v>0</v>
      </c>
      <c r="D374" s="17">
        <v>0</v>
      </c>
      <c r="E374" s="46">
        <f t="shared" si="30"/>
        <v>75472</v>
      </c>
      <c r="F374" s="100">
        <v>73224</v>
      </c>
      <c r="G374" s="19">
        <v>0</v>
      </c>
      <c r="H374" s="19">
        <v>72000</v>
      </c>
      <c r="I374" s="19">
        <f t="shared" si="29"/>
        <v>72000</v>
      </c>
      <c r="J374" s="19">
        <v>1198</v>
      </c>
      <c r="K374" s="57"/>
    </row>
    <row r="375" spans="1:11" ht="15.75" x14ac:dyDescent="0.25">
      <c r="A375" s="74">
        <v>46067</v>
      </c>
      <c r="B375" s="17">
        <v>72352</v>
      </c>
      <c r="C375" s="17">
        <v>0</v>
      </c>
      <c r="D375" s="17">
        <v>0</v>
      </c>
      <c r="E375" s="46">
        <f t="shared" si="30"/>
        <v>72352</v>
      </c>
      <c r="F375" s="100">
        <v>70236</v>
      </c>
      <c r="G375" s="19">
        <v>0</v>
      </c>
      <c r="H375" s="19">
        <v>69000</v>
      </c>
      <c r="I375" s="19">
        <f t="shared" si="31"/>
        <v>69000</v>
      </c>
      <c r="J375" s="19">
        <v>1203</v>
      </c>
      <c r="K375" s="57"/>
    </row>
    <row r="376" spans="1:11" ht="15.75" x14ac:dyDescent="0.25">
      <c r="A376" s="74">
        <v>46068</v>
      </c>
      <c r="B376" s="17">
        <v>57400</v>
      </c>
      <c r="C376" s="17">
        <v>0</v>
      </c>
      <c r="D376" s="17">
        <v>20472</v>
      </c>
      <c r="E376" s="46">
        <f t="shared" si="30"/>
        <v>77872</v>
      </c>
      <c r="F376" s="100">
        <v>75744</v>
      </c>
      <c r="G376" s="19">
        <v>0</v>
      </c>
      <c r="H376" s="19">
        <v>75000</v>
      </c>
      <c r="I376" s="19">
        <f t="shared" si="31"/>
        <v>75000</v>
      </c>
      <c r="J376" s="19">
        <v>1264</v>
      </c>
      <c r="K376" s="57"/>
    </row>
    <row r="377" spans="1:11" ht="15.75" x14ac:dyDescent="0.25">
      <c r="A377" s="74">
        <v>46069</v>
      </c>
      <c r="B377" s="17">
        <v>0</v>
      </c>
      <c r="C377" s="17">
        <v>0</v>
      </c>
      <c r="D377" s="17">
        <v>85896</v>
      </c>
      <c r="E377" s="46">
        <f t="shared" si="30"/>
        <v>85896</v>
      </c>
      <c r="F377" s="100">
        <v>84096</v>
      </c>
      <c r="G377" s="19">
        <v>0</v>
      </c>
      <c r="H377" s="19">
        <v>84000</v>
      </c>
      <c r="I377" s="19">
        <f t="shared" si="31"/>
        <v>84000</v>
      </c>
      <c r="J377" s="19">
        <v>1228</v>
      </c>
      <c r="K377" s="57"/>
    </row>
    <row r="378" spans="1:11" ht="15.75" x14ac:dyDescent="0.25">
      <c r="A378" s="74">
        <v>46070</v>
      </c>
      <c r="B378" s="17">
        <v>0</v>
      </c>
      <c r="C378" s="17">
        <v>0</v>
      </c>
      <c r="D378" s="17">
        <v>86224</v>
      </c>
      <c r="E378" s="46">
        <f t="shared" si="30"/>
        <v>86224</v>
      </c>
      <c r="F378" s="100">
        <v>84348</v>
      </c>
      <c r="G378" s="19">
        <v>0</v>
      </c>
      <c r="H378" s="19">
        <v>84000</v>
      </c>
      <c r="I378" s="19">
        <f t="shared" si="31"/>
        <v>84000</v>
      </c>
      <c r="J378" s="19">
        <v>1235</v>
      </c>
      <c r="K378" s="57"/>
    </row>
    <row r="379" spans="1:11" ht="15.75" x14ac:dyDescent="0.25">
      <c r="A379" s="74">
        <v>46071</v>
      </c>
      <c r="B379" s="17">
        <v>0</v>
      </c>
      <c r="C379" s="17">
        <v>0</v>
      </c>
      <c r="D379" s="17">
        <v>83400</v>
      </c>
      <c r="E379" s="46">
        <f t="shared" si="30"/>
        <v>83400</v>
      </c>
      <c r="F379" s="100">
        <v>81684</v>
      </c>
      <c r="G379" s="19">
        <v>0</v>
      </c>
      <c r="H379" s="19">
        <v>81000</v>
      </c>
      <c r="I379" s="19">
        <f t="shared" si="31"/>
        <v>81000</v>
      </c>
      <c r="J379" s="19">
        <v>1276</v>
      </c>
      <c r="K379" s="57"/>
    </row>
    <row r="380" spans="1:11" ht="15.75" x14ac:dyDescent="0.25">
      <c r="A380" s="74">
        <v>46072</v>
      </c>
      <c r="B380" s="17">
        <v>0</v>
      </c>
      <c r="C380" s="17">
        <v>0</v>
      </c>
      <c r="D380" s="17">
        <v>80368</v>
      </c>
      <c r="E380" s="46">
        <f t="shared" si="30"/>
        <v>80368</v>
      </c>
      <c r="F380" s="100">
        <v>79092</v>
      </c>
      <c r="G380" s="19">
        <v>0</v>
      </c>
      <c r="H380" s="19">
        <v>78000</v>
      </c>
      <c r="I380" s="19">
        <f t="shared" si="31"/>
        <v>78000</v>
      </c>
      <c r="J380" s="19">
        <v>1250</v>
      </c>
      <c r="K380" s="57"/>
    </row>
    <row r="381" spans="1:11" ht="15.75" x14ac:dyDescent="0.25">
      <c r="A381" s="74">
        <v>46073</v>
      </c>
      <c r="B381" s="17">
        <v>0</v>
      </c>
      <c r="C381" s="17">
        <v>0</v>
      </c>
      <c r="D381" s="17">
        <v>83920</v>
      </c>
      <c r="E381" s="46">
        <f t="shared" si="30"/>
        <v>83920</v>
      </c>
      <c r="F381" s="100">
        <v>82728</v>
      </c>
      <c r="G381" s="19">
        <v>0</v>
      </c>
      <c r="H381" s="19">
        <v>84000</v>
      </c>
      <c r="I381" s="19">
        <f t="shared" si="31"/>
        <v>84000</v>
      </c>
      <c r="J381" s="19">
        <v>1214</v>
      </c>
      <c r="K381" s="57"/>
    </row>
    <row r="382" spans="1:11" ht="15.75" x14ac:dyDescent="0.25">
      <c r="A382" s="74">
        <v>46074</v>
      </c>
      <c r="B382" s="17">
        <v>0</v>
      </c>
      <c r="C382" s="17">
        <v>0</v>
      </c>
      <c r="D382" s="17">
        <v>87696</v>
      </c>
      <c r="E382" s="46">
        <f t="shared" si="30"/>
        <v>87696</v>
      </c>
      <c r="F382" s="100">
        <v>86364</v>
      </c>
      <c r="G382" s="19">
        <v>0</v>
      </c>
      <c r="H382" s="19">
        <v>84000</v>
      </c>
      <c r="I382" s="19">
        <f t="shared" si="31"/>
        <v>84000</v>
      </c>
      <c r="J382" s="19">
        <v>1227</v>
      </c>
      <c r="K382" s="57"/>
    </row>
    <row r="383" spans="1:11" ht="15.75" x14ac:dyDescent="0.25">
      <c r="A383" s="74">
        <v>46075</v>
      </c>
      <c r="B383" s="17">
        <v>0</v>
      </c>
      <c r="C383" s="17">
        <v>0</v>
      </c>
      <c r="D383" s="17">
        <v>87320</v>
      </c>
      <c r="E383" s="46">
        <f t="shared" si="30"/>
        <v>87320</v>
      </c>
      <c r="F383" s="100">
        <v>86112</v>
      </c>
      <c r="G383" s="19">
        <v>0</v>
      </c>
      <c r="H383" s="19">
        <v>87000</v>
      </c>
      <c r="I383" s="19">
        <f t="shared" si="31"/>
        <v>87000</v>
      </c>
      <c r="J383" s="19">
        <v>1253</v>
      </c>
      <c r="K383" s="57"/>
    </row>
    <row r="384" spans="1:11" ht="15.75" x14ac:dyDescent="0.25">
      <c r="A384" s="74">
        <v>46076</v>
      </c>
      <c r="B384" s="17">
        <v>0</v>
      </c>
      <c r="C384" s="17">
        <v>0</v>
      </c>
      <c r="D384" s="17">
        <v>83816</v>
      </c>
      <c r="E384" s="46">
        <f t="shared" si="30"/>
        <v>83816</v>
      </c>
      <c r="F384" s="100">
        <v>82332</v>
      </c>
      <c r="G384" s="19">
        <v>0</v>
      </c>
      <c r="H384" s="19">
        <v>81000</v>
      </c>
      <c r="I384" s="19">
        <f t="shared" si="31"/>
        <v>81000</v>
      </c>
      <c r="J384" s="19">
        <v>1254</v>
      </c>
      <c r="K384" s="57"/>
    </row>
    <row r="385" spans="1:11" ht="15.75" x14ac:dyDescent="0.25">
      <c r="A385" s="74">
        <v>46077</v>
      </c>
      <c r="B385" s="17">
        <v>0</v>
      </c>
      <c r="C385" s="17">
        <v>0</v>
      </c>
      <c r="D385" s="17">
        <v>82112</v>
      </c>
      <c r="E385" s="46">
        <f t="shared" si="30"/>
        <v>82112</v>
      </c>
      <c r="F385" s="100">
        <v>80208</v>
      </c>
      <c r="G385" s="19">
        <v>0</v>
      </c>
      <c r="H385" s="19">
        <v>81000</v>
      </c>
      <c r="I385" s="19">
        <f t="shared" si="31"/>
        <v>81000</v>
      </c>
      <c r="J385" s="19">
        <v>1243</v>
      </c>
      <c r="K385" s="57"/>
    </row>
    <row r="386" spans="1:11" ht="15.75" x14ac:dyDescent="0.25">
      <c r="A386" s="74">
        <v>46078</v>
      </c>
      <c r="B386" s="17">
        <v>0</v>
      </c>
      <c r="C386" s="17">
        <v>0</v>
      </c>
      <c r="D386" s="17">
        <v>79096</v>
      </c>
      <c r="E386" s="46">
        <f t="shared" si="30"/>
        <v>79096</v>
      </c>
      <c r="F386" s="100">
        <v>77328</v>
      </c>
      <c r="G386" s="19">
        <v>0</v>
      </c>
      <c r="H386" s="19">
        <v>75000</v>
      </c>
      <c r="I386" s="19">
        <f t="shared" si="31"/>
        <v>75000</v>
      </c>
      <c r="J386" s="19">
        <v>1233</v>
      </c>
      <c r="K386" s="57"/>
    </row>
    <row r="387" spans="1:11" ht="15.75" x14ac:dyDescent="0.25">
      <c r="A387" s="74">
        <v>46079</v>
      </c>
      <c r="B387" s="17">
        <v>0</v>
      </c>
      <c r="C387" s="17">
        <v>0</v>
      </c>
      <c r="D387" s="17">
        <v>80832</v>
      </c>
      <c r="E387" s="46">
        <f t="shared" si="30"/>
        <v>80832</v>
      </c>
      <c r="F387" s="100">
        <v>79164</v>
      </c>
      <c r="G387" s="19">
        <v>0</v>
      </c>
      <c r="H387" s="19">
        <v>81000</v>
      </c>
      <c r="I387" s="19">
        <f t="shared" si="31"/>
        <v>81000</v>
      </c>
      <c r="J387" s="19">
        <v>1229</v>
      </c>
      <c r="K387" s="57"/>
    </row>
    <row r="388" spans="1:11" ht="15.75" x14ac:dyDescent="0.25">
      <c r="A388" s="74">
        <v>46080</v>
      </c>
      <c r="B388" s="17">
        <v>0</v>
      </c>
      <c r="C388" s="17">
        <v>0</v>
      </c>
      <c r="D388" s="17">
        <v>82832</v>
      </c>
      <c r="E388" s="46">
        <f t="shared" si="30"/>
        <v>82832</v>
      </c>
      <c r="F388" s="100">
        <v>81036</v>
      </c>
      <c r="G388" s="19">
        <v>0</v>
      </c>
      <c r="H388" s="19">
        <v>81000</v>
      </c>
      <c r="I388" s="19">
        <f>SUM(H388-G388)</f>
        <v>81000</v>
      </c>
      <c r="J388" s="19">
        <v>1237</v>
      </c>
      <c r="K388" s="57"/>
    </row>
    <row r="389" spans="1:11" ht="16.5" thickBot="1" x14ac:dyDescent="0.3">
      <c r="A389" s="74">
        <v>46081</v>
      </c>
      <c r="B389" s="17">
        <v>0</v>
      </c>
      <c r="C389" s="17">
        <v>0</v>
      </c>
      <c r="D389" s="17">
        <v>79784</v>
      </c>
      <c r="E389" s="46">
        <f t="shared" si="30"/>
        <v>79784</v>
      </c>
      <c r="F389" s="100">
        <v>78012</v>
      </c>
      <c r="G389" s="19">
        <v>0</v>
      </c>
      <c r="H389" s="19">
        <v>75000</v>
      </c>
      <c r="I389" s="19">
        <f>SUM(H389-G389)</f>
        <v>75000</v>
      </c>
      <c r="J389" s="19">
        <v>1243</v>
      </c>
      <c r="K389" s="60"/>
    </row>
    <row r="390" spans="1:11" ht="16.5" thickBot="1" x14ac:dyDescent="0.3">
      <c r="A390" s="68" t="s">
        <v>13</v>
      </c>
      <c r="B390" s="93">
        <f>SUM(B362:B389)</f>
        <v>543616</v>
      </c>
      <c r="C390" s="93">
        <f t="shared" ref="C390:J390" si="32">SUM(C362:C389)</f>
        <v>159720</v>
      </c>
      <c r="D390" s="93">
        <f t="shared" si="32"/>
        <v>1103768</v>
      </c>
      <c r="E390" s="93">
        <f t="shared" si="32"/>
        <v>1807104</v>
      </c>
      <c r="F390" s="93">
        <f t="shared" si="32"/>
        <v>1763964</v>
      </c>
      <c r="G390" s="93">
        <f t="shared" si="32"/>
        <v>6000</v>
      </c>
      <c r="H390" s="99">
        <f t="shared" si="32"/>
        <v>1752000</v>
      </c>
      <c r="I390" s="99">
        <f t="shared" si="32"/>
        <v>1746000</v>
      </c>
      <c r="J390" s="93">
        <f t="shared" si="32"/>
        <v>30684</v>
      </c>
      <c r="K390" s="64"/>
    </row>
    <row r="391" spans="1:11" ht="16.5" thickBot="1" x14ac:dyDescent="0.3">
      <c r="A391" s="83"/>
      <c r="B391" s="84"/>
      <c r="C391" s="84"/>
      <c r="D391" s="84"/>
      <c r="E391" s="85"/>
      <c r="F391" s="86"/>
      <c r="G391" s="86"/>
      <c r="H391" s="87"/>
      <c r="I391" s="88"/>
      <c r="J391" s="89"/>
      <c r="K391" s="90"/>
    </row>
    <row r="392" spans="1:11" ht="21.75" thickBot="1" x14ac:dyDescent="0.3">
      <c r="A392" s="3" t="s">
        <v>25</v>
      </c>
      <c r="B392" s="4"/>
      <c r="C392" s="4"/>
      <c r="D392" s="4"/>
      <c r="E392" s="4"/>
      <c r="F392" s="4"/>
      <c r="G392" s="4"/>
      <c r="H392" s="4"/>
      <c r="I392" s="4"/>
      <c r="J392" s="4"/>
      <c r="K392" s="5"/>
    </row>
    <row r="393" spans="1:11" x14ac:dyDescent="0.25">
      <c r="A393" s="6" t="s">
        <v>2</v>
      </c>
      <c r="B393" s="7" t="s">
        <v>3</v>
      </c>
      <c r="C393" s="7" t="s">
        <v>4</v>
      </c>
      <c r="D393" s="7" t="s">
        <v>5</v>
      </c>
      <c r="E393" s="8" t="s">
        <v>6</v>
      </c>
      <c r="F393" s="8" t="s">
        <v>7</v>
      </c>
      <c r="G393" s="8" t="s">
        <v>8</v>
      </c>
      <c r="H393" s="8" t="s">
        <v>9</v>
      </c>
      <c r="I393" s="8" t="s">
        <v>10</v>
      </c>
      <c r="J393" s="7" t="s">
        <v>11</v>
      </c>
      <c r="K393" s="9" t="s">
        <v>12</v>
      </c>
    </row>
    <row r="394" spans="1:11" ht="15.75" thickBot="1" x14ac:dyDescent="0.3">
      <c r="A394" s="10"/>
      <c r="B394" s="11"/>
      <c r="C394" s="11"/>
      <c r="D394" s="11"/>
      <c r="E394" s="12"/>
      <c r="F394" s="12"/>
      <c r="G394" s="13"/>
      <c r="H394" s="13"/>
      <c r="I394" s="13"/>
      <c r="J394" s="14"/>
      <c r="K394" s="44"/>
    </row>
    <row r="395" spans="1:11" ht="15.75" x14ac:dyDescent="0.25">
      <c r="A395" s="74">
        <v>46082</v>
      </c>
      <c r="B395" s="17">
        <v>0</v>
      </c>
      <c r="C395" s="17">
        <v>0</v>
      </c>
      <c r="D395" s="17">
        <v>78080</v>
      </c>
      <c r="E395" s="46">
        <f t="shared" ref="E395:E425" si="33">B395+C395+D395</f>
        <v>78080</v>
      </c>
      <c r="F395" s="100">
        <v>76392</v>
      </c>
      <c r="G395" s="19">
        <v>0</v>
      </c>
      <c r="H395" s="19">
        <v>78000</v>
      </c>
      <c r="I395" s="19">
        <f>SUM(H395-G395)</f>
        <v>78000</v>
      </c>
      <c r="J395" s="19">
        <v>1231</v>
      </c>
      <c r="K395" s="75"/>
    </row>
    <row r="396" spans="1:11" ht="15.75" x14ac:dyDescent="0.25">
      <c r="A396" s="74">
        <v>46083</v>
      </c>
      <c r="B396" s="17">
        <v>0</v>
      </c>
      <c r="C396" s="17">
        <v>0</v>
      </c>
      <c r="D396" s="17">
        <v>79696</v>
      </c>
      <c r="E396" s="46">
        <f t="shared" si="33"/>
        <v>79696</v>
      </c>
      <c r="F396" s="100">
        <v>77904</v>
      </c>
      <c r="G396" s="19">
        <v>0</v>
      </c>
      <c r="H396" s="19">
        <v>78000</v>
      </c>
      <c r="I396" s="19">
        <f t="shared" ref="I396:I425" si="34">SUM(H396-G396)</f>
        <v>78000</v>
      </c>
      <c r="J396" s="19">
        <v>1233</v>
      </c>
      <c r="K396" s="57"/>
    </row>
    <row r="397" spans="1:11" ht="15.75" x14ac:dyDescent="0.25">
      <c r="A397" s="74">
        <v>46084</v>
      </c>
      <c r="B397" s="17">
        <v>0</v>
      </c>
      <c r="C397" s="17">
        <v>0</v>
      </c>
      <c r="D397" s="17">
        <v>85552</v>
      </c>
      <c r="E397" s="46">
        <f t="shared" si="33"/>
        <v>85552</v>
      </c>
      <c r="F397" s="100">
        <v>83916</v>
      </c>
      <c r="G397" s="19">
        <v>0</v>
      </c>
      <c r="H397" s="19">
        <v>81000</v>
      </c>
      <c r="I397" s="19">
        <f t="shared" si="34"/>
        <v>81000</v>
      </c>
      <c r="J397" s="19">
        <v>1237</v>
      </c>
      <c r="K397" s="57"/>
    </row>
    <row r="398" spans="1:11" ht="15.75" x14ac:dyDescent="0.25">
      <c r="A398" s="74">
        <v>46085</v>
      </c>
      <c r="B398" s="17">
        <v>0</v>
      </c>
      <c r="C398" s="17">
        <v>0</v>
      </c>
      <c r="D398" s="17">
        <v>90568</v>
      </c>
      <c r="E398" s="46">
        <f t="shared" si="33"/>
        <v>90568</v>
      </c>
      <c r="F398" s="100">
        <v>88992</v>
      </c>
      <c r="G398" s="19">
        <v>0</v>
      </c>
      <c r="H398" s="19">
        <v>90000</v>
      </c>
      <c r="I398" s="19">
        <f t="shared" si="34"/>
        <v>90000</v>
      </c>
      <c r="J398" s="19">
        <v>1234</v>
      </c>
      <c r="K398" s="57"/>
    </row>
    <row r="399" spans="1:11" ht="15.75" x14ac:dyDescent="0.25">
      <c r="A399" s="74">
        <v>46086</v>
      </c>
      <c r="B399" s="17">
        <v>0</v>
      </c>
      <c r="C399" s="17">
        <v>0</v>
      </c>
      <c r="D399" s="17">
        <v>104864</v>
      </c>
      <c r="E399" s="46">
        <f t="shared" si="33"/>
        <v>104864</v>
      </c>
      <c r="F399" s="100">
        <v>103608</v>
      </c>
      <c r="G399" s="19">
        <v>0</v>
      </c>
      <c r="H399" s="19">
        <v>102000</v>
      </c>
      <c r="I399" s="19">
        <f t="shared" si="34"/>
        <v>102000</v>
      </c>
      <c r="J399" s="19">
        <v>1205</v>
      </c>
      <c r="K399" s="57"/>
    </row>
    <row r="400" spans="1:11" ht="15.75" x14ac:dyDescent="0.25">
      <c r="A400" s="74">
        <v>46087</v>
      </c>
      <c r="B400" s="17">
        <v>0</v>
      </c>
      <c r="C400" s="17">
        <v>0</v>
      </c>
      <c r="D400" s="17">
        <v>120064</v>
      </c>
      <c r="E400" s="46">
        <f t="shared" si="33"/>
        <v>120064</v>
      </c>
      <c r="F400" s="100">
        <v>118728</v>
      </c>
      <c r="G400" s="19">
        <v>0</v>
      </c>
      <c r="H400" s="19">
        <v>120000</v>
      </c>
      <c r="I400" s="19">
        <f t="shared" si="34"/>
        <v>120000</v>
      </c>
      <c r="J400" s="19">
        <v>1217</v>
      </c>
      <c r="K400" s="60"/>
    </row>
    <row r="401" spans="1:11" ht="15.75" x14ac:dyDescent="0.25">
      <c r="A401" s="74">
        <v>46088</v>
      </c>
      <c r="B401" s="17">
        <v>0</v>
      </c>
      <c r="C401" s="17">
        <v>0</v>
      </c>
      <c r="D401" s="17">
        <v>119296</v>
      </c>
      <c r="E401" s="46">
        <f t="shared" si="33"/>
        <v>119296</v>
      </c>
      <c r="F401" s="100">
        <v>117864</v>
      </c>
      <c r="G401" s="19">
        <v>0</v>
      </c>
      <c r="H401" s="19">
        <v>114000</v>
      </c>
      <c r="I401" s="19">
        <f t="shared" si="34"/>
        <v>114000</v>
      </c>
      <c r="J401" s="19">
        <v>1192</v>
      </c>
      <c r="K401" s="57"/>
    </row>
    <row r="402" spans="1:11" ht="15.75" customHeight="1" x14ac:dyDescent="0.25">
      <c r="A402" s="74">
        <v>46089</v>
      </c>
      <c r="B402" s="17">
        <v>0</v>
      </c>
      <c r="C402" s="17">
        <v>0</v>
      </c>
      <c r="D402" s="17">
        <v>115992</v>
      </c>
      <c r="E402" s="46">
        <f t="shared" si="33"/>
        <v>115992</v>
      </c>
      <c r="F402" s="100">
        <v>114552</v>
      </c>
      <c r="G402" s="19">
        <v>0</v>
      </c>
      <c r="H402" s="19">
        <v>114000</v>
      </c>
      <c r="I402" s="19">
        <f t="shared" si="34"/>
        <v>114000</v>
      </c>
      <c r="J402" s="19">
        <v>1181</v>
      </c>
      <c r="K402" s="101"/>
    </row>
    <row r="403" spans="1:11" ht="15.75" x14ac:dyDescent="0.25">
      <c r="A403" s="74">
        <v>46090</v>
      </c>
      <c r="B403" s="17">
        <v>0</v>
      </c>
      <c r="C403" s="17">
        <v>0</v>
      </c>
      <c r="D403" s="17">
        <v>100040</v>
      </c>
      <c r="E403" s="46">
        <f t="shared" si="33"/>
        <v>100040</v>
      </c>
      <c r="F403" s="100">
        <v>98316</v>
      </c>
      <c r="G403" s="19">
        <v>0</v>
      </c>
      <c r="H403" s="19">
        <v>99000</v>
      </c>
      <c r="I403" s="19">
        <f t="shared" si="34"/>
        <v>99000</v>
      </c>
      <c r="J403" s="19">
        <v>1195</v>
      </c>
      <c r="K403" s="102"/>
    </row>
    <row r="404" spans="1:11" ht="15.75" x14ac:dyDescent="0.25">
      <c r="A404" s="74">
        <v>46091</v>
      </c>
      <c r="B404" s="17">
        <v>0</v>
      </c>
      <c r="C404" s="17">
        <v>0</v>
      </c>
      <c r="D404" s="17">
        <v>111328</v>
      </c>
      <c r="E404" s="46">
        <f t="shared" si="33"/>
        <v>111328</v>
      </c>
      <c r="F404" s="100">
        <v>109080</v>
      </c>
      <c r="G404" s="19">
        <v>0</v>
      </c>
      <c r="H404" s="19">
        <v>108000</v>
      </c>
      <c r="I404" s="19">
        <f t="shared" si="34"/>
        <v>108000</v>
      </c>
      <c r="J404" s="19">
        <v>1190</v>
      </c>
      <c r="K404" s="75"/>
    </row>
    <row r="405" spans="1:11" ht="15.75" x14ac:dyDescent="0.25">
      <c r="A405" s="74">
        <v>46092</v>
      </c>
      <c r="B405" s="17">
        <v>0</v>
      </c>
      <c r="C405" s="17">
        <v>0</v>
      </c>
      <c r="D405" s="17">
        <v>96016</v>
      </c>
      <c r="E405" s="46">
        <f t="shared" si="33"/>
        <v>96016</v>
      </c>
      <c r="F405" s="100">
        <v>93924</v>
      </c>
      <c r="G405" s="19">
        <v>0</v>
      </c>
      <c r="H405" s="19">
        <v>96000</v>
      </c>
      <c r="I405" s="19">
        <f t="shared" si="34"/>
        <v>96000</v>
      </c>
      <c r="J405" s="19">
        <v>1182</v>
      </c>
      <c r="K405" s="57"/>
    </row>
    <row r="406" spans="1:11" ht="15.75" x14ac:dyDescent="0.25">
      <c r="A406" s="74">
        <v>46093</v>
      </c>
      <c r="B406" s="17">
        <v>0</v>
      </c>
      <c r="C406" s="17">
        <v>0</v>
      </c>
      <c r="D406" s="17">
        <v>94904</v>
      </c>
      <c r="E406" s="46">
        <f t="shared" si="33"/>
        <v>94904</v>
      </c>
      <c r="F406" s="100">
        <v>92808</v>
      </c>
      <c r="G406" s="19">
        <v>0</v>
      </c>
      <c r="H406" s="19">
        <v>93000</v>
      </c>
      <c r="I406" s="19">
        <f t="shared" si="34"/>
        <v>93000</v>
      </c>
      <c r="J406" s="19">
        <v>1210</v>
      </c>
      <c r="K406" s="57"/>
    </row>
    <row r="407" spans="1:11" ht="15.75" x14ac:dyDescent="0.25">
      <c r="A407" s="74">
        <v>46094</v>
      </c>
      <c r="B407" s="17">
        <v>0</v>
      </c>
      <c r="C407" s="17">
        <v>0</v>
      </c>
      <c r="D407" s="17">
        <v>85368</v>
      </c>
      <c r="E407" s="46">
        <f t="shared" si="33"/>
        <v>85368</v>
      </c>
      <c r="F407" s="100">
        <v>83520</v>
      </c>
      <c r="G407" s="19">
        <v>0</v>
      </c>
      <c r="H407" s="19">
        <v>81000</v>
      </c>
      <c r="I407" s="19">
        <f t="shared" si="34"/>
        <v>81000</v>
      </c>
      <c r="J407" s="19">
        <v>1211</v>
      </c>
      <c r="K407" s="57"/>
    </row>
    <row r="408" spans="1:11" ht="15.75" x14ac:dyDescent="0.25">
      <c r="A408" s="74">
        <v>46095</v>
      </c>
      <c r="B408" s="17">
        <v>0</v>
      </c>
      <c r="C408" s="17">
        <v>0</v>
      </c>
      <c r="D408" s="17">
        <v>80040</v>
      </c>
      <c r="E408" s="46">
        <f t="shared" si="33"/>
        <v>80040</v>
      </c>
      <c r="F408" s="100">
        <v>78300</v>
      </c>
      <c r="G408" s="19">
        <v>0</v>
      </c>
      <c r="H408" s="19">
        <v>78000</v>
      </c>
      <c r="I408" s="19">
        <f t="shared" si="34"/>
        <v>78000</v>
      </c>
      <c r="J408" s="19">
        <v>1197</v>
      </c>
      <c r="K408" s="57"/>
    </row>
    <row r="409" spans="1:11" ht="15.75" x14ac:dyDescent="0.25">
      <c r="A409" s="74">
        <v>46096</v>
      </c>
      <c r="B409" s="17">
        <v>0</v>
      </c>
      <c r="C409" s="17">
        <v>0</v>
      </c>
      <c r="D409" s="17">
        <v>86824</v>
      </c>
      <c r="E409" s="46">
        <f t="shared" si="33"/>
        <v>86824</v>
      </c>
      <c r="F409" s="100">
        <v>85140</v>
      </c>
      <c r="G409" s="19">
        <v>0</v>
      </c>
      <c r="H409" s="19">
        <v>87000</v>
      </c>
      <c r="I409" s="19">
        <f t="shared" si="34"/>
        <v>87000</v>
      </c>
      <c r="J409" s="19">
        <v>1228</v>
      </c>
      <c r="K409" s="57"/>
    </row>
    <row r="410" spans="1:11" ht="15.75" x14ac:dyDescent="0.25">
      <c r="A410" s="74">
        <v>46097</v>
      </c>
      <c r="B410" s="17">
        <v>0</v>
      </c>
      <c r="C410" s="17">
        <v>0</v>
      </c>
      <c r="D410" s="17">
        <v>95280</v>
      </c>
      <c r="E410" s="46">
        <f t="shared" si="33"/>
        <v>95280</v>
      </c>
      <c r="F410" s="100">
        <v>93528</v>
      </c>
      <c r="G410" s="19">
        <v>0</v>
      </c>
      <c r="H410" s="19">
        <v>90000</v>
      </c>
      <c r="I410" s="19">
        <f t="shared" si="34"/>
        <v>90000</v>
      </c>
      <c r="J410" s="19">
        <v>1276</v>
      </c>
      <c r="K410" s="57"/>
    </row>
    <row r="411" spans="1:11" ht="15.75" x14ac:dyDescent="0.25">
      <c r="A411" s="74">
        <v>46098</v>
      </c>
      <c r="B411" s="17">
        <v>0</v>
      </c>
      <c r="C411" s="17">
        <v>0</v>
      </c>
      <c r="D411" s="17">
        <v>90600</v>
      </c>
      <c r="E411" s="46">
        <f>B411+C411+D411</f>
        <v>90600</v>
      </c>
      <c r="F411" s="100">
        <v>88884</v>
      </c>
      <c r="G411" s="19">
        <v>0</v>
      </c>
      <c r="H411" s="19">
        <v>90000</v>
      </c>
      <c r="I411" s="19">
        <f t="shared" si="34"/>
        <v>90000</v>
      </c>
      <c r="J411" s="19">
        <v>1278</v>
      </c>
      <c r="K411" s="57"/>
    </row>
    <row r="412" spans="1:11" ht="15.75" x14ac:dyDescent="0.25">
      <c r="A412" s="74">
        <v>46099</v>
      </c>
      <c r="B412" s="17">
        <v>0</v>
      </c>
      <c r="C412" s="17">
        <v>0</v>
      </c>
      <c r="D412" s="17">
        <v>88768</v>
      </c>
      <c r="E412" s="46">
        <f t="shared" si="33"/>
        <v>88768</v>
      </c>
      <c r="F412" s="100">
        <v>87048</v>
      </c>
      <c r="G412" s="19">
        <v>0</v>
      </c>
      <c r="H412" s="19">
        <v>87000</v>
      </c>
      <c r="I412" s="19">
        <f t="shared" si="34"/>
        <v>87000</v>
      </c>
      <c r="J412" s="19">
        <v>1270</v>
      </c>
      <c r="K412" s="57"/>
    </row>
    <row r="413" spans="1:11" ht="15.75" x14ac:dyDescent="0.25">
      <c r="A413" s="74">
        <v>46100</v>
      </c>
      <c r="B413" s="17">
        <v>0</v>
      </c>
      <c r="C413" s="17">
        <v>0</v>
      </c>
      <c r="D413" s="17">
        <v>117776</v>
      </c>
      <c r="E413" s="46">
        <f t="shared" si="33"/>
        <v>117776</v>
      </c>
      <c r="F413" s="100">
        <v>116028</v>
      </c>
      <c r="G413" s="19">
        <v>0</v>
      </c>
      <c r="H413" s="19">
        <v>114000</v>
      </c>
      <c r="I413" s="19">
        <f t="shared" si="34"/>
        <v>114000</v>
      </c>
      <c r="J413" s="19">
        <v>1309</v>
      </c>
      <c r="K413" s="57"/>
    </row>
    <row r="414" spans="1:11" ht="15.75" x14ac:dyDescent="0.25">
      <c r="A414" s="74">
        <v>46101</v>
      </c>
      <c r="B414" s="17">
        <v>0</v>
      </c>
      <c r="C414" s="17">
        <v>0</v>
      </c>
      <c r="D414" s="17">
        <v>164160</v>
      </c>
      <c r="E414" s="46">
        <f t="shared" si="33"/>
        <v>164160</v>
      </c>
      <c r="F414" s="100">
        <v>162396</v>
      </c>
      <c r="G414" s="19">
        <v>0</v>
      </c>
      <c r="H414" s="19">
        <v>162000</v>
      </c>
      <c r="I414" s="19">
        <f t="shared" si="34"/>
        <v>162000</v>
      </c>
      <c r="J414" s="19">
        <v>1347</v>
      </c>
      <c r="K414" s="57"/>
    </row>
    <row r="415" spans="1:11" ht="15.75" x14ac:dyDescent="0.25">
      <c r="A415" s="74">
        <v>46102</v>
      </c>
      <c r="B415" s="17">
        <v>0</v>
      </c>
      <c r="C415" s="17">
        <v>0</v>
      </c>
      <c r="D415" s="17">
        <v>141168</v>
      </c>
      <c r="E415" s="46">
        <f t="shared" si="33"/>
        <v>141168</v>
      </c>
      <c r="F415" s="100">
        <v>139464</v>
      </c>
      <c r="G415" s="19">
        <v>0</v>
      </c>
      <c r="H415" s="19">
        <v>138000</v>
      </c>
      <c r="I415" s="19">
        <f t="shared" si="34"/>
        <v>138000</v>
      </c>
      <c r="J415" s="19">
        <v>1301</v>
      </c>
      <c r="K415" s="57"/>
    </row>
    <row r="416" spans="1:11" ht="15.75" x14ac:dyDescent="0.25">
      <c r="A416" s="74">
        <v>46103</v>
      </c>
      <c r="B416" s="17">
        <v>0</v>
      </c>
      <c r="C416" s="17">
        <v>0</v>
      </c>
      <c r="D416" s="17">
        <v>134600</v>
      </c>
      <c r="E416" s="46">
        <f t="shared" si="33"/>
        <v>134600</v>
      </c>
      <c r="F416" s="100">
        <v>133092</v>
      </c>
      <c r="G416" s="19">
        <v>0</v>
      </c>
      <c r="H416" s="19">
        <v>132000</v>
      </c>
      <c r="I416" s="19">
        <f t="shared" si="34"/>
        <v>132000</v>
      </c>
      <c r="J416" s="19">
        <v>1346</v>
      </c>
      <c r="K416" s="57"/>
    </row>
    <row r="417" spans="1:11" ht="15.75" x14ac:dyDescent="0.25">
      <c r="A417" s="74">
        <v>46104</v>
      </c>
      <c r="B417" s="17">
        <v>0</v>
      </c>
      <c r="C417" s="17">
        <v>72680</v>
      </c>
      <c r="D417" s="17">
        <v>61416</v>
      </c>
      <c r="E417" s="46">
        <f t="shared" si="33"/>
        <v>134096</v>
      </c>
      <c r="F417" s="100">
        <v>131976</v>
      </c>
      <c r="G417" s="19">
        <v>0</v>
      </c>
      <c r="H417" s="19">
        <v>132000</v>
      </c>
      <c r="I417" s="19">
        <f t="shared" si="34"/>
        <v>132000</v>
      </c>
      <c r="J417" s="19">
        <v>1333</v>
      </c>
      <c r="K417" s="57"/>
    </row>
    <row r="418" spans="1:11" ht="15.75" x14ac:dyDescent="0.25">
      <c r="A418" s="74">
        <v>46105</v>
      </c>
      <c r="B418" s="17">
        <v>0</v>
      </c>
      <c r="C418" s="17">
        <v>126328</v>
      </c>
      <c r="D418" s="17">
        <v>0</v>
      </c>
      <c r="E418" s="46">
        <f t="shared" si="33"/>
        <v>126328</v>
      </c>
      <c r="F418" s="100">
        <v>123300</v>
      </c>
      <c r="G418" s="19">
        <v>0</v>
      </c>
      <c r="H418" s="19">
        <v>123000</v>
      </c>
      <c r="I418" s="19">
        <f t="shared" si="34"/>
        <v>123000</v>
      </c>
      <c r="J418" s="19">
        <v>1336</v>
      </c>
      <c r="K418" s="57"/>
    </row>
    <row r="419" spans="1:11" ht="15.75" x14ac:dyDescent="0.25">
      <c r="A419" s="74">
        <v>46106</v>
      </c>
      <c r="B419" s="17">
        <v>0</v>
      </c>
      <c r="C419" s="17">
        <v>128016</v>
      </c>
      <c r="D419" s="17">
        <v>0</v>
      </c>
      <c r="E419" s="46">
        <f t="shared" si="33"/>
        <v>128016</v>
      </c>
      <c r="F419" s="100">
        <v>125100</v>
      </c>
      <c r="G419" s="19">
        <v>0</v>
      </c>
      <c r="H419" s="19">
        <v>123000</v>
      </c>
      <c r="I419" s="19">
        <f t="shared" si="34"/>
        <v>123000</v>
      </c>
      <c r="J419" s="19">
        <v>1375</v>
      </c>
      <c r="K419" s="57"/>
    </row>
    <row r="420" spans="1:11" ht="15.75" x14ac:dyDescent="0.25">
      <c r="A420" s="74">
        <v>46107</v>
      </c>
      <c r="B420" s="17">
        <v>0</v>
      </c>
      <c r="C420" s="17">
        <v>136968</v>
      </c>
      <c r="D420" s="17">
        <v>0</v>
      </c>
      <c r="E420" s="46">
        <f t="shared" si="33"/>
        <v>136968</v>
      </c>
      <c r="F420" s="100">
        <v>133992</v>
      </c>
      <c r="G420" s="19">
        <v>0</v>
      </c>
      <c r="H420" s="19">
        <v>135000</v>
      </c>
      <c r="I420" s="19">
        <f t="shared" si="34"/>
        <v>135000</v>
      </c>
      <c r="J420" s="19">
        <v>1309</v>
      </c>
      <c r="K420" s="57"/>
    </row>
    <row r="421" spans="1:11" ht="15.75" x14ac:dyDescent="0.25">
      <c r="A421" s="74">
        <v>46108</v>
      </c>
      <c r="B421" s="17">
        <v>0</v>
      </c>
      <c r="C421" s="17">
        <v>127312</v>
      </c>
      <c r="D421" s="17">
        <v>0</v>
      </c>
      <c r="E421" s="46">
        <f t="shared" si="33"/>
        <v>127312</v>
      </c>
      <c r="F421" s="100">
        <v>124344</v>
      </c>
      <c r="G421" s="19">
        <v>0</v>
      </c>
      <c r="H421" s="19">
        <v>123000</v>
      </c>
      <c r="I421" s="19">
        <f t="shared" si="34"/>
        <v>123000</v>
      </c>
      <c r="J421" s="19">
        <v>1312</v>
      </c>
      <c r="K421" s="57"/>
    </row>
    <row r="422" spans="1:11" ht="15.75" x14ac:dyDescent="0.25">
      <c r="A422" s="74">
        <v>46109</v>
      </c>
      <c r="B422" s="17">
        <v>0</v>
      </c>
      <c r="C422" s="17">
        <v>135080</v>
      </c>
      <c r="D422" s="17">
        <v>0</v>
      </c>
      <c r="E422" s="46">
        <f t="shared" si="33"/>
        <v>135080</v>
      </c>
      <c r="F422" s="100">
        <v>132156</v>
      </c>
      <c r="G422" s="19">
        <v>0</v>
      </c>
      <c r="H422" s="19">
        <v>132000</v>
      </c>
      <c r="I422" s="19">
        <f t="shared" si="34"/>
        <v>132000</v>
      </c>
      <c r="J422" s="19">
        <v>1301</v>
      </c>
      <c r="K422" s="57"/>
    </row>
    <row r="423" spans="1:11" ht="15.75" x14ac:dyDescent="0.25">
      <c r="A423" s="74">
        <v>46110</v>
      </c>
      <c r="B423" s="17">
        <v>0</v>
      </c>
      <c r="C423" s="17">
        <v>166800</v>
      </c>
      <c r="D423" s="17">
        <v>0</v>
      </c>
      <c r="E423" s="46">
        <f t="shared" si="33"/>
        <v>166800</v>
      </c>
      <c r="F423" s="100">
        <v>163404</v>
      </c>
      <c r="G423" s="19">
        <v>0</v>
      </c>
      <c r="H423" s="19">
        <v>162000</v>
      </c>
      <c r="I423" s="19">
        <f t="shared" si="34"/>
        <v>162000</v>
      </c>
      <c r="J423" s="19">
        <v>1333</v>
      </c>
      <c r="K423" s="57"/>
    </row>
    <row r="424" spans="1:11" ht="15.75" x14ac:dyDescent="0.25">
      <c r="A424" s="74">
        <v>46111</v>
      </c>
      <c r="B424" s="17">
        <v>0</v>
      </c>
      <c r="C424" s="17">
        <v>48824</v>
      </c>
      <c r="D424" s="17">
        <v>122584</v>
      </c>
      <c r="E424" s="46">
        <f t="shared" si="33"/>
        <v>171408</v>
      </c>
      <c r="F424" s="100">
        <v>168696</v>
      </c>
      <c r="G424" s="19">
        <v>0</v>
      </c>
      <c r="H424" s="19">
        <v>165000</v>
      </c>
      <c r="I424" s="19">
        <f t="shared" si="34"/>
        <v>165000</v>
      </c>
      <c r="J424" s="19">
        <v>1269</v>
      </c>
      <c r="K424" s="57"/>
    </row>
    <row r="425" spans="1:11" ht="16.5" thickBot="1" x14ac:dyDescent="0.3">
      <c r="A425" s="74">
        <v>46112</v>
      </c>
      <c r="B425" s="17">
        <v>0</v>
      </c>
      <c r="C425" s="17">
        <v>0</v>
      </c>
      <c r="D425" s="17">
        <v>175072</v>
      </c>
      <c r="E425" s="46">
        <f t="shared" si="33"/>
        <v>175072</v>
      </c>
      <c r="F425" s="100">
        <v>172908</v>
      </c>
      <c r="G425" s="19">
        <v>0</v>
      </c>
      <c r="H425" s="19">
        <v>174000</v>
      </c>
      <c r="I425" s="19">
        <f t="shared" si="34"/>
        <v>174000</v>
      </c>
      <c r="J425" s="19">
        <v>1258</v>
      </c>
      <c r="K425" s="57"/>
    </row>
    <row r="426" spans="1:11" ht="16.5" thickBot="1" x14ac:dyDescent="0.3">
      <c r="A426" s="68" t="s">
        <v>13</v>
      </c>
      <c r="B426" s="103">
        <f t="shared" ref="B426:J426" si="35">SUM(B395:B425)</f>
        <v>0</v>
      </c>
      <c r="C426" s="103">
        <f t="shared" si="35"/>
        <v>942008</v>
      </c>
      <c r="D426" s="103">
        <f t="shared" si="35"/>
        <v>2640056</v>
      </c>
      <c r="E426" s="79">
        <f t="shared" si="35"/>
        <v>3582064</v>
      </c>
      <c r="F426" s="79">
        <f t="shared" si="35"/>
        <v>3519360</v>
      </c>
      <c r="G426" s="79">
        <f t="shared" si="35"/>
        <v>0</v>
      </c>
      <c r="H426" s="79">
        <f t="shared" si="35"/>
        <v>3501000</v>
      </c>
      <c r="I426" s="79">
        <f t="shared" si="35"/>
        <v>3501000</v>
      </c>
      <c r="J426" s="79">
        <f t="shared" si="35"/>
        <v>39096</v>
      </c>
      <c r="K426" s="64"/>
    </row>
  </sheetData>
  <mergeCells count="146">
    <mergeCell ref="G393:G394"/>
    <mergeCell ref="H393:H394"/>
    <mergeCell ref="I393:I394"/>
    <mergeCell ref="J393:J394"/>
    <mergeCell ref="K393:K394"/>
    <mergeCell ref="K402:K403"/>
    <mergeCell ref="A393:A394"/>
    <mergeCell ref="B393:B394"/>
    <mergeCell ref="C393:C394"/>
    <mergeCell ref="D393:D394"/>
    <mergeCell ref="E393:E394"/>
    <mergeCell ref="F393:F394"/>
    <mergeCell ref="G360:G361"/>
    <mergeCell ref="H360:H361"/>
    <mergeCell ref="I360:I361"/>
    <mergeCell ref="J360:J361"/>
    <mergeCell ref="K360:K361"/>
    <mergeCell ref="A392:K392"/>
    <mergeCell ref="A360:A361"/>
    <mergeCell ref="B360:B361"/>
    <mergeCell ref="C360:C361"/>
    <mergeCell ref="D360:D361"/>
    <mergeCell ref="E360:E361"/>
    <mergeCell ref="F360:F361"/>
    <mergeCell ref="G324:G325"/>
    <mergeCell ref="H324:H325"/>
    <mergeCell ref="I324:I325"/>
    <mergeCell ref="J324:J325"/>
    <mergeCell ref="K324:K325"/>
    <mergeCell ref="A359:K359"/>
    <mergeCell ref="A324:A325"/>
    <mergeCell ref="B324:B325"/>
    <mergeCell ref="C324:C325"/>
    <mergeCell ref="D324:D325"/>
    <mergeCell ref="E324:E325"/>
    <mergeCell ref="F324:F325"/>
    <mergeCell ref="G288:G289"/>
    <mergeCell ref="H288:H289"/>
    <mergeCell ref="I288:I289"/>
    <mergeCell ref="J288:J289"/>
    <mergeCell ref="K288:K289"/>
    <mergeCell ref="A323:K323"/>
    <mergeCell ref="A288:A289"/>
    <mergeCell ref="B288:B289"/>
    <mergeCell ref="C288:C289"/>
    <mergeCell ref="D288:D289"/>
    <mergeCell ref="E288:E289"/>
    <mergeCell ref="F288:F289"/>
    <mergeCell ref="G253:G254"/>
    <mergeCell ref="H253:H254"/>
    <mergeCell ref="I253:I254"/>
    <mergeCell ref="J253:J254"/>
    <mergeCell ref="K253:K254"/>
    <mergeCell ref="A287:K287"/>
    <mergeCell ref="A253:A254"/>
    <mergeCell ref="B253:B254"/>
    <mergeCell ref="C253:C254"/>
    <mergeCell ref="D253:D254"/>
    <mergeCell ref="E253:E254"/>
    <mergeCell ref="F253:F254"/>
    <mergeCell ref="G217:G218"/>
    <mergeCell ref="H217:H218"/>
    <mergeCell ref="I217:I218"/>
    <mergeCell ref="J217:J218"/>
    <mergeCell ref="K217:K218"/>
    <mergeCell ref="A252:K252"/>
    <mergeCell ref="A217:A218"/>
    <mergeCell ref="B217:B218"/>
    <mergeCell ref="C217:C218"/>
    <mergeCell ref="D217:D218"/>
    <mergeCell ref="E217:E218"/>
    <mergeCell ref="F217:F218"/>
    <mergeCell ref="G182:G183"/>
    <mergeCell ref="H182:H183"/>
    <mergeCell ref="I182:I183"/>
    <mergeCell ref="J182:J183"/>
    <mergeCell ref="K182:K183"/>
    <mergeCell ref="A216:K216"/>
    <mergeCell ref="A182:A183"/>
    <mergeCell ref="B182:B183"/>
    <mergeCell ref="C182:C183"/>
    <mergeCell ref="D182:D183"/>
    <mergeCell ref="E182:E183"/>
    <mergeCell ref="F182:F183"/>
    <mergeCell ref="G146:G147"/>
    <mergeCell ref="H146:H147"/>
    <mergeCell ref="I146:I147"/>
    <mergeCell ref="J146:J147"/>
    <mergeCell ref="K146:K147"/>
    <mergeCell ref="A181:K181"/>
    <mergeCell ref="A146:A147"/>
    <mergeCell ref="B146:B147"/>
    <mergeCell ref="C146:C147"/>
    <mergeCell ref="D146:D147"/>
    <mergeCell ref="E146:E147"/>
    <mergeCell ref="F146:F147"/>
    <mergeCell ref="G110:G111"/>
    <mergeCell ref="H110:H111"/>
    <mergeCell ref="I110:I111"/>
    <mergeCell ref="J110:J111"/>
    <mergeCell ref="K110:K111"/>
    <mergeCell ref="A145:K145"/>
    <mergeCell ref="A110:A111"/>
    <mergeCell ref="B110:B111"/>
    <mergeCell ref="C110:C111"/>
    <mergeCell ref="D110:D111"/>
    <mergeCell ref="E110:E111"/>
    <mergeCell ref="F110:F111"/>
    <mergeCell ref="G75:G76"/>
    <mergeCell ref="H75:H76"/>
    <mergeCell ref="I75:I76"/>
    <mergeCell ref="J75:J76"/>
    <mergeCell ref="K75:K76"/>
    <mergeCell ref="A109:K109"/>
    <mergeCell ref="A75:A76"/>
    <mergeCell ref="B75:B76"/>
    <mergeCell ref="C75:C76"/>
    <mergeCell ref="D75:D76"/>
    <mergeCell ref="E75:E76"/>
    <mergeCell ref="F75:F76"/>
    <mergeCell ref="G39:G40"/>
    <mergeCell ref="H39:H40"/>
    <mergeCell ref="I39:I40"/>
    <mergeCell ref="J39:J40"/>
    <mergeCell ref="K39:K40"/>
    <mergeCell ref="A74:K74"/>
    <mergeCell ref="I4:I5"/>
    <mergeCell ref="J4:J5"/>
    <mergeCell ref="K4:K5"/>
    <mergeCell ref="A38:K38"/>
    <mergeCell ref="A39:A40"/>
    <mergeCell ref="B39:B40"/>
    <mergeCell ref="C39:C40"/>
    <mergeCell ref="D39:D40"/>
    <mergeCell ref="E39:E40"/>
    <mergeCell ref="F39:F40"/>
    <mergeCell ref="A1:K2"/>
    <mergeCell ref="A3:K3"/>
    <mergeCell ref="A4:A5"/>
    <mergeCell ref="B4:B5"/>
    <mergeCell ref="C4:C5"/>
    <mergeCell ref="D4:D5"/>
    <mergeCell ref="E4:E5"/>
    <mergeCell ref="F4:F5"/>
    <mergeCell ref="G4:G5"/>
    <mergeCell ref="H4:H5"/>
  </mergeCells>
  <conditionalFormatting sqref="A1:XFD1048576">
    <cfRule type="expression" dxfId="1" priority="1">
      <formula>CELL("Row")=ROW()</formula>
    </cfRule>
  </conditionalFormatting>
  <conditionalFormatting sqref="H383">
    <cfRule type="expression" dxfId="0" priority="2">
      <formula>CELL("Row")=Row=ROW()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to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 Room</dc:creator>
  <cp:lastModifiedBy>Kut Energy</cp:lastModifiedBy>
  <dcterms:created xsi:type="dcterms:W3CDTF">2015-06-05T18:17:20Z</dcterms:created>
  <dcterms:modified xsi:type="dcterms:W3CDTF">2026-08-26T10:14:54Z</dcterms:modified>
</cp:coreProperties>
</file>