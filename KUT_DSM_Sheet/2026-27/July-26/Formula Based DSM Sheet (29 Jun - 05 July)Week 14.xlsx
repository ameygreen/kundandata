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l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O28" i="1" s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O42" i="1" s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N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N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N123" i="1" s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O128" i="1" s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 s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N156" i="1" s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N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O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N206" i="1" s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M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O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O265" i="1" s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M320" i="1" s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O332" i="1" s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O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N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O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O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O480" i="1" s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O507" i="1" s="1"/>
  <c r="F508" i="1"/>
  <c r="G508" i="1" s="1"/>
  <c r="H508" i="1"/>
  <c r="K508" i="1"/>
  <c r="N508" i="1" s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O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O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M602" i="1" s="1"/>
  <c r="L602" i="1"/>
  <c r="F603" i="1"/>
  <c r="O603" i="1" s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G645" i="1"/>
  <c r="H645" i="1"/>
  <c r="K645" i="1"/>
  <c r="L645" i="1"/>
  <c r="O645" i="1" s="1"/>
  <c r="F646" i="1"/>
  <c r="G646" i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O678" i="1" l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P633" i="1" s="1"/>
  <c r="R633" i="1" s="1"/>
  <c r="S633" i="1" s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P538" i="1" s="1"/>
  <c r="R538" i="1" s="1"/>
  <c r="S538" i="1" s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P381" i="1" s="1"/>
  <c r="R381" i="1" s="1"/>
  <c r="S381" i="1" s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P677" i="1" s="1"/>
  <c r="R677" i="1" s="1"/>
  <c r="S677" i="1" s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P372" i="1" s="1"/>
  <c r="R372" i="1" s="1"/>
  <c r="S372" i="1" s="1"/>
  <c r="M361" i="1"/>
  <c r="G358" i="1"/>
  <c r="M356" i="1"/>
  <c r="N355" i="1"/>
  <c r="O351" i="1"/>
  <c r="M349" i="1"/>
  <c r="G347" i="1"/>
  <c r="I341" i="1"/>
  <c r="O339" i="1"/>
  <c r="N333" i="1"/>
  <c r="G333" i="1"/>
  <c r="M331" i="1"/>
  <c r="P331" i="1" s="1"/>
  <c r="R331" i="1" s="1"/>
  <c r="S331" i="1" s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P631" i="1" s="1"/>
  <c r="R631" i="1" s="1"/>
  <c r="S631" i="1" s="1"/>
  <c r="M624" i="1"/>
  <c r="P624" i="1" s="1"/>
  <c r="R624" i="1" s="1"/>
  <c r="S624" i="1" s="1"/>
  <c r="O620" i="1"/>
  <c r="M613" i="1"/>
  <c r="N611" i="1"/>
  <c r="M601" i="1"/>
  <c r="P601" i="1" s="1"/>
  <c r="R601" i="1" s="1"/>
  <c r="S601" i="1" s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P508" i="1" s="1"/>
  <c r="R508" i="1" s="1"/>
  <c r="S508" i="1" s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P502" i="1" s="1"/>
  <c r="R502" i="1" s="1"/>
  <c r="S502" i="1" s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P323" i="1" s="1"/>
  <c r="R323" i="1" s="1"/>
  <c r="S323" i="1" s="1"/>
  <c r="O318" i="1"/>
  <c r="G318" i="1"/>
  <c r="I307" i="1"/>
  <c r="N381" i="1"/>
  <c r="O342" i="1"/>
  <c r="N398" i="1"/>
  <c r="N397" i="1"/>
  <c r="P397" i="1" s="1"/>
  <c r="R397" i="1" s="1"/>
  <c r="S397" i="1" s="1"/>
  <c r="M393" i="1"/>
  <c r="G389" i="1"/>
  <c r="I388" i="1"/>
  <c r="N387" i="1"/>
  <c r="P387" i="1" s="1"/>
  <c r="R387" i="1" s="1"/>
  <c r="S387" i="1" s="1"/>
  <c r="I387" i="1"/>
  <c r="O386" i="1"/>
  <c r="O381" i="1"/>
  <c r="M370" i="1"/>
  <c r="P370" i="1" s="1"/>
  <c r="R370" i="1" s="1"/>
  <c r="S370" i="1" s="1"/>
  <c r="O366" i="1"/>
  <c r="P366" i="1" s="1"/>
  <c r="R366" i="1" s="1"/>
  <c r="S366" i="1" s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P250" i="1" s="1"/>
  <c r="R250" i="1" s="1"/>
  <c r="S250" i="1" s="1"/>
  <c r="O246" i="1"/>
  <c r="I246" i="1"/>
  <c r="O241" i="1"/>
  <c r="O228" i="1"/>
  <c r="M225" i="1"/>
  <c r="I218" i="1"/>
  <c r="N215" i="1"/>
  <c r="M211" i="1"/>
  <c r="P211" i="1" s="1"/>
  <c r="R211" i="1" s="1"/>
  <c r="S211" i="1" s="1"/>
  <c r="O210" i="1"/>
  <c r="G292" i="1"/>
  <c r="O281" i="1"/>
  <c r="M279" i="1"/>
  <c r="G279" i="1"/>
  <c r="G269" i="1"/>
  <c r="M261" i="1"/>
  <c r="P261" i="1" s="1"/>
  <c r="R261" i="1" s="1"/>
  <c r="S261" i="1" s="1"/>
  <c r="O259" i="1"/>
  <c r="P259" i="1" s="1"/>
  <c r="R259" i="1" s="1"/>
  <c r="S259" i="1" s="1"/>
  <c r="M249" i="1"/>
  <c r="P249" i="1" s="1"/>
  <c r="R249" i="1" s="1"/>
  <c r="S249" i="1" s="1"/>
  <c r="O248" i="1"/>
  <c r="G248" i="1"/>
  <c r="M241" i="1"/>
  <c r="O236" i="1"/>
  <c r="O231" i="1"/>
  <c r="O225" i="1"/>
  <c r="O221" i="1"/>
  <c r="M210" i="1"/>
  <c r="M205" i="1"/>
  <c r="N199" i="1"/>
  <c r="I173" i="1"/>
  <c r="O172" i="1"/>
  <c r="P162" i="1"/>
  <c r="R162" i="1" s="1"/>
  <c r="S162" i="1" s="1"/>
  <c r="O152" i="1"/>
  <c r="N151" i="1"/>
  <c r="N138" i="1"/>
  <c r="I134" i="1"/>
  <c r="N124" i="1"/>
  <c r="I124" i="1"/>
  <c r="M119" i="1"/>
  <c r="M209" i="1"/>
  <c r="P209" i="1" s="1"/>
  <c r="R209" i="1" s="1"/>
  <c r="S209" i="1" s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P181" i="1" s="1"/>
  <c r="R181" i="1" s="1"/>
  <c r="S181" i="1" s="1"/>
  <c r="N180" i="1"/>
  <c r="M172" i="1"/>
  <c r="P172" i="1" s="1"/>
  <c r="R172" i="1" s="1"/>
  <c r="S172" i="1" s="1"/>
  <c r="N171" i="1"/>
  <c r="N162" i="1"/>
  <c r="I162" i="1"/>
  <c r="M160" i="1"/>
  <c r="P160" i="1" s="1"/>
  <c r="R160" i="1" s="1"/>
  <c r="S160" i="1" s="1"/>
  <c r="M156" i="1"/>
  <c r="P156" i="1" s="1"/>
  <c r="R156" i="1" s="1"/>
  <c r="S156" i="1" s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P62" i="1" s="1"/>
  <c r="R62" i="1" s="1"/>
  <c r="S62" i="1" s="1"/>
  <c r="M59" i="1"/>
  <c r="M54" i="1"/>
  <c r="P54" i="1" s="1"/>
  <c r="R54" i="1" s="1"/>
  <c r="S54" i="1" s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P57" i="1" s="1"/>
  <c r="R57" i="1" s="1"/>
  <c r="S57" i="1" s="1"/>
  <c r="M48" i="1"/>
  <c r="P48" i="1" s="1"/>
  <c r="R48" i="1" s="1"/>
  <c r="S48" i="1" s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P286" i="1" s="1"/>
  <c r="R286" i="1" s="1"/>
  <c r="S286" i="1" s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P657" i="1" s="1"/>
  <c r="R657" i="1" s="1"/>
  <c r="S657" i="1" s="1"/>
  <c r="I657" i="1"/>
  <c r="N657" i="1"/>
  <c r="M648" i="1"/>
  <c r="P648" i="1" s="1"/>
  <c r="R648" i="1" s="1"/>
  <c r="S648" i="1" s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P543" i="1" s="1"/>
  <c r="R543" i="1" s="1"/>
  <c r="S543" i="1" s="1"/>
  <c r="N543" i="1"/>
  <c r="M503" i="1"/>
  <c r="G482" i="1"/>
  <c r="N482" i="1"/>
  <c r="O482" i="1"/>
  <c r="M468" i="1"/>
  <c r="P468" i="1" s="1"/>
  <c r="R468" i="1" s="1"/>
  <c r="S468" i="1" s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P646" i="1" s="1"/>
  <c r="R646" i="1" s="1"/>
  <c r="S646" i="1" s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P603" i="1" s="1"/>
  <c r="R603" i="1" s="1"/>
  <c r="S603" i="1" s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P442" i="1" s="1"/>
  <c r="R442" i="1" s="1"/>
  <c r="S442" i="1" s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P604" i="1" s="1"/>
  <c r="R604" i="1" s="1"/>
  <c r="S604" i="1" s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P521" i="1" s="1"/>
  <c r="R521" i="1" s="1"/>
  <c r="S521" i="1" s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P422" i="1"/>
  <c r="R422" i="1" s="1"/>
  <c r="S422" i="1" s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P167" i="1" s="1"/>
  <c r="R167" i="1" s="1"/>
  <c r="S167" i="1" s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P29" i="1" s="1"/>
  <c r="R29" i="1" s="1"/>
  <c r="S29" i="1" s="1"/>
  <c r="I29" i="1"/>
  <c r="N29" i="1"/>
  <c r="I689" i="1"/>
  <c r="M632" i="1"/>
  <c r="O614" i="1"/>
  <c r="I614" i="1"/>
  <c r="O611" i="1"/>
  <c r="N602" i="1"/>
  <c r="P602" i="1" s="1"/>
  <c r="R602" i="1" s="1"/>
  <c r="S602" i="1" s="1"/>
  <c r="I602" i="1"/>
  <c r="O584" i="1"/>
  <c r="I584" i="1"/>
  <c r="O572" i="1"/>
  <c r="I572" i="1"/>
  <c r="O552" i="1"/>
  <c r="I552" i="1"/>
  <c r="M548" i="1"/>
  <c r="I539" i="1"/>
  <c r="M498" i="1"/>
  <c r="P498" i="1" s="1"/>
  <c r="R498" i="1" s="1"/>
  <c r="S498" i="1" s="1"/>
  <c r="O497" i="1"/>
  <c r="O491" i="1"/>
  <c r="O466" i="1"/>
  <c r="N463" i="1"/>
  <c r="N458" i="1"/>
  <c r="O457" i="1"/>
  <c r="N456" i="1"/>
  <c r="O453" i="1"/>
  <c r="M423" i="1"/>
  <c r="P423" i="1" s="1"/>
  <c r="R423" i="1" s="1"/>
  <c r="S423" i="1" s="1"/>
  <c r="O422" i="1"/>
  <c r="O418" i="1"/>
  <c r="O417" i="1"/>
  <c r="N416" i="1"/>
  <c r="P416" i="1" s="1"/>
  <c r="R416" i="1" s="1"/>
  <c r="S416" i="1" s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P376" i="1" s="1"/>
  <c r="R376" i="1" s="1"/>
  <c r="S376" i="1" s="1"/>
  <c r="O278" i="1"/>
  <c r="I278" i="1"/>
  <c r="M251" i="1"/>
  <c r="P251" i="1" s="1"/>
  <c r="R251" i="1" s="1"/>
  <c r="S251" i="1" s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P177" i="1" s="1"/>
  <c r="R177" i="1" s="1"/>
  <c r="S177" i="1" s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P199" i="1" s="1"/>
  <c r="R199" i="1" s="1"/>
  <c r="S199" i="1" s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P236" i="1" s="1"/>
  <c r="R236" i="1" s="1"/>
  <c r="S236" i="1" s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P565" i="1" s="1"/>
  <c r="R565" i="1" s="1"/>
  <c r="S565" i="1" s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P537" i="1" s="1"/>
  <c r="R537" i="1" s="1"/>
  <c r="S537" i="1" s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P272" i="1" s="1"/>
  <c r="R272" i="1" s="1"/>
  <c r="S272" i="1" s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P411" i="1" s="1"/>
  <c r="R411" i="1" s="1"/>
  <c r="S411" i="1" s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P600" i="1" s="1"/>
  <c r="R600" i="1" s="1"/>
  <c r="S600" i="1" s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P653" i="1" s="1"/>
  <c r="R653" i="1" s="1"/>
  <c r="S653" i="1" s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P655" i="1" s="1"/>
  <c r="R655" i="1" s="1"/>
  <c r="S655" i="1" s="1"/>
  <c r="O654" i="1"/>
  <c r="F696" i="1"/>
  <c r="M684" i="1"/>
  <c r="O662" i="1"/>
  <c r="O680" i="1"/>
  <c r="N671" i="1"/>
  <c r="O670" i="1"/>
  <c r="P668" i="1"/>
  <c r="R668" i="1" s="1"/>
  <c r="S668" i="1" s="1"/>
  <c r="N661" i="1"/>
  <c r="O660" i="1"/>
  <c r="M652" i="1"/>
  <c r="P652" i="1" s="1"/>
  <c r="R652" i="1" s="1"/>
  <c r="S652" i="1" s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P533" i="1"/>
  <c r="R533" i="1" s="1"/>
  <c r="S533" i="1" s="1"/>
  <c r="I515" i="1"/>
  <c r="I500" i="1"/>
  <c r="N496" i="1"/>
  <c r="I486" i="1"/>
  <c r="M486" i="1"/>
  <c r="P486" i="1" s="1"/>
  <c r="R486" i="1" s="1"/>
  <c r="S486" i="1" s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P675" i="1" s="1"/>
  <c r="R675" i="1" s="1"/>
  <c r="S675" i="1" s="1"/>
  <c r="M665" i="1"/>
  <c r="P665" i="1" s="1"/>
  <c r="R665" i="1" s="1"/>
  <c r="S665" i="1" s="1"/>
  <c r="N580" i="1"/>
  <c r="N653" i="1"/>
  <c r="F697" i="1"/>
  <c r="D696" i="1"/>
  <c r="M682" i="1"/>
  <c r="P682" i="1" s="1"/>
  <c r="R682" i="1" s="1"/>
  <c r="S682" i="1" s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P517" i="1" s="1"/>
  <c r="R517" i="1" s="1"/>
  <c r="S517" i="1" s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P314" i="1" s="1"/>
  <c r="R314" i="1" s="1"/>
  <c r="S314" i="1" s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P267" i="1" s="1"/>
  <c r="R267" i="1" s="1"/>
  <c r="S267" i="1" s="1"/>
  <c r="I244" i="1"/>
  <c r="M244" i="1"/>
  <c r="N244" i="1"/>
  <c r="O244" i="1"/>
  <c r="G244" i="1"/>
  <c r="N308" i="1"/>
  <c r="O308" i="1"/>
  <c r="M308" i="1"/>
  <c r="I308" i="1"/>
  <c r="N212" i="1"/>
  <c r="O212" i="1"/>
  <c r="M212" i="1"/>
  <c r="P212" i="1" s="1"/>
  <c r="R212" i="1" s="1"/>
  <c r="S212" i="1" s="1"/>
  <c r="I212" i="1"/>
  <c r="G212" i="1"/>
  <c r="N210" i="1"/>
  <c r="G522" i="1"/>
  <c r="I522" i="1"/>
  <c r="N519" i="1"/>
  <c r="O519" i="1"/>
  <c r="P478" i="1"/>
  <c r="R478" i="1" s="1"/>
  <c r="S478" i="1" s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P328" i="1" s="1"/>
  <c r="R328" i="1" s="1"/>
  <c r="S328" i="1" s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P559" i="1" s="1"/>
  <c r="R559" i="1" s="1"/>
  <c r="S559" i="1" s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P415" i="1" s="1"/>
  <c r="R415" i="1" s="1"/>
  <c r="S415" i="1" s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P455" i="1" s="1"/>
  <c r="R455" i="1" s="1"/>
  <c r="S455" i="1" s="1"/>
  <c r="N455" i="1"/>
  <c r="N444" i="1"/>
  <c r="O444" i="1"/>
  <c r="M444" i="1"/>
  <c r="G434" i="1"/>
  <c r="P433" i="1"/>
  <c r="R433" i="1" s="1"/>
  <c r="S433" i="1" s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P359" i="1" s="1"/>
  <c r="R359" i="1" s="1"/>
  <c r="S359" i="1" s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P358" i="1" s="1"/>
  <c r="R358" i="1" s="1"/>
  <c r="S358" i="1" s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P269" i="1" s="1"/>
  <c r="R269" i="1" s="1"/>
  <c r="S269" i="1" s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P256" i="1"/>
  <c r="R256" i="1" s="1"/>
  <c r="S256" i="1" s="1"/>
  <c r="M243" i="1"/>
  <c r="N243" i="1"/>
  <c r="O243" i="1"/>
  <c r="N232" i="1"/>
  <c r="O232" i="1"/>
  <c r="M232" i="1"/>
  <c r="P232" i="1" s="1"/>
  <c r="R232" i="1" s="1"/>
  <c r="S232" i="1" s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50" i="1" s="1"/>
  <c r="R50" i="1" s="1"/>
  <c r="S50" i="1" s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P166" i="1" s="1"/>
  <c r="R166" i="1" s="1"/>
  <c r="S166" i="1" s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P88" i="1" s="1"/>
  <c r="R88" i="1" s="1"/>
  <c r="S88" i="1" s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P83" i="1" s="1"/>
  <c r="R83" i="1" s="1"/>
  <c r="S83" i="1" s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P131" i="1" s="1"/>
  <c r="R131" i="1" s="1"/>
  <c r="S131" i="1" s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P165" i="1" s="1"/>
  <c r="R165" i="1" s="1"/>
  <c r="S165" i="1" s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P33" i="1" s="1"/>
  <c r="R33" i="1" s="1"/>
  <c r="S33" i="1" s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P46" i="1" s="1"/>
  <c r="R46" i="1" s="1"/>
  <c r="S46" i="1" s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P38" i="1" s="1"/>
  <c r="R38" i="1" s="1"/>
  <c r="S38" i="1" s="1"/>
  <c r="N38" i="1"/>
  <c r="I32" i="1"/>
  <c r="G32" i="1"/>
  <c r="M32" i="1"/>
  <c r="N32" i="1"/>
  <c r="O32" i="1"/>
  <c r="M30" i="1"/>
  <c r="M26" i="1"/>
  <c r="P26" i="1" s="1"/>
  <c r="R26" i="1" s="1"/>
  <c r="S26" i="1" s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P71" i="1" s="1"/>
  <c r="R71" i="1" s="1"/>
  <c r="S71" i="1" s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P28" i="1"/>
  <c r="R28" i="1" s="1"/>
  <c r="S28" i="1" s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89" i="1" l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<sst xmlns="http://schemas.openxmlformats.org/spreadsheetml/2006/main" count="757" uniqueCount="175">
  <si>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</si>
  <si>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</si>
  <si>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</si>
  <si>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</si>
  <si>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</si>
  <si>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</si>
  <si>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</si>
  <si>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</si>
  <si>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</si>
  <si>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</si>
  <si>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</si>
  <si>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</si>
  <si>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</si>
  <si>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</si>
  <si>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</si>
  <si>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</si>
  <si>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</si>
  <si>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</si>
  <si>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</si>
  <si>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</si>
  <si>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</si>
  <si>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</si>
  <si>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</si>
  <si>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</si>
  <si>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</si>
  <si>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</si>
  <si>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</si>
  <si>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</si>
  <si>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</si>
  <si>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</si>
  <si>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</si>
  <si>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</si>
  <si>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</si>
  <si>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</si>
  <si>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</si>
  <si>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</si>
  <si>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</si>
  <si>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</si>
  <si>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</si>
  <si>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</si>
  <si>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</si>
  <si>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</si>
  <si>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</si>
  <si>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</si>
  <si>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</si>
  <si>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</si>
  <si>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</si>
  <si>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</si>
  <si>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</si>
  <si>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</si>
  <si>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</si>
  <si>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</si>
  <si>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</si>
  <si>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</si>
  <si>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</si>
  <si>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</si>
  <si>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</si>
  <si>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</si>
  <si>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</si>
  <si>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</si>
  <si>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</si>
  <si>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</si>
  <si>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</si>
  <si>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</si>
  <si>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</si>
  <si>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</si>
  <si>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</si>
  <si>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</si>
  <si>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</si>
  <si>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</si>
  <si>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</si>
  <si>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</si>
  <si>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</si>
  <si>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</si>
  <si>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</si>
  <si>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</si>
  <si>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</si>
  <si>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</si>
  <si>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</si>
  <si>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</si>
  <si>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</si>
  <si>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</si>
  <si>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</si>
  <si>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</si>
  <si>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</si>
  <si>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</si>
  <si>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</si>
  <si>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</si>
  <si>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</si>
  <si>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</si>
  <si>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</si>
  <si>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</si>
  <si>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</si>
  <si>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</si>
  <si>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</si>
  <si>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</si>
  <si>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</si>
  <si>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</si>
  <si>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</si>
  <si>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</si>
  <si>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</si>
  <si>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</si>
  <si>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</si>
  <si>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</si>
  <si>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</si>
  <si>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</si>
  <si>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</si>
  <si>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</si>
  <si>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</si>
  <si>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</si>
  <si>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</si>
  <si>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</si>
  <si>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</si>
  <si>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</si>
  <si>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</si>
  <si>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</si>
  <si>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</si>
  <si>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</si>
  <si>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</si>
  <si>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</si>
  <si>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</si>
  <si>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</si>
  <si>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</si>
  <si>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</si>
  <si>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</si>
  <si>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</si>
  <si>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</si>
  <si>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</si>
  <si>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</si>
  <si>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</si>
  <si>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</si>
  <si>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</si>
  <si>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</si>
  <si>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</si>
  <si>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</si>
  <si>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</si>
  <si>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</si>
  <si>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</si>
  <si>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</si>
  <si>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</si>
  <si>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</si>
  <si>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</si>
  <si>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</si>
  <si>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</si>
  <si>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</si>
  <si>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</si>
  <si>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</si>
  <si>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</si>
  <si>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</si>
  <si>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</si>
  <si>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</si>
  <si>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</si>
  <si>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</si>
  <si>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</si>
  <si>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</si>
  <si>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</si>
  <si>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</si>
  <si>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</si>
  <si>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</si>
  <si>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</si>
  <si>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</si>
  <si>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</si>
  <si>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</si>
  <si>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</si>
  <si>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</si>
  <si>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</si>
  <si>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</si>
  <si>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</si>
  <si>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29.06.2026</t>
  </si>
  <si>
    <t>30.06.2026</t>
  </si>
  <si>
    <t>01.07.2026</t>
  </si>
  <si>
    <t>02.07.2026</t>
  </si>
  <si>
    <t>03.07.2026</t>
  </si>
  <si>
    <t>04.07.2026</t>
  </si>
  <si>
    <t>05.07.2026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</si>
</sst>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2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3084.2925000000027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3090.613270000003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6.320770000000052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124126.65465467473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124126.65465467502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-2.9103830456733704E-10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15.3</v>
      </c>
      <c r="E18" s="3">
        <v>16.5564</v>
      </c>
      <c r="F18" s="6">
        <f t="shared" ref="F18:F81" si="0">E18-D18</f>
        <v>1.2563999999999993</v>
      </c>
      <c r="G18" s="6">
        <f t="shared" ref="G18:G81" si="1">IF(D18=0,0,F18/D18)</f>
        <v>8.2117647058823476E-2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-1.2563999999999993</v>
      </c>
      <c r="J18" s="3">
        <v>10</v>
      </c>
      <c r="K18" s="6">
        <f t="shared" ref="K18:K81" si="4">MIN(ABS(D18)*$B$7,$B$8)</f>
        <v>2.2949999999999999</v>
      </c>
      <c r="L18" s="6">
        <f t="shared" ref="L18:L81" si="5">MIN(ABS(D18)*$B$9,$B$10)</f>
        <v>3.0600000000000005</v>
      </c>
      <c r="M18" s="6">
        <f t="shared" ref="M18:M81" si="6">MIN(ABS(F18),K18)</f>
        <v>1.2563999999999993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-2512.7999999999988</v>
      </c>
      <c r="Q18" s="3">
        <v>-2512.7999999999997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29.06.2026</v>
      </c>
      <c r="B19" s="5">
        <v>2</v>
      </c>
      <c r="C19" s="5" t="s">
        <v>116</v>
      </c>
      <c r="D19" s="3">
        <v>15.3</v>
      </c>
      <c r="E19" s="3">
        <v>15.5578</v>
      </c>
      <c r="F19" s="6">
        <f t="shared" si="0"/>
        <v>0.25779999999999959</v>
      </c>
      <c r="G19" s="6">
        <f t="shared" si="1"/>
        <v>1.6849673202614351E-2</v>
      </c>
      <c r="H19" s="6" t="str">
        <f t="shared" si="2"/>
        <v>🟢 Over-injection</v>
      </c>
      <c r="I19" s="6">
        <f t="shared" si="3"/>
        <v>-0.25779999999999959</v>
      </c>
      <c r="J19" s="3">
        <v>10</v>
      </c>
      <c r="K19" s="6">
        <f t="shared" si="4"/>
        <v>2.2949999999999999</v>
      </c>
      <c r="L19" s="6">
        <f t="shared" si="5"/>
        <v>3.0600000000000005</v>
      </c>
      <c r="M19" s="6">
        <f t="shared" si="6"/>
        <v>0.25779999999999959</v>
      </c>
      <c r="N19" s="6">
        <f t="shared" si="7"/>
        <v>0</v>
      </c>
      <c r="O19" s="6">
        <f t="shared" si="8"/>
        <v>0</v>
      </c>
      <c r="P19" s="6">
        <f t="shared" si="9"/>
        <v>-515.59999999999923</v>
      </c>
      <c r="Q19" s="3">
        <v>-515.59999999999991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29.06.2026</v>
      </c>
      <c r="B20" s="5">
        <v>3</v>
      </c>
      <c r="C20" s="5" t="s">
        <v>115</v>
      </c>
      <c r="D20" s="3">
        <v>15.3</v>
      </c>
      <c r="E20" s="3">
        <v>15.5351</v>
      </c>
      <c r="F20" s="6">
        <f t="shared" si="0"/>
        <v>0.2350999999999992</v>
      </c>
      <c r="G20" s="6">
        <f t="shared" si="1"/>
        <v>1.5366013071895371E-2</v>
      </c>
      <c r="H20" s="6" t="str">
        <f t="shared" si="2"/>
        <v>🟢 Over-injection</v>
      </c>
      <c r="I20" s="6">
        <f t="shared" si="3"/>
        <v>-0.2350999999999992</v>
      </c>
      <c r="J20" s="3">
        <v>10</v>
      </c>
      <c r="K20" s="6">
        <f t="shared" si="4"/>
        <v>2.2949999999999999</v>
      </c>
      <c r="L20" s="6">
        <f t="shared" si="5"/>
        <v>3.0600000000000005</v>
      </c>
      <c r="M20" s="6">
        <f t="shared" si="6"/>
        <v>0.2350999999999992</v>
      </c>
      <c r="N20" s="6">
        <f t="shared" si="7"/>
        <v>0</v>
      </c>
      <c r="O20" s="6">
        <f t="shared" si="8"/>
        <v>0</v>
      </c>
      <c r="P20" s="6">
        <f t="shared" si="9"/>
        <v>-470.1999999999984</v>
      </c>
      <c r="Q20" s="3">
        <v>-470.2</v>
      </c>
      <c r="R20" s="6">
        <f t="shared" si="10"/>
        <v>1.5916157281026244E-12</v>
      </c>
      <c r="S20" s="6" t="str">
        <f t="shared" si="11"/>
        <v>OK</v>
      </c>
    </row>
    <row r="21" spans="1:19" x14ac:dyDescent="0.25">
      <c r="A21" s="3" t="str">
        <f t="shared" si="12"/>
        <v>29.06.2026</v>
      </c>
      <c r="B21" s="5">
        <v>4</v>
      </c>
      <c r="C21" s="5" t="s">
        <v>114</v>
      </c>
      <c r="D21" s="3">
        <v>15.290000000000001</v>
      </c>
      <c r="E21" s="3">
        <v>15.5351</v>
      </c>
      <c r="F21" s="6">
        <f t="shared" si="0"/>
        <v>0.24509999999999899</v>
      </c>
      <c r="G21" s="6">
        <f t="shared" si="1"/>
        <v>1.603008502289071E-2</v>
      </c>
      <c r="H21" s="6" t="str">
        <f t="shared" si="2"/>
        <v>🟢 Over-injection</v>
      </c>
      <c r="I21" s="6">
        <f t="shared" si="3"/>
        <v>-0.24509999999999899</v>
      </c>
      <c r="J21" s="3">
        <v>10</v>
      </c>
      <c r="K21" s="6">
        <f t="shared" si="4"/>
        <v>2.2934999999999999</v>
      </c>
      <c r="L21" s="6">
        <f t="shared" si="5"/>
        <v>3.0580000000000003</v>
      </c>
      <c r="M21" s="6">
        <f t="shared" si="6"/>
        <v>0.24509999999999899</v>
      </c>
      <c r="N21" s="6">
        <f t="shared" si="7"/>
        <v>0</v>
      </c>
      <c r="O21" s="6">
        <f t="shared" si="8"/>
        <v>0</v>
      </c>
      <c r="P21" s="6">
        <f t="shared" si="9"/>
        <v>-490.199999999998</v>
      </c>
      <c r="Q21" s="3">
        <v>-490.20000000000005</v>
      </c>
      <c r="R21" s="6">
        <f t="shared" si="10"/>
        <v>2.0463630789890885E-12</v>
      </c>
      <c r="S21" s="6" t="str">
        <f t="shared" si="11"/>
        <v>OK</v>
      </c>
    </row>
    <row r="22" spans="1:19" x14ac:dyDescent="0.25">
      <c r="A22" s="3" t="str">
        <f t="shared" si="12"/>
        <v>29.06.2026</v>
      </c>
      <c r="B22" s="5">
        <v>5</v>
      </c>
      <c r="C22" s="5" t="s">
        <v>113</v>
      </c>
      <c r="D22" s="3">
        <v>15.270000000000001</v>
      </c>
      <c r="E22" s="3">
        <v>15.54646</v>
      </c>
      <c r="F22" s="6">
        <f t="shared" si="0"/>
        <v>0.27645999999999837</v>
      </c>
      <c r="G22" s="6">
        <f t="shared" si="1"/>
        <v>1.810478061558601E-2</v>
      </c>
      <c r="H22" s="6" t="str">
        <f t="shared" si="2"/>
        <v>🟢 Over-injection</v>
      </c>
      <c r="I22" s="6">
        <f t="shared" si="3"/>
        <v>-0.27645999999999837</v>
      </c>
      <c r="J22" s="3">
        <v>10</v>
      </c>
      <c r="K22" s="6">
        <f t="shared" si="4"/>
        <v>2.2905000000000002</v>
      </c>
      <c r="L22" s="6">
        <f t="shared" si="5"/>
        <v>3.0540000000000003</v>
      </c>
      <c r="M22" s="6">
        <f t="shared" si="6"/>
        <v>0.27645999999999837</v>
      </c>
      <c r="N22" s="6">
        <f t="shared" si="7"/>
        <v>0</v>
      </c>
      <c r="O22" s="6">
        <f t="shared" si="8"/>
        <v>0</v>
      </c>
      <c r="P22" s="6">
        <f t="shared" si="9"/>
        <v>-552.91999999999678</v>
      </c>
      <c r="Q22" s="3">
        <v>-552.91999999999996</v>
      </c>
      <c r="R22" s="6">
        <f t="shared" si="10"/>
        <v>3.1832314562052488E-12</v>
      </c>
      <c r="S22" s="6" t="str">
        <f t="shared" si="11"/>
        <v>OK</v>
      </c>
    </row>
    <row r="23" spans="1:19" x14ac:dyDescent="0.25">
      <c r="A23" s="3" t="str">
        <f t="shared" si="12"/>
        <v>29.06.2026</v>
      </c>
      <c r="B23" s="5">
        <v>6</v>
      </c>
      <c r="C23" s="5" t="s">
        <v>112</v>
      </c>
      <c r="D23" s="3">
        <v>15.260000000000002</v>
      </c>
      <c r="E23" s="3">
        <v>15.54646</v>
      </c>
      <c r="F23" s="6">
        <f t="shared" si="0"/>
        <v>0.28645999999999816</v>
      </c>
      <c r="G23" s="6">
        <f t="shared" si="1"/>
        <v>1.8771952817824254E-2</v>
      </c>
      <c r="H23" s="6" t="str">
        <f t="shared" si="2"/>
        <v>🟢 Over-injection</v>
      </c>
      <c r="I23" s="6">
        <f t="shared" si="3"/>
        <v>-0.28645999999999816</v>
      </c>
      <c r="J23" s="3">
        <v>10</v>
      </c>
      <c r="K23" s="6">
        <f t="shared" si="4"/>
        <v>2.2890000000000001</v>
      </c>
      <c r="L23" s="6">
        <f t="shared" si="5"/>
        <v>3.0520000000000005</v>
      </c>
      <c r="M23" s="6">
        <f t="shared" si="6"/>
        <v>0.28645999999999816</v>
      </c>
      <c r="N23" s="6">
        <f t="shared" si="7"/>
        <v>0</v>
      </c>
      <c r="O23" s="6">
        <f t="shared" si="8"/>
        <v>0</v>
      </c>
      <c r="P23" s="6">
        <f t="shared" si="9"/>
        <v>-572.91999999999632</v>
      </c>
      <c r="Q23" s="3">
        <v>-572.91999999999996</v>
      </c>
      <c r="R23" s="6">
        <f t="shared" si="10"/>
        <v>3.637978807091713E-12</v>
      </c>
      <c r="S23" s="6" t="str">
        <f t="shared" si="11"/>
        <v>OK</v>
      </c>
    </row>
    <row r="24" spans="1:19" x14ac:dyDescent="0.25">
      <c r="A24" s="3" t="str">
        <f t="shared" si="12"/>
        <v>29.06.2026</v>
      </c>
      <c r="B24" s="5">
        <v>7</v>
      </c>
      <c r="C24" s="5" t="s">
        <v>111</v>
      </c>
      <c r="D24" s="3">
        <v>15.32</v>
      </c>
      <c r="E24" s="3">
        <v>15.54646</v>
      </c>
      <c r="F24" s="6">
        <f t="shared" si="0"/>
        <v>0.22645999999999944</v>
      </c>
      <c r="G24" s="6">
        <f t="shared" si="1"/>
        <v>1.4781984334203618E-2</v>
      </c>
      <c r="H24" s="6" t="str">
        <f t="shared" si="2"/>
        <v>🟢 Over-injection</v>
      </c>
      <c r="I24" s="6">
        <f t="shared" si="3"/>
        <v>-0.22645999999999944</v>
      </c>
      <c r="J24" s="3">
        <v>10</v>
      </c>
      <c r="K24" s="6">
        <f t="shared" si="4"/>
        <v>2.298</v>
      </c>
      <c r="L24" s="6">
        <f t="shared" si="5"/>
        <v>3.0640000000000001</v>
      </c>
      <c r="M24" s="6">
        <f t="shared" si="6"/>
        <v>0.22645999999999944</v>
      </c>
      <c r="N24" s="6">
        <f t="shared" si="7"/>
        <v>0</v>
      </c>
      <c r="O24" s="6">
        <f t="shared" si="8"/>
        <v>0</v>
      </c>
      <c r="P24" s="6">
        <f t="shared" si="9"/>
        <v>-452.91999999999888</v>
      </c>
      <c r="Q24" s="3">
        <v>-452.92</v>
      </c>
      <c r="R24" s="6">
        <f t="shared" si="10"/>
        <v>1.1368683772161603E-12</v>
      </c>
      <c r="S24" s="6" t="str">
        <f t="shared" si="11"/>
        <v>OK</v>
      </c>
    </row>
    <row r="25" spans="1:19" x14ac:dyDescent="0.25">
      <c r="A25" s="3" t="str">
        <f t="shared" si="12"/>
        <v>29.06.2026</v>
      </c>
      <c r="B25" s="5">
        <v>8</v>
      </c>
      <c r="C25" s="5" t="s">
        <v>110</v>
      </c>
      <c r="D25" s="3">
        <v>15.31</v>
      </c>
      <c r="E25" s="3">
        <v>15.54646</v>
      </c>
      <c r="F25" s="6">
        <f t="shared" si="0"/>
        <v>0.23645999999999923</v>
      </c>
      <c r="G25" s="6">
        <f t="shared" si="1"/>
        <v>1.5444807315480027E-2</v>
      </c>
      <c r="H25" s="6" t="str">
        <f t="shared" si="2"/>
        <v>🟢 Over-injection</v>
      </c>
      <c r="I25" s="6">
        <f t="shared" si="3"/>
        <v>-0.23645999999999923</v>
      </c>
      <c r="J25" s="3">
        <v>10</v>
      </c>
      <c r="K25" s="6">
        <f t="shared" si="4"/>
        <v>2.2965</v>
      </c>
      <c r="L25" s="6">
        <f t="shared" si="5"/>
        <v>3.0620000000000003</v>
      </c>
      <c r="M25" s="6">
        <f t="shared" si="6"/>
        <v>0.23645999999999923</v>
      </c>
      <c r="N25" s="6">
        <f t="shared" si="7"/>
        <v>0</v>
      </c>
      <c r="O25" s="6">
        <f t="shared" si="8"/>
        <v>0</v>
      </c>
      <c r="P25" s="6">
        <f t="shared" si="9"/>
        <v>-472.91999999999848</v>
      </c>
      <c r="Q25" s="3">
        <v>-472.92</v>
      </c>
      <c r="R25" s="6">
        <f t="shared" si="10"/>
        <v>1.5347723092418164E-12</v>
      </c>
      <c r="S25" s="6" t="str">
        <f t="shared" si="11"/>
        <v>OK</v>
      </c>
    </row>
    <row r="26" spans="1:19" x14ac:dyDescent="0.25">
      <c r="A26" s="3" t="str">
        <f t="shared" si="12"/>
        <v>29.06.2026</v>
      </c>
      <c r="B26" s="5">
        <v>9</v>
      </c>
      <c r="C26" s="5" t="s">
        <v>109</v>
      </c>
      <c r="D26" s="3">
        <v>15.29</v>
      </c>
      <c r="E26" s="3">
        <v>15.5578</v>
      </c>
      <c r="F26" s="6">
        <f t="shared" si="0"/>
        <v>0.26780000000000115</v>
      </c>
      <c r="G26" s="6">
        <f t="shared" si="1"/>
        <v>1.7514715500327085E-2</v>
      </c>
      <c r="H26" s="6" t="str">
        <f t="shared" si="2"/>
        <v>🟢 Over-injection</v>
      </c>
      <c r="I26" s="6">
        <f t="shared" si="3"/>
        <v>-0.26780000000000115</v>
      </c>
      <c r="J26" s="3">
        <v>10</v>
      </c>
      <c r="K26" s="6">
        <f t="shared" si="4"/>
        <v>2.2934999999999999</v>
      </c>
      <c r="L26" s="6">
        <f t="shared" si="5"/>
        <v>3.0579999999999998</v>
      </c>
      <c r="M26" s="6">
        <f t="shared" si="6"/>
        <v>0.26780000000000115</v>
      </c>
      <c r="N26" s="6">
        <f t="shared" si="7"/>
        <v>0</v>
      </c>
      <c r="O26" s="6">
        <f t="shared" si="8"/>
        <v>0</v>
      </c>
      <c r="P26" s="6">
        <f t="shared" si="9"/>
        <v>-535.6000000000023</v>
      </c>
      <c r="Q26" s="3">
        <v>-535.59999999999991</v>
      </c>
      <c r="R26" s="6">
        <f t="shared" si="10"/>
        <v>-2.3874235921539366E-12</v>
      </c>
      <c r="S26" s="6" t="str">
        <f t="shared" si="11"/>
        <v>OK</v>
      </c>
    </row>
    <row r="27" spans="1:19" x14ac:dyDescent="0.25">
      <c r="A27" s="3" t="str">
        <f t="shared" si="12"/>
        <v>29.06.2026</v>
      </c>
      <c r="B27" s="5">
        <v>10</v>
      </c>
      <c r="C27" s="5" t="s">
        <v>108</v>
      </c>
      <c r="D27" s="3">
        <v>15.31</v>
      </c>
      <c r="E27" s="3">
        <v>15.5578</v>
      </c>
      <c r="F27" s="6">
        <f t="shared" si="0"/>
        <v>0.2477999999999998</v>
      </c>
      <c r="G27" s="6">
        <f t="shared" si="1"/>
        <v>1.6185499673416055E-2</v>
      </c>
      <c r="H27" s="6" t="str">
        <f t="shared" si="2"/>
        <v>🟢 Over-injection</v>
      </c>
      <c r="I27" s="6">
        <f t="shared" si="3"/>
        <v>-0.2477999999999998</v>
      </c>
      <c r="J27" s="3">
        <v>10</v>
      </c>
      <c r="K27" s="6">
        <f t="shared" si="4"/>
        <v>2.2965</v>
      </c>
      <c r="L27" s="6">
        <f t="shared" si="5"/>
        <v>3.0620000000000003</v>
      </c>
      <c r="M27" s="6">
        <f t="shared" si="6"/>
        <v>0.2477999999999998</v>
      </c>
      <c r="N27" s="6">
        <f t="shared" si="7"/>
        <v>0</v>
      </c>
      <c r="O27" s="6">
        <f t="shared" si="8"/>
        <v>0</v>
      </c>
      <c r="P27" s="6">
        <f t="shared" si="9"/>
        <v>-495.59999999999962</v>
      </c>
      <c r="Q27" s="3">
        <v>-495.59999999999997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29.06.2026</v>
      </c>
      <c r="B28" s="5">
        <v>11</v>
      </c>
      <c r="C28" s="5" t="s">
        <v>107</v>
      </c>
      <c r="D28" s="3">
        <v>15.35</v>
      </c>
      <c r="E28" s="3">
        <v>15.5578</v>
      </c>
      <c r="F28" s="6">
        <f t="shared" si="0"/>
        <v>0.20780000000000065</v>
      </c>
      <c r="G28" s="6">
        <f t="shared" si="1"/>
        <v>1.3537459283387666E-2</v>
      </c>
      <c r="H28" s="6" t="str">
        <f t="shared" si="2"/>
        <v>🟢 Over-injection</v>
      </c>
      <c r="I28" s="6">
        <f t="shared" si="3"/>
        <v>-0.20780000000000065</v>
      </c>
      <c r="J28" s="3">
        <v>10</v>
      </c>
      <c r="K28" s="6">
        <f t="shared" si="4"/>
        <v>2.3024999999999998</v>
      </c>
      <c r="L28" s="6">
        <f t="shared" si="5"/>
        <v>3.0700000000000003</v>
      </c>
      <c r="M28" s="6">
        <f t="shared" si="6"/>
        <v>0.20780000000000065</v>
      </c>
      <c r="N28" s="6">
        <f t="shared" si="7"/>
        <v>0</v>
      </c>
      <c r="O28" s="6">
        <f t="shared" si="8"/>
        <v>0</v>
      </c>
      <c r="P28" s="6">
        <f t="shared" si="9"/>
        <v>-415.60000000000127</v>
      </c>
      <c r="Q28" s="3">
        <v>-415.6</v>
      </c>
      <c r="R28" s="6">
        <f t="shared" si="10"/>
        <v>-1.2505552149377763E-12</v>
      </c>
      <c r="S28" s="6" t="str">
        <f t="shared" si="11"/>
        <v>OK</v>
      </c>
    </row>
    <row r="29" spans="1:19" x14ac:dyDescent="0.25">
      <c r="A29" s="3" t="str">
        <f t="shared" si="12"/>
        <v>29.06.2026</v>
      </c>
      <c r="B29" s="5">
        <v>12</v>
      </c>
      <c r="C29" s="5" t="s">
        <v>106</v>
      </c>
      <c r="D29" s="3">
        <v>15.31</v>
      </c>
      <c r="E29" s="3">
        <v>15.5578</v>
      </c>
      <c r="F29" s="6">
        <f t="shared" si="0"/>
        <v>0.2477999999999998</v>
      </c>
      <c r="G29" s="6">
        <f t="shared" si="1"/>
        <v>1.6185499673416055E-2</v>
      </c>
      <c r="H29" s="6" t="str">
        <f t="shared" si="2"/>
        <v>🟢 Over-injection</v>
      </c>
      <c r="I29" s="6">
        <f t="shared" si="3"/>
        <v>-0.2477999999999998</v>
      </c>
      <c r="J29" s="3">
        <v>10</v>
      </c>
      <c r="K29" s="6">
        <f t="shared" si="4"/>
        <v>2.2965</v>
      </c>
      <c r="L29" s="6">
        <f t="shared" si="5"/>
        <v>3.0620000000000003</v>
      </c>
      <c r="M29" s="6">
        <f t="shared" si="6"/>
        <v>0.2477999999999998</v>
      </c>
      <c r="N29" s="6">
        <f t="shared" si="7"/>
        <v>0</v>
      </c>
      <c r="O29" s="6">
        <f t="shared" si="8"/>
        <v>0</v>
      </c>
      <c r="P29" s="6">
        <f t="shared" si="9"/>
        <v>-495.59999999999962</v>
      </c>
      <c r="Q29" s="3">
        <v>-495.59999999999997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29.06.2026</v>
      </c>
      <c r="B30" s="5">
        <v>13</v>
      </c>
      <c r="C30" s="5" t="s">
        <v>105</v>
      </c>
      <c r="D30" s="3">
        <v>15.29</v>
      </c>
      <c r="E30" s="3">
        <v>15.5578</v>
      </c>
      <c r="F30" s="6">
        <f t="shared" si="0"/>
        <v>0.26780000000000115</v>
      </c>
      <c r="G30" s="6">
        <f t="shared" si="1"/>
        <v>1.7514715500327085E-2</v>
      </c>
      <c r="H30" s="6" t="str">
        <f t="shared" si="2"/>
        <v>🟢 Over-injection</v>
      </c>
      <c r="I30" s="6">
        <f t="shared" si="3"/>
        <v>-0.26780000000000115</v>
      </c>
      <c r="J30" s="3">
        <v>10</v>
      </c>
      <c r="K30" s="6">
        <f t="shared" si="4"/>
        <v>2.2934999999999999</v>
      </c>
      <c r="L30" s="6">
        <f t="shared" si="5"/>
        <v>3.0579999999999998</v>
      </c>
      <c r="M30" s="6">
        <f t="shared" si="6"/>
        <v>0.26780000000000115</v>
      </c>
      <c r="N30" s="6">
        <f t="shared" si="7"/>
        <v>0</v>
      </c>
      <c r="O30" s="6">
        <f t="shared" si="8"/>
        <v>0</v>
      </c>
      <c r="P30" s="6">
        <f t="shared" si="9"/>
        <v>-535.6000000000023</v>
      </c>
      <c r="Q30" s="3">
        <v>-535.59999999999991</v>
      </c>
      <c r="R30" s="6">
        <f t="shared" si="10"/>
        <v>-2.3874235921539366E-12</v>
      </c>
      <c r="S30" s="6" t="str">
        <f t="shared" si="11"/>
        <v>OK</v>
      </c>
    </row>
    <row r="31" spans="1:19" x14ac:dyDescent="0.25">
      <c r="A31" s="3" t="str">
        <f t="shared" si="12"/>
        <v>29.06.2026</v>
      </c>
      <c r="B31" s="5">
        <v>14</v>
      </c>
      <c r="C31" s="5" t="s">
        <v>104</v>
      </c>
      <c r="D31" s="3">
        <v>15.32</v>
      </c>
      <c r="E31" s="3">
        <v>15.5578</v>
      </c>
      <c r="F31" s="6">
        <f t="shared" si="0"/>
        <v>0.23780000000000001</v>
      </c>
      <c r="G31" s="6">
        <f t="shared" si="1"/>
        <v>1.5522193211488251E-2</v>
      </c>
      <c r="H31" s="6" t="str">
        <f t="shared" si="2"/>
        <v>🟢 Over-injection</v>
      </c>
      <c r="I31" s="6">
        <f t="shared" si="3"/>
        <v>-0.23780000000000001</v>
      </c>
      <c r="J31" s="3">
        <v>10</v>
      </c>
      <c r="K31" s="6">
        <f t="shared" si="4"/>
        <v>2.298</v>
      </c>
      <c r="L31" s="6">
        <f t="shared" si="5"/>
        <v>3.0640000000000001</v>
      </c>
      <c r="M31" s="6">
        <f t="shared" si="6"/>
        <v>0.23780000000000001</v>
      </c>
      <c r="N31" s="6">
        <f t="shared" si="7"/>
        <v>0</v>
      </c>
      <c r="O31" s="6">
        <f t="shared" si="8"/>
        <v>0</v>
      </c>
      <c r="P31" s="6">
        <f t="shared" si="9"/>
        <v>-475.6</v>
      </c>
      <c r="Q31" s="3">
        <v>-475.6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29.06.2026</v>
      </c>
      <c r="B32" s="5">
        <v>15</v>
      </c>
      <c r="C32" s="5" t="s">
        <v>103</v>
      </c>
      <c r="D32" s="3">
        <v>15.31</v>
      </c>
      <c r="E32" s="3">
        <v>15.5578</v>
      </c>
      <c r="F32" s="6">
        <f t="shared" si="0"/>
        <v>0.2477999999999998</v>
      </c>
      <c r="G32" s="6">
        <f t="shared" si="1"/>
        <v>1.6185499673416055E-2</v>
      </c>
      <c r="H32" s="6" t="str">
        <f t="shared" si="2"/>
        <v>🟢 Over-injection</v>
      </c>
      <c r="I32" s="6">
        <f t="shared" si="3"/>
        <v>-0.2477999999999998</v>
      </c>
      <c r="J32" s="3">
        <v>10</v>
      </c>
      <c r="K32" s="6">
        <f t="shared" si="4"/>
        <v>2.2965</v>
      </c>
      <c r="L32" s="6">
        <f t="shared" si="5"/>
        <v>3.0620000000000003</v>
      </c>
      <c r="M32" s="6">
        <f t="shared" si="6"/>
        <v>0.2477999999999998</v>
      </c>
      <c r="N32" s="6">
        <f t="shared" si="7"/>
        <v>0</v>
      </c>
      <c r="O32" s="6">
        <f t="shared" si="8"/>
        <v>0</v>
      </c>
      <c r="P32" s="6">
        <f t="shared" si="9"/>
        <v>-495.59999999999962</v>
      </c>
      <c r="Q32" s="3">
        <v>-495.59999999999997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29.06.2026</v>
      </c>
      <c r="B33" s="5">
        <v>16</v>
      </c>
      <c r="C33" s="5" t="s">
        <v>102</v>
      </c>
      <c r="D33" s="3">
        <v>15.37</v>
      </c>
      <c r="E33" s="3">
        <v>15.5578</v>
      </c>
      <c r="F33" s="6">
        <f t="shared" si="0"/>
        <v>0.18780000000000108</v>
      </c>
      <c r="G33" s="6">
        <f t="shared" si="1"/>
        <v>1.22186076772935E-2</v>
      </c>
      <c r="H33" s="6" t="str">
        <f t="shared" si="2"/>
        <v>🟢 Over-injection</v>
      </c>
      <c r="I33" s="6">
        <f t="shared" si="3"/>
        <v>-0.18780000000000108</v>
      </c>
      <c r="J33" s="3">
        <v>10</v>
      </c>
      <c r="K33" s="6">
        <f t="shared" si="4"/>
        <v>2.3054999999999999</v>
      </c>
      <c r="L33" s="6">
        <f t="shared" si="5"/>
        <v>3.0739999999999998</v>
      </c>
      <c r="M33" s="6">
        <f t="shared" si="6"/>
        <v>0.18780000000000108</v>
      </c>
      <c r="N33" s="6">
        <f t="shared" si="7"/>
        <v>0</v>
      </c>
      <c r="O33" s="6">
        <f t="shared" si="8"/>
        <v>0</v>
      </c>
      <c r="P33" s="6">
        <f t="shared" si="9"/>
        <v>-375.60000000000218</v>
      </c>
      <c r="Q33" s="3">
        <v>-375.59999999999997</v>
      </c>
      <c r="R33" s="6">
        <f t="shared" si="10"/>
        <v>-2.2168933355715126E-12</v>
      </c>
      <c r="S33" s="6" t="str">
        <f t="shared" si="11"/>
        <v>OK</v>
      </c>
    </row>
    <row r="34" spans="1:19" x14ac:dyDescent="0.25">
      <c r="A34" s="3" t="str">
        <f t="shared" si="12"/>
        <v>29.06.2026</v>
      </c>
      <c r="B34" s="5">
        <v>17</v>
      </c>
      <c r="C34" s="5" t="s">
        <v>101</v>
      </c>
      <c r="D34" s="3">
        <v>15.34</v>
      </c>
      <c r="E34" s="3">
        <v>15.5578</v>
      </c>
      <c r="F34" s="6">
        <f t="shared" si="0"/>
        <v>0.21780000000000044</v>
      </c>
      <c r="G34" s="6">
        <f t="shared" si="1"/>
        <v>1.4198174706649311E-2</v>
      </c>
      <c r="H34" s="6" t="str">
        <f t="shared" si="2"/>
        <v>🟢 Over-injection</v>
      </c>
      <c r="I34" s="6">
        <f t="shared" si="3"/>
        <v>-0.21780000000000044</v>
      </c>
      <c r="J34" s="3">
        <v>10</v>
      </c>
      <c r="K34" s="6">
        <f t="shared" si="4"/>
        <v>2.3009999999999997</v>
      </c>
      <c r="L34" s="6">
        <f t="shared" si="5"/>
        <v>3.0680000000000001</v>
      </c>
      <c r="M34" s="6">
        <f t="shared" si="6"/>
        <v>0.21780000000000044</v>
      </c>
      <c r="N34" s="6">
        <f t="shared" si="7"/>
        <v>0</v>
      </c>
      <c r="O34" s="6">
        <f t="shared" si="8"/>
        <v>0</v>
      </c>
      <c r="P34" s="6">
        <f t="shared" si="9"/>
        <v>-435.60000000000093</v>
      </c>
      <c r="Q34" s="3">
        <v>-435.59999999999997</v>
      </c>
      <c r="R34" s="6">
        <f t="shared" si="10"/>
        <v>-9.6633812063373625E-13</v>
      </c>
      <c r="S34" s="6" t="str">
        <f t="shared" si="11"/>
        <v>OK</v>
      </c>
    </row>
    <row r="35" spans="1:19" x14ac:dyDescent="0.25">
      <c r="A35" s="3" t="str">
        <f t="shared" si="12"/>
        <v>29.06.2026</v>
      </c>
      <c r="B35" s="5">
        <v>18</v>
      </c>
      <c r="C35" s="5" t="s">
        <v>100</v>
      </c>
      <c r="D35" s="3">
        <v>15.309999999999999</v>
      </c>
      <c r="E35" s="3">
        <v>15.5578</v>
      </c>
      <c r="F35" s="6">
        <f t="shared" si="0"/>
        <v>0.24780000000000157</v>
      </c>
      <c r="G35" s="6">
        <f t="shared" si="1"/>
        <v>1.6185499673416173E-2</v>
      </c>
      <c r="H35" s="6" t="str">
        <f t="shared" si="2"/>
        <v>🟢 Over-injection</v>
      </c>
      <c r="I35" s="6">
        <f t="shared" si="3"/>
        <v>-0.24780000000000157</v>
      </c>
      <c r="J35" s="3">
        <v>10</v>
      </c>
      <c r="K35" s="6">
        <f t="shared" si="4"/>
        <v>2.2964999999999995</v>
      </c>
      <c r="L35" s="6">
        <f t="shared" si="5"/>
        <v>3.0619999999999998</v>
      </c>
      <c r="M35" s="6">
        <f t="shared" si="6"/>
        <v>0.24780000000000157</v>
      </c>
      <c r="N35" s="6">
        <f t="shared" si="7"/>
        <v>0</v>
      </c>
      <c r="O35" s="6">
        <f t="shared" si="8"/>
        <v>0</v>
      </c>
      <c r="P35" s="6">
        <f t="shared" si="9"/>
        <v>-495.60000000000321</v>
      </c>
      <c r="Q35" s="3">
        <v>-495.59999999999997</v>
      </c>
      <c r="R35" s="6">
        <f t="shared" si="10"/>
        <v>-3.2400748750660568E-12</v>
      </c>
      <c r="S35" s="6" t="str">
        <f t="shared" si="11"/>
        <v>OK</v>
      </c>
    </row>
    <row r="36" spans="1:19" x14ac:dyDescent="0.25">
      <c r="A36" s="3" t="str">
        <f t="shared" si="12"/>
        <v>29.06.2026</v>
      </c>
      <c r="B36" s="5">
        <v>19</v>
      </c>
      <c r="C36" s="5" t="s">
        <v>99</v>
      </c>
      <c r="D36" s="3">
        <v>15.379999999999999</v>
      </c>
      <c r="E36" s="3">
        <v>15.5578</v>
      </c>
      <c r="F36" s="6">
        <f t="shared" si="0"/>
        <v>0.17780000000000129</v>
      </c>
      <c r="G36" s="6">
        <f t="shared" si="1"/>
        <v>1.1560468140442218E-2</v>
      </c>
      <c r="H36" s="6" t="str">
        <f t="shared" si="2"/>
        <v>🟢 Over-injection</v>
      </c>
      <c r="I36" s="6">
        <f t="shared" si="3"/>
        <v>-0.17780000000000129</v>
      </c>
      <c r="J36" s="3">
        <v>10</v>
      </c>
      <c r="K36" s="6">
        <f t="shared" si="4"/>
        <v>2.3069999999999999</v>
      </c>
      <c r="L36" s="6">
        <f t="shared" si="5"/>
        <v>3.0760000000000001</v>
      </c>
      <c r="M36" s="6">
        <f t="shared" si="6"/>
        <v>0.17780000000000129</v>
      </c>
      <c r="N36" s="6">
        <f t="shared" si="7"/>
        <v>0</v>
      </c>
      <c r="O36" s="6">
        <f t="shared" si="8"/>
        <v>0</v>
      </c>
      <c r="P36" s="6">
        <f t="shared" si="9"/>
        <v>-355.60000000000258</v>
      </c>
      <c r="Q36" s="3">
        <v>-355.6</v>
      </c>
      <c r="R36" s="6">
        <f t="shared" si="10"/>
        <v>-2.5579538487363607E-12</v>
      </c>
      <c r="S36" s="6" t="str">
        <f t="shared" si="11"/>
        <v>OK</v>
      </c>
    </row>
    <row r="37" spans="1:19" x14ac:dyDescent="0.25">
      <c r="A37" s="3" t="str">
        <f t="shared" si="12"/>
        <v>29.06.2026</v>
      </c>
      <c r="B37" s="5">
        <v>20</v>
      </c>
      <c r="C37" s="5" t="s">
        <v>98</v>
      </c>
      <c r="D37" s="3">
        <v>15.31</v>
      </c>
      <c r="E37" s="3">
        <v>15.5578</v>
      </c>
      <c r="F37" s="6">
        <f t="shared" si="0"/>
        <v>0.2477999999999998</v>
      </c>
      <c r="G37" s="6">
        <f t="shared" si="1"/>
        <v>1.6185499673416055E-2</v>
      </c>
      <c r="H37" s="6" t="str">
        <f t="shared" si="2"/>
        <v>🟢 Over-injection</v>
      </c>
      <c r="I37" s="6">
        <f t="shared" si="3"/>
        <v>-0.2477999999999998</v>
      </c>
      <c r="J37" s="3">
        <v>10</v>
      </c>
      <c r="K37" s="6">
        <f t="shared" si="4"/>
        <v>2.2965</v>
      </c>
      <c r="L37" s="6">
        <f t="shared" si="5"/>
        <v>3.0620000000000003</v>
      </c>
      <c r="M37" s="6">
        <f t="shared" si="6"/>
        <v>0.2477999999999998</v>
      </c>
      <c r="N37" s="6">
        <f t="shared" si="7"/>
        <v>0</v>
      </c>
      <c r="O37" s="6">
        <f t="shared" si="8"/>
        <v>0</v>
      </c>
      <c r="P37" s="6">
        <f t="shared" si="9"/>
        <v>-495.59999999999962</v>
      </c>
      <c r="Q37" s="3">
        <v>-495.59999999999997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29.06.2026</v>
      </c>
      <c r="B38" s="5">
        <v>21</v>
      </c>
      <c r="C38" s="5" t="s">
        <v>97</v>
      </c>
      <c r="D38" s="3">
        <v>15.370000000000001</v>
      </c>
      <c r="E38" s="3">
        <v>15.5578</v>
      </c>
      <c r="F38" s="6">
        <f t="shared" si="0"/>
        <v>0.1877999999999993</v>
      </c>
      <c r="G38" s="6">
        <f t="shared" si="1"/>
        <v>1.2218607677293382E-2</v>
      </c>
      <c r="H38" s="6" t="str">
        <f t="shared" si="2"/>
        <v>🟢 Over-injection</v>
      </c>
      <c r="I38" s="6">
        <f t="shared" si="3"/>
        <v>-0.1877999999999993</v>
      </c>
      <c r="J38" s="3">
        <v>10</v>
      </c>
      <c r="K38" s="6">
        <f t="shared" si="4"/>
        <v>2.3054999999999999</v>
      </c>
      <c r="L38" s="6">
        <f t="shared" si="5"/>
        <v>3.0740000000000003</v>
      </c>
      <c r="M38" s="6">
        <f t="shared" si="6"/>
        <v>0.1877999999999993</v>
      </c>
      <c r="N38" s="6">
        <f t="shared" si="7"/>
        <v>0</v>
      </c>
      <c r="O38" s="6">
        <f t="shared" si="8"/>
        <v>0</v>
      </c>
      <c r="P38" s="6">
        <f t="shared" si="9"/>
        <v>-375.59999999999866</v>
      </c>
      <c r="Q38" s="3">
        <v>-375.59999999999997</v>
      </c>
      <c r="R38" s="6">
        <f t="shared" si="10"/>
        <v>1.3073986337985843E-12</v>
      </c>
      <c r="S38" s="6" t="str">
        <f t="shared" si="11"/>
        <v>OK</v>
      </c>
    </row>
    <row r="39" spans="1:19" x14ac:dyDescent="0.25">
      <c r="A39" s="3" t="str">
        <f t="shared" si="12"/>
        <v>29.06.2026</v>
      </c>
      <c r="B39" s="5">
        <v>22</v>
      </c>
      <c r="C39" s="5" t="s">
        <v>96</v>
      </c>
      <c r="D39" s="3">
        <v>15.3</v>
      </c>
      <c r="E39" s="3">
        <v>15.5578</v>
      </c>
      <c r="F39" s="6">
        <f t="shared" si="0"/>
        <v>0.25779999999999959</v>
      </c>
      <c r="G39" s="6">
        <f t="shared" si="1"/>
        <v>1.6849673202614351E-2</v>
      </c>
      <c r="H39" s="6" t="str">
        <f t="shared" si="2"/>
        <v>🟢 Over-injection</v>
      </c>
      <c r="I39" s="6">
        <f t="shared" si="3"/>
        <v>-0.25779999999999959</v>
      </c>
      <c r="J39" s="3">
        <v>10</v>
      </c>
      <c r="K39" s="6">
        <f t="shared" si="4"/>
        <v>2.2949999999999999</v>
      </c>
      <c r="L39" s="6">
        <f t="shared" si="5"/>
        <v>3.0600000000000005</v>
      </c>
      <c r="M39" s="6">
        <f t="shared" si="6"/>
        <v>0.25779999999999959</v>
      </c>
      <c r="N39" s="6">
        <f t="shared" si="7"/>
        <v>0</v>
      </c>
      <c r="O39" s="6">
        <f t="shared" si="8"/>
        <v>0</v>
      </c>
      <c r="P39" s="6">
        <f t="shared" si="9"/>
        <v>-515.59999999999923</v>
      </c>
      <c r="Q39" s="3">
        <v>-515.59999999999991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29.06.2026</v>
      </c>
      <c r="B40" s="5">
        <v>23</v>
      </c>
      <c r="C40" s="5" t="s">
        <v>95</v>
      </c>
      <c r="D40" s="3">
        <v>15.32</v>
      </c>
      <c r="E40" s="3">
        <v>15.5578</v>
      </c>
      <c r="F40" s="6">
        <f t="shared" si="0"/>
        <v>0.23780000000000001</v>
      </c>
      <c r="G40" s="6">
        <f t="shared" si="1"/>
        <v>1.5522193211488251E-2</v>
      </c>
      <c r="H40" s="6" t="str">
        <f t="shared" si="2"/>
        <v>🟢 Over-injection</v>
      </c>
      <c r="I40" s="6">
        <f t="shared" si="3"/>
        <v>-0.23780000000000001</v>
      </c>
      <c r="J40" s="3">
        <v>10</v>
      </c>
      <c r="K40" s="6">
        <f t="shared" si="4"/>
        <v>2.298</v>
      </c>
      <c r="L40" s="6">
        <f t="shared" si="5"/>
        <v>3.0640000000000001</v>
      </c>
      <c r="M40" s="6">
        <f t="shared" si="6"/>
        <v>0.23780000000000001</v>
      </c>
      <c r="N40" s="6">
        <f t="shared" si="7"/>
        <v>0</v>
      </c>
      <c r="O40" s="6">
        <f t="shared" si="8"/>
        <v>0</v>
      </c>
      <c r="P40" s="6">
        <f t="shared" si="9"/>
        <v>-475.6</v>
      </c>
      <c r="Q40" s="3">
        <v>-475.6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29.06.2026</v>
      </c>
      <c r="B41" s="5">
        <v>24</v>
      </c>
      <c r="C41" s="5" t="s">
        <v>94</v>
      </c>
      <c r="D41" s="3">
        <v>15.280000000000001</v>
      </c>
      <c r="E41" s="3">
        <v>15.5578</v>
      </c>
      <c r="F41" s="6">
        <f t="shared" si="0"/>
        <v>0.27779999999999916</v>
      </c>
      <c r="G41" s="6">
        <f t="shared" si="1"/>
        <v>1.8180628272251254E-2</v>
      </c>
      <c r="H41" s="6" t="str">
        <f t="shared" si="2"/>
        <v>🟢 Over-injection</v>
      </c>
      <c r="I41" s="6">
        <f t="shared" si="3"/>
        <v>-0.27779999999999916</v>
      </c>
      <c r="J41" s="3">
        <v>10</v>
      </c>
      <c r="K41" s="6">
        <f t="shared" si="4"/>
        <v>2.2920000000000003</v>
      </c>
      <c r="L41" s="6">
        <f t="shared" si="5"/>
        <v>3.0560000000000005</v>
      </c>
      <c r="M41" s="6">
        <f t="shared" si="6"/>
        <v>0.27779999999999916</v>
      </c>
      <c r="N41" s="6">
        <f t="shared" si="7"/>
        <v>0</v>
      </c>
      <c r="O41" s="6">
        <f t="shared" si="8"/>
        <v>0</v>
      </c>
      <c r="P41" s="6">
        <f t="shared" si="9"/>
        <v>-555.59999999999832</v>
      </c>
      <c r="Q41" s="3">
        <v>-555.6</v>
      </c>
      <c r="R41" s="6">
        <f t="shared" si="10"/>
        <v>1.7053025658242404E-12</v>
      </c>
      <c r="S41" s="6" t="str">
        <f t="shared" si="11"/>
        <v>OK</v>
      </c>
    </row>
    <row r="42" spans="1:19" x14ac:dyDescent="0.25">
      <c r="A42" s="3" t="str">
        <f t="shared" si="12"/>
        <v>29.06.2026</v>
      </c>
      <c r="B42" s="5">
        <v>25</v>
      </c>
      <c r="C42" s="5" t="s">
        <v>93</v>
      </c>
      <c r="D42" s="3">
        <v>13.84</v>
      </c>
      <c r="E42" s="3">
        <v>14.59324</v>
      </c>
      <c r="F42" s="6">
        <f t="shared" si="0"/>
        <v>0.75323999999999991</v>
      </c>
      <c r="G42" s="6">
        <f t="shared" si="1"/>
        <v>5.4424855491329471E-2</v>
      </c>
      <c r="H42" s="6" t="str">
        <f t="shared" si="2"/>
        <v>🟢 Over-injection</v>
      </c>
      <c r="I42" s="6">
        <f t="shared" si="3"/>
        <v>-0.75323999999999991</v>
      </c>
      <c r="J42" s="3">
        <v>10</v>
      </c>
      <c r="K42" s="6">
        <f t="shared" si="4"/>
        <v>2.0760000000000001</v>
      </c>
      <c r="L42" s="6">
        <f t="shared" si="5"/>
        <v>2.7680000000000002</v>
      </c>
      <c r="M42" s="6">
        <f t="shared" si="6"/>
        <v>0.75323999999999991</v>
      </c>
      <c r="N42" s="6">
        <f t="shared" si="7"/>
        <v>0</v>
      </c>
      <c r="O42" s="6">
        <f t="shared" si="8"/>
        <v>0</v>
      </c>
      <c r="P42" s="6">
        <f t="shared" si="9"/>
        <v>-1506.48</v>
      </c>
      <c r="Q42" s="3">
        <v>-1506.48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29.06.2026</v>
      </c>
      <c r="B43" s="5">
        <v>26</v>
      </c>
      <c r="C43" s="5" t="s">
        <v>92</v>
      </c>
      <c r="D43" s="3">
        <v>13.84</v>
      </c>
      <c r="E43" s="3">
        <v>14.059900000000001</v>
      </c>
      <c r="F43" s="6">
        <f t="shared" si="0"/>
        <v>0.21990000000000087</v>
      </c>
      <c r="G43" s="6">
        <f t="shared" si="1"/>
        <v>1.5888728323699485E-2</v>
      </c>
      <c r="H43" s="6" t="str">
        <f t="shared" si="2"/>
        <v>🟢 Over-injection</v>
      </c>
      <c r="I43" s="6">
        <f t="shared" si="3"/>
        <v>-0.21990000000000087</v>
      </c>
      <c r="J43" s="3">
        <v>10</v>
      </c>
      <c r="K43" s="6">
        <f t="shared" si="4"/>
        <v>2.0760000000000001</v>
      </c>
      <c r="L43" s="6">
        <f t="shared" si="5"/>
        <v>2.7680000000000002</v>
      </c>
      <c r="M43" s="6">
        <f t="shared" si="6"/>
        <v>0.21990000000000087</v>
      </c>
      <c r="N43" s="6">
        <f t="shared" si="7"/>
        <v>0</v>
      </c>
      <c r="O43" s="6">
        <f t="shared" si="8"/>
        <v>0</v>
      </c>
      <c r="P43" s="6">
        <f t="shared" si="9"/>
        <v>-439.80000000000177</v>
      </c>
      <c r="Q43" s="3">
        <v>-439.8</v>
      </c>
      <c r="R43" s="6">
        <f t="shared" si="10"/>
        <v>-1.7621459846850485E-12</v>
      </c>
      <c r="S43" s="6" t="str">
        <f t="shared" si="11"/>
        <v>OK</v>
      </c>
    </row>
    <row r="44" spans="1:19" x14ac:dyDescent="0.25">
      <c r="A44" s="3" t="str">
        <f t="shared" si="12"/>
        <v>29.06.2026</v>
      </c>
      <c r="B44" s="5">
        <v>27</v>
      </c>
      <c r="C44" s="5" t="s">
        <v>91</v>
      </c>
      <c r="D44" s="3">
        <v>13.85</v>
      </c>
      <c r="E44" s="3">
        <v>14.07124</v>
      </c>
      <c r="F44" s="6">
        <f t="shared" si="0"/>
        <v>0.22123999999999988</v>
      </c>
      <c r="G44" s="6">
        <f t="shared" si="1"/>
        <v>1.5974007220216597E-2</v>
      </c>
      <c r="H44" s="6" t="str">
        <f t="shared" si="2"/>
        <v>🟢 Over-injection</v>
      </c>
      <c r="I44" s="6">
        <f t="shared" si="3"/>
        <v>-0.22123999999999988</v>
      </c>
      <c r="J44" s="3">
        <v>10</v>
      </c>
      <c r="K44" s="6">
        <f t="shared" si="4"/>
        <v>2.0774999999999997</v>
      </c>
      <c r="L44" s="6">
        <f t="shared" si="5"/>
        <v>2.77</v>
      </c>
      <c r="M44" s="6">
        <f t="shared" si="6"/>
        <v>0.22123999999999988</v>
      </c>
      <c r="N44" s="6">
        <f t="shared" si="7"/>
        <v>0</v>
      </c>
      <c r="O44" s="6">
        <f t="shared" si="8"/>
        <v>0</v>
      </c>
      <c r="P44" s="6">
        <f t="shared" si="9"/>
        <v>-442.47999999999979</v>
      </c>
      <c r="Q44" s="3">
        <v>-442.47999999999996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29.06.2026</v>
      </c>
      <c r="B45" s="5">
        <v>28</v>
      </c>
      <c r="C45" s="5" t="s">
        <v>90</v>
      </c>
      <c r="D45" s="3">
        <v>13.84</v>
      </c>
      <c r="E45" s="3">
        <v>14.07124</v>
      </c>
      <c r="F45" s="6">
        <f t="shared" si="0"/>
        <v>0.23123999999999967</v>
      </c>
      <c r="G45" s="6">
        <f t="shared" si="1"/>
        <v>1.6708092485549109E-2</v>
      </c>
      <c r="H45" s="6" t="str">
        <f t="shared" si="2"/>
        <v>🟢 Over-injection</v>
      </c>
      <c r="I45" s="6">
        <f t="shared" si="3"/>
        <v>-0.23123999999999967</v>
      </c>
      <c r="J45" s="3">
        <v>10</v>
      </c>
      <c r="K45" s="6">
        <f t="shared" si="4"/>
        <v>2.0760000000000001</v>
      </c>
      <c r="L45" s="6">
        <f t="shared" si="5"/>
        <v>2.7680000000000002</v>
      </c>
      <c r="M45" s="6">
        <f t="shared" si="6"/>
        <v>0.23123999999999967</v>
      </c>
      <c r="N45" s="6">
        <f t="shared" si="7"/>
        <v>0</v>
      </c>
      <c r="O45" s="6">
        <f t="shared" si="8"/>
        <v>0</v>
      </c>
      <c r="P45" s="6">
        <f t="shared" si="9"/>
        <v>-462.47999999999934</v>
      </c>
      <c r="Q45" s="3">
        <v>-462.48</v>
      </c>
      <c r="R45" s="6">
        <f t="shared" si="10"/>
        <v>6.8212102632969618E-13</v>
      </c>
      <c r="S45" s="6" t="str">
        <f t="shared" si="11"/>
        <v>OK</v>
      </c>
    </row>
    <row r="46" spans="1:19" x14ac:dyDescent="0.25">
      <c r="A46" s="3" t="str">
        <f t="shared" si="12"/>
        <v>29.06.2026</v>
      </c>
      <c r="B46" s="5">
        <v>29</v>
      </c>
      <c r="C46" s="5" t="s">
        <v>89</v>
      </c>
      <c r="D46" s="3">
        <v>13.9</v>
      </c>
      <c r="E46" s="3">
        <v>14.07124</v>
      </c>
      <c r="F46" s="6">
        <f t="shared" si="0"/>
        <v>0.17123999999999917</v>
      </c>
      <c r="G46" s="6">
        <f t="shared" si="1"/>
        <v>1.2319424460431595E-2</v>
      </c>
      <c r="H46" s="6" t="str">
        <f t="shared" si="2"/>
        <v>🟢 Over-injection</v>
      </c>
      <c r="I46" s="6">
        <f t="shared" si="3"/>
        <v>-0.17123999999999917</v>
      </c>
      <c r="J46" s="3">
        <v>5.6486999999999998</v>
      </c>
      <c r="K46" s="6">
        <f t="shared" si="4"/>
        <v>2.085</v>
      </c>
      <c r="L46" s="6">
        <f t="shared" si="5"/>
        <v>2.7800000000000002</v>
      </c>
      <c r="M46" s="6">
        <f t="shared" si="6"/>
        <v>0.17123999999999917</v>
      </c>
      <c r="N46" s="6">
        <f t="shared" si="7"/>
        <v>0</v>
      </c>
      <c r="O46" s="6">
        <f t="shared" si="8"/>
        <v>0</v>
      </c>
      <c r="P46" s="6">
        <f t="shared" si="9"/>
        <v>-193.45667759999904</v>
      </c>
      <c r="Q46" s="3">
        <v>-193.45667759999998</v>
      </c>
      <c r="R46" s="6">
        <f t="shared" si="10"/>
        <v>9.3791641120333225E-13</v>
      </c>
      <c r="S46" s="6" t="str">
        <f t="shared" si="11"/>
        <v>OK</v>
      </c>
    </row>
    <row r="47" spans="1:19" x14ac:dyDescent="0.25">
      <c r="A47" s="3" t="str">
        <f t="shared" si="12"/>
        <v>29.06.2026</v>
      </c>
      <c r="B47" s="5">
        <v>30</v>
      </c>
      <c r="C47" s="5" t="s">
        <v>88</v>
      </c>
      <c r="D47" s="3">
        <v>13.9</v>
      </c>
      <c r="E47" s="3">
        <v>14.07124</v>
      </c>
      <c r="F47" s="6">
        <f t="shared" si="0"/>
        <v>0.17123999999999917</v>
      </c>
      <c r="G47" s="6">
        <f t="shared" si="1"/>
        <v>1.2319424460431595E-2</v>
      </c>
      <c r="H47" s="6" t="str">
        <f t="shared" si="2"/>
        <v>🟢 Over-injection</v>
      </c>
      <c r="I47" s="6">
        <f t="shared" si="3"/>
        <v>-0.17123999999999917</v>
      </c>
      <c r="J47" s="3">
        <v>4.3927999999999994</v>
      </c>
      <c r="K47" s="6">
        <f t="shared" si="4"/>
        <v>2.085</v>
      </c>
      <c r="L47" s="6">
        <f t="shared" si="5"/>
        <v>2.7800000000000002</v>
      </c>
      <c r="M47" s="6">
        <f t="shared" si="6"/>
        <v>0.17123999999999917</v>
      </c>
      <c r="N47" s="6">
        <f t="shared" si="7"/>
        <v>0</v>
      </c>
      <c r="O47" s="6">
        <f t="shared" si="8"/>
        <v>0</v>
      </c>
      <c r="P47" s="6">
        <f t="shared" si="9"/>
        <v>-150.44461439999927</v>
      </c>
      <c r="Q47" s="3">
        <v>-150.44461439999998</v>
      </c>
      <c r="R47" s="6">
        <f t="shared" si="10"/>
        <v>7.1054273576010019E-13</v>
      </c>
      <c r="S47" s="6" t="str">
        <f t="shared" si="11"/>
        <v>OK</v>
      </c>
    </row>
    <row r="48" spans="1:19" x14ac:dyDescent="0.25">
      <c r="A48" s="3" t="str">
        <f t="shared" si="12"/>
        <v>29.06.2026</v>
      </c>
      <c r="B48" s="5">
        <v>31</v>
      </c>
      <c r="C48" s="5" t="s">
        <v>87</v>
      </c>
      <c r="D48" s="3">
        <v>13.9</v>
      </c>
      <c r="E48" s="3">
        <v>14.07124</v>
      </c>
      <c r="F48" s="6">
        <f t="shared" si="0"/>
        <v>0.17123999999999917</v>
      </c>
      <c r="G48" s="6">
        <f t="shared" si="1"/>
        <v>1.2319424460431595E-2</v>
      </c>
      <c r="H48" s="6" t="str">
        <f t="shared" si="2"/>
        <v>🟢 Over-injection</v>
      </c>
      <c r="I48" s="6">
        <f t="shared" si="3"/>
        <v>-0.17123999999999917</v>
      </c>
      <c r="J48" s="3">
        <v>3.7058999999999997</v>
      </c>
      <c r="K48" s="6">
        <f t="shared" si="4"/>
        <v>2.085</v>
      </c>
      <c r="L48" s="6">
        <f t="shared" si="5"/>
        <v>2.7800000000000002</v>
      </c>
      <c r="M48" s="6">
        <f t="shared" si="6"/>
        <v>0.17123999999999917</v>
      </c>
      <c r="N48" s="6">
        <f t="shared" si="7"/>
        <v>0</v>
      </c>
      <c r="O48" s="6">
        <f t="shared" si="8"/>
        <v>0</v>
      </c>
      <c r="P48" s="6">
        <f t="shared" si="9"/>
        <v>-126.91966319999936</v>
      </c>
      <c r="Q48" s="3">
        <v>-126.9196632</v>
      </c>
      <c r="R48" s="6">
        <f t="shared" si="10"/>
        <v>6.3948846218409017E-13</v>
      </c>
      <c r="S48" s="6" t="str">
        <f t="shared" si="11"/>
        <v>OK</v>
      </c>
    </row>
    <row r="49" spans="1:19" x14ac:dyDescent="0.25">
      <c r="A49" s="3" t="str">
        <f t="shared" si="12"/>
        <v>29.06.2026</v>
      </c>
      <c r="B49" s="5">
        <v>32</v>
      </c>
      <c r="C49" s="5" t="s">
        <v>86</v>
      </c>
      <c r="D49" s="3">
        <v>13.9</v>
      </c>
      <c r="E49" s="3">
        <v>14.07124</v>
      </c>
      <c r="F49" s="6">
        <f t="shared" si="0"/>
        <v>0.17123999999999917</v>
      </c>
      <c r="G49" s="6">
        <f t="shared" si="1"/>
        <v>1.2319424460431595E-2</v>
      </c>
      <c r="H49" s="6" t="str">
        <f t="shared" si="2"/>
        <v>🟢 Over-injection</v>
      </c>
      <c r="I49" s="6">
        <f t="shared" si="3"/>
        <v>-0.17123999999999917</v>
      </c>
      <c r="J49" s="3">
        <v>3.4020999999999999</v>
      </c>
      <c r="K49" s="6">
        <f t="shared" si="4"/>
        <v>2.085</v>
      </c>
      <c r="L49" s="6">
        <f t="shared" si="5"/>
        <v>2.7800000000000002</v>
      </c>
      <c r="M49" s="6">
        <f t="shared" si="6"/>
        <v>0.17123999999999917</v>
      </c>
      <c r="N49" s="6">
        <f t="shared" si="7"/>
        <v>0</v>
      </c>
      <c r="O49" s="6">
        <f t="shared" si="8"/>
        <v>0</v>
      </c>
      <c r="P49" s="6">
        <f t="shared" si="9"/>
        <v>-116.51512079999942</v>
      </c>
      <c r="Q49" s="3">
        <v>-116.51512080000001</v>
      </c>
      <c r="R49" s="6">
        <f t="shared" si="10"/>
        <v>5.8264504332328215E-13</v>
      </c>
      <c r="S49" s="6" t="str">
        <f t="shared" si="11"/>
        <v>OK</v>
      </c>
    </row>
    <row r="50" spans="1:19" x14ac:dyDescent="0.25">
      <c r="A50" s="3" t="str">
        <f t="shared" si="12"/>
        <v>29.06.2026</v>
      </c>
      <c r="B50" s="5">
        <v>33</v>
      </c>
      <c r="C50" s="5" t="s">
        <v>85</v>
      </c>
      <c r="D50" s="3">
        <v>12.9</v>
      </c>
      <c r="E50" s="3">
        <v>13.25421</v>
      </c>
      <c r="F50" s="6">
        <f t="shared" si="0"/>
        <v>0.35421000000000014</v>
      </c>
      <c r="G50" s="6">
        <f t="shared" si="1"/>
        <v>2.7458139534883731E-2</v>
      </c>
      <c r="H50" s="6" t="str">
        <f t="shared" si="2"/>
        <v>🟢 Over-injection</v>
      </c>
      <c r="I50" s="6">
        <f t="shared" si="3"/>
        <v>-0.35421000000000014</v>
      </c>
      <c r="J50" s="3">
        <v>3.2101999999999999</v>
      </c>
      <c r="K50" s="6">
        <f t="shared" si="4"/>
        <v>1.9350000000000001</v>
      </c>
      <c r="L50" s="6">
        <f t="shared" si="5"/>
        <v>2.58</v>
      </c>
      <c r="M50" s="6">
        <f t="shared" si="6"/>
        <v>0.35421000000000014</v>
      </c>
      <c r="N50" s="6">
        <f t="shared" si="7"/>
        <v>0</v>
      </c>
      <c r="O50" s="6">
        <f t="shared" si="8"/>
        <v>0</v>
      </c>
      <c r="P50" s="6">
        <f t="shared" si="9"/>
        <v>-227.41698840000009</v>
      </c>
      <c r="Q50" s="3">
        <v>-227.41698840000004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29.06.2026</v>
      </c>
      <c r="B51" s="5">
        <v>34</v>
      </c>
      <c r="C51" s="5" t="s">
        <v>84</v>
      </c>
      <c r="D51" s="3">
        <v>12.9</v>
      </c>
      <c r="E51" s="3">
        <v>13.07264</v>
      </c>
      <c r="F51" s="6">
        <f t="shared" si="0"/>
        <v>0.17263999999999946</v>
      </c>
      <c r="G51" s="6">
        <f t="shared" si="1"/>
        <v>1.3382945736434067E-2</v>
      </c>
      <c r="H51" s="6" t="str">
        <f t="shared" si="2"/>
        <v>🟢 Over-injection</v>
      </c>
      <c r="I51" s="6">
        <f t="shared" si="3"/>
        <v>-0.17263999999999946</v>
      </c>
      <c r="J51" s="3">
        <v>2.8963000000000001</v>
      </c>
      <c r="K51" s="6">
        <f t="shared" si="4"/>
        <v>1.9350000000000001</v>
      </c>
      <c r="L51" s="6">
        <f t="shared" si="5"/>
        <v>2.58</v>
      </c>
      <c r="M51" s="6">
        <f t="shared" si="6"/>
        <v>0.17263999999999946</v>
      </c>
      <c r="N51" s="6">
        <f t="shared" si="7"/>
        <v>0</v>
      </c>
      <c r="O51" s="6">
        <f t="shared" si="8"/>
        <v>0</v>
      </c>
      <c r="P51" s="6">
        <f t="shared" si="9"/>
        <v>-100.00344639999969</v>
      </c>
      <c r="Q51" s="3">
        <v>-100.00344639999999</v>
      </c>
      <c r="R51" s="6">
        <f t="shared" si="10"/>
        <v>2.9842794901924208E-13</v>
      </c>
      <c r="S51" s="6" t="str">
        <f t="shared" si="11"/>
        <v>OK</v>
      </c>
    </row>
    <row r="52" spans="1:19" x14ac:dyDescent="0.25">
      <c r="A52" s="3" t="str">
        <f t="shared" si="12"/>
        <v>29.06.2026</v>
      </c>
      <c r="B52" s="5">
        <v>35</v>
      </c>
      <c r="C52" s="5" t="s">
        <v>83</v>
      </c>
      <c r="D52" s="3">
        <v>12.9</v>
      </c>
      <c r="E52" s="3">
        <v>13.08398</v>
      </c>
      <c r="F52" s="6">
        <f t="shared" si="0"/>
        <v>0.18398000000000003</v>
      </c>
      <c r="G52" s="6">
        <f t="shared" si="1"/>
        <v>1.4262015503875972E-2</v>
      </c>
      <c r="H52" s="6" t="str">
        <f t="shared" si="2"/>
        <v>🟢 Over-injection</v>
      </c>
      <c r="I52" s="6">
        <f t="shared" si="3"/>
        <v>-0.18398000000000003</v>
      </c>
      <c r="J52" s="3">
        <v>2.6552999999999995</v>
      </c>
      <c r="K52" s="6">
        <f t="shared" si="4"/>
        <v>1.9350000000000001</v>
      </c>
      <c r="L52" s="6">
        <f t="shared" si="5"/>
        <v>2.58</v>
      </c>
      <c r="M52" s="6">
        <f t="shared" si="6"/>
        <v>0.18398000000000003</v>
      </c>
      <c r="N52" s="6">
        <f t="shared" si="7"/>
        <v>0</v>
      </c>
      <c r="O52" s="6">
        <f t="shared" si="8"/>
        <v>0</v>
      </c>
      <c r="P52" s="6">
        <f t="shared" si="9"/>
        <v>-97.704418800000013</v>
      </c>
      <c r="Q52" s="3">
        <v>-97.704418799999999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29.06.2026</v>
      </c>
      <c r="B53" s="5">
        <v>36</v>
      </c>
      <c r="C53" s="5" t="s">
        <v>82</v>
      </c>
      <c r="D53" s="3">
        <v>12.9</v>
      </c>
      <c r="E53" s="3">
        <v>13.08398</v>
      </c>
      <c r="F53" s="6">
        <f t="shared" si="0"/>
        <v>0.18398000000000003</v>
      </c>
      <c r="G53" s="6">
        <f t="shared" si="1"/>
        <v>1.4262015503875972E-2</v>
      </c>
      <c r="H53" s="6" t="str">
        <f t="shared" si="2"/>
        <v>🟢 Over-injection</v>
      </c>
      <c r="I53" s="6">
        <f t="shared" si="3"/>
        <v>-0.18398000000000003</v>
      </c>
      <c r="J53" s="3">
        <v>2.3588999999999998</v>
      </c>
      <c r="K53" s="6">
        <f t="shared" si="4"/>
        <v>1.9350000000000001</v>
      </c>
      <c r="L53" s="6">
        <f t="shared" si="5"/>
        <v>2.58</v>
      </c>
      <c r="M53" s="6">
        <f t="shared" si="6"/>
        <v>0.18398000000000003</v>
      </c>
      <c r="N53" s="6">
        <f t="shared" si="7"/>
        <v>0</v>
      </c>
      <c r="O53" s="6">
        <f t="shared" si="8"/>
        <v>0</v>
      </c>
      <c r="P53" s="6">
        <f t="shared" si="9"/>
        <v>-86.798084400000022</v>
      </c>
      <c r="Q53" s="3">
        <v>-86.798084400000008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29.06.2026</v>
      </c>
      <c r="B54" s="5">
        <v>37</v>
      </c>
      <c r="C54" s="5" t="s">
        <v>81</v>
      </c>
      <c r="D54" s="3">
        <v>12.9</v>
      </c>
      <c r="E54" s="3">
        <v>13.095330000000001</v>
      </c>
      <c r="F54" s="6">
        <f t="shared" si="0"/>
        <v>0.19533000000000023</v>
      </c>
      <c r="G54" s="6">
        <f t="shared" si="1"/>
        <v>1.5141860465116296E-2</v>
      </c>
      <c r="H54" s="6" t="str">
        <f t="shared" si="2"/>
        <v>🟢 Over-injection</v>
      </c>
      <c r="I54" s="6">
        <f t="shared" si="3"/>
        <v>-0.19533000000000023</v>
      </c>
      <c r="J54" s="3">
        <v>2.1909999999999998</v>
      </c>
      <c r="K54" s="6">
        <f t="shared" si="4"/>
        <v>1.9350000000000001</v>
      </c>
      <c r="L54" s="6">
        <f t="shared" si="5"/>
        <v>2.58</v>
      </c>
      <c r="M54" s="6">
        <f t="shared" si="6"/>
        <v>0.19533000000000023</v>
      </c>
      <c r="N54" s="6">
        <f t="shared" si="7"/>
        <v>0</v>
      </c>
      <c r="O54" s="6">
        <f t="shared" si="8"/>
        <v>0</v>
      </c>
      <c r="P54" s="6">
        <f t="shared" si="9"/>
        <v>-85.593606000000079</v>
      </c>
      <c r="Q54" s="3">
        <v>-85.593606000000008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29.06.2026</v>
      </c>
      <c r="B55" s="5">
        <v>38</v>
      </c>
      <c r="C55" s="5" t="s">
        <v>80</v>
      </c>
      <c r="D55" s="3">
        <v>12.9</v>
      </c>
      <c r="E55" s="3">
        <v>13.095330000000001</v>
      </c>
      <c r="F55" s="6">
        <f t="shared" si="0"/>
        <v>0.19533000000000023</v>
      </c>
      <c r="G55" s="6">
        <f t="shared" si="1"/>
        <v>1.5141860465116296E-2</v>
      </c>
      <c r="H55" s="6" t="str">
        <f t="shared" si="2"/>
        <v>🟢 Over-injection</v>
      </c>
      <c r="I55" s="6">
        <f t="shared" si="3"/>
        <v>-0.19533000000000023</v>
      </c>
      <c r="J55" s="3">
        <v>2.0558000000000001</v>
      </c>
      <c r="K55" s="6">
        <f t="shared" si="4"/>
        <v>1.9350000000000001</v>
      </c>
      <c r="L55" s="6">
        <f t="shared" si="5"/>
        <v>2.58</v>
      </c>
      <c r="M55" s="6">
        <f t="shared" si="6"/>
        <v>0.19533000000000023</v>
      </c>
      <c r="N55" s="6">
        <f t="shared" si="7"/>
        <v>0</v>
      </c>
      <c r="O55" s="6">
        <f t="shared" si="8"/>
        <v>0</v>
      </c>
      <c r="P55" s="6">
        <f t="shared" si="9"/>
        <v>-80.311882800000092</v>
      </c>
      <c r="Q55" s="3">
        <v>-80.311882800000006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29.06.2026</v>
      </c>
      <c r="B56" s="5">
        <v>39</v>
      </c>
      <c r="C56" s="5" t="s">
        <v>79</v>
      </c>
      <c r="D56" s="3">
        <v>12.9</v>
      </c>
      <c r="E56" s="3">
        <v>13.106680000000001</v>
      </c>
      <c r="F56" s="6">
        <f t="shared" si="0"/>
        <v>0.20668000000000042</v>
      </c>
      <c r="G56" s="6">
        <f t="shared" si="1"/>
        <v>1.6021705426356621E-2</v>
      </c>
      <c r="H56" s="6" t="str">
        <f t="shared" si="2"/>
        <v>🟢 Over-injection</v>
      </c>
      <c r="I56" s="6">
        <f t="shared" si="3"/>
        <v>-0.20668000000000042</v>
      </c>
      <c r="J56" s="3">
        <v>1.9113999999999998</v>
      </c>
      <c r="K56" s="6">
        <f t="shared" si="4"/>
        <v>1.9350000000000001</v>
      </c>
      <c r="L56" s="6">
        <f t="shared" si="5"/>
        <v>2.58</v>
      </c>
      <c r="M56" s="6">
        <f t="shared" si="6"/>
        <v>0.20668000000000042</v>
      </c>
      <c r="N56" s="6">
        <f t="shared" si="7"/>
        <v>0</v>
      </c>
      <c r="O56" s="6">
        <f t="shared" si="8"/>
        <v>0</v>
      </c>
      <c r="P56" s="6">
        <f t="shared" si="9"/>
        <v>-79.009630400000162</v>
      </c>
      <c r="Q56" s="3">
        <v>-79.009630399999992</v>
      </c>
      <c r="R56" s="6">
        <f t="shared" si="10"/>
        <v>-1.7053025658242404E-13</v>
      </c>
      <c r="S56" s="6" t="str">
        <f t="shared" si="11"/>
        <v>OK</v>
      </c>
    </row>
    <row r="57" spans="1:19" x14ac:dyDescent="0.25">
      <c r="A57" s="3" t="str">
        <f t="shared" si="12"/>
        <v>29.06.2026</v>
      </c>
      <c r="B57" s="5">
        <v>40</v>
      </c>
      <c r="C57" s="5" t="s">
        <v>78</v>
      </c>
      <c r="D57" s="3">
        <v>12.9</v>
      </c>
      <c r="E57" s="3">
        <v>13.106680000000001</v>
      </c>
      <c r="F57" s="6">
        <f t="shared" si="0"/>
        <v>0.20668000000000042</v>
      </c>
      <c r="G57" s="6">
        <f t="shared" si="1"/>
        <v>1.6021705426356621E-2</v>
      </c>
      <c r="H57" s="6" t="str">
        <f t="shared" si="2"/>
        <v>🟢 Over-injection</v>
      </c>
      <c r="I57" s="6">
        <f t="shared" si="3"/>
        <v>-0.20668000000000042</v>
      </c>
      <c r="J57" s="3">
        <v>1.8641999999999999</v>
      </c>
      <c r="K57" s="6">
        <f t="shared" si="4"/>
        <v>1.9350000000000001</v>
      </c>
      <c r="L57" s="6">
        <f t="shared" si="5"/>
        <v>2.58</v>
      </c>
      <c r="M57" s="6">
        <f t="shared" si="6"/>
        <v>0.20668000000000042</v>
      </c>
      <c r="N57" s="6">
        <f t="shared" si="7"/>
        <v>0</v>
      </c>
      <c r="O57" s="6">
        <f t="shared" si="8"/>
        <v>0</v>
      </c>
      <c r="P57" s="6">
        <f t="shared" si="9"/>
        <v>-77.058571200000159</v>
      </c>
      <c r="Q57" s="3">
        <v>-77.058571199999989</v>
      </c>
      <c r="R57" s="6">
        <f t="shared" si="10"/>
        <v>-1.7053025658242404E-13</v>
      </c>
      <c r="S57" s="6" t="str">
        <f t="shared" si="11"/>
        <v>OK</v>
      </c>
    </row>
    <row r="58" spans="1:19" x14ac:dyDescent="0.25">
      <c r="A58" s="3" t="str">
        <f t="shared" si="12"/>
        <v>29.06.2026</v>
      </c>
      <c r="B58" s="5">
        <v>41</v>
      </c>
      <c r="C58" s="5" t="s">
        <v>77</v>
      </c>
      <c r="D58" s="3">
        <v>12.9</v>
      </c>
      <c r="E58" s="3">
        <v>13.118029999999999</v>
      </c>
      <c r="F58" s="6">
        <f t="shared" si="0"/>
        <v>0.21802999999999884</v>
      </c>
      <c r="G58" s="6">
        <f t="shared" si="1"/>
        <v>1.690155038759681E-2</v>
      </c>
      <c r="H58" s="6" t="str">
        <f t="shared" si="2"/>
        <v>🟢 Over-injection</v>
      </c>
      <c r="I58" s="6">
        <f t="shared" si="3"/>
        <v>-0.21802999999999884</v>
      </c>
      <c r="J58" s="3">
        <v>1.6340000000000001</v>
      </c>
      <c r="K58" s="6">
        <f t="shared" si="4"/>
        <v>1.9350000000000001</v>
      </c>
      <c r="L58" s="6">
        <f t="shared" si="5"/>
        <v>2.58</v>
      </c>
      <c r="M58" s="6">
        <f t="shared" si="6"/>
        <v>0.21802999999999884</v>
      </c>
      <c r="N58" s="6">
        <f t="shared" si="7"/>
        <v>0</v>
      </c>
      <c r="O58" s="6">
        <f t="shared" si="8"/>
        <v>0</v>
      </c>
      <c r="P58" s="6">
        <f t="shared" si="9"/>
        <v>-71.252203999999622</v>
      </c>
      <c r="Q58" s="3">
        <v>-71.25220400000002</v>
      </c>
      <c r="R58" s="6">
        <f t="shared" si="10"/>
        <v>3.979039320256561E-13</v>
      </c>
      <c r="S58" s="6" t="str">
        <f t="shared" si="11"/>
        <v>OK</v>
      </c>
    </row>
    <row r="59" spans="1:19" x14ac:dyDescent="0.25">
      <c r="A59" s="3" t="str">
        <f t="shared" si="12"/>
        <v>29.06.2026</v>
      </c>
      <c r="B59" s="5">
        <v>42</v>
      </c>
      <c r="C59" s="5" t="s">
        <v>76</v>
      </c>
      <c r="D59" s="3">
        <v>12.9</v>
      </c>
      <c r="E59" s="3">
        <v>13.106680000000001</v>
      </c>
      <c r="F59" s="6">
        <f t="shared" si="0"/>
        <v>0.20668000000000042</v>
      </c>
      <c r="G59" s="6">
        <f t="shared" si="1"/>
        <v>1.6021705426356621E-2</v>
      </c>
      <c r="H59" s="6" t="str">
        <f t="shared" si="2"/>
        <v>🟢 Over-injection</v>
      </c>
      <c r="I59" s="6">
        <f t="shared" si="3"/>
        <v>-0.20668000000000042</v>
      </c>
      <c r="J59" s="3">
        <v>1.6337000000000002</v>
      </c>
      <c r="K59" s="6">
        <f t="shared" si="4"/>
        <v>1.9350000000000001</v>
      </c>
      <c r="L59" s="6">
        <f t="shared" si="5"/>
        <v>2.58</v>
      </c>
      <c r="M59" s="6">
        <f t="shared" si="6"/>
        <v>0.20668000000000042</v>
      </c>
      <c r="N59" s="6">
        <f t="shared" si="7"/>
        <v>0</v>
      </c>
      <c r="O59" s="6">
        <f t="shared" si="8"/>
        <v>0</v>
      </c>
      <c r="P59" s="6">
        <f t="shared" si="9"/>
        <v>-67.53062320000015</v>
      </c>
      <c r="Q59" s="3">
        <v>-67.530623199999994</v>
      </c>
      <c r="R59" s="6">
        <f t="shared" si="10"/>
        <v>-1.5631940186722204E-13</v>
      </c>
      <c r="S59" s="6" t="str">
        <f t="shared" si="11"/>
        <v>OK</v>
      </c>
    </row>
    <row r="60" spans="1:19" x14ac:dyDescent="0.25">
      <c r="A60" s="3" t="str">
        <f t="shared" si="12"/>
        <v>29.06.2026</v>
      </c>
      <c r="B60" s="5">
        <v>43</v>
      </c>
      <c r="C60" s="5" t="s">
        <v>75</v>
      </c>
      <c r="D60" s="3">
        <v>13.5</v>
      </c>
      <c r="E60" s="3">
        <v>13.481159999999999</v>
      </c>
      <c r="F60" s="6">
        <f t="shared" si="0"/>
        <v>-1.8840000000000856E-2</v>
      </c>
      <c r="G60" s="6">
        <f t="shared" si="1"/>
        <v>-1.395555555555619E-3</v>
      </c>
      <c r="H60" s="6" t="str">
        <f t="shared" si="2"/>
        <v>🔴 Under-injection</v>
      </c>
      <c r="I60" s="6">
        <f t="shared" si="3"/>
        <v>1.8840000000000856E-2</v>
      </c>
      <c r="J60" s="3">
        <v>1.5991</v>
      </c>
      <c r="K60" s="6">
        <f t="shared" si="4"/>
        <v>2.0249999999999999</v>
      </c>
      <c r="L60" s="6">
        <f t="shared" si="5"/>
        <v>2.7</v>
      </c>
      <c r="M60" s="6">
        <f t="shared" si="6"/>
        <v>1.8840000000000856E-2</v>
      </c>
      <c r="N60" s="6">
        <f t="shared" si="7"/>
        <v>0</v>
      </c>
      <c r="O60" s="6">
        <f t="shared" si="8"/>
        <v>0</v>
      </c>
      <c r="P60" s="6">
        <f t="shared" si="9"/>
        <v>7.9083490500003597</v>
      </c>
      <c r="Q60" s="3">
        <v>7.9083490499999991</v>
      </c>
      <c r="R60" s="6">
        <f t="shared" si="10"/>
        <v>3.6060043839825084E-13</v>
      </c>
      <c r="S60" s="6" t="str">
        <f t="shared" si="11"/>
        <v>OK</v>
      </c>
    </row>
    <row r="61" spans="1:19" x14ac:dyDescent="0.25">
      <c r="A61" s="3" t="str">
        <f t="shared" si="12"/>
        <v>29.06.2026</v>
      </c>
      <c r="B61" s="5">
        <v>44</v>
      </c>
      <c r="C61" s="5" t="s">
        <v>74</v>
      </c>
      <c r="D61" s="3">
        <v>13.5</v>
      </c>
      <c r="E61" s="3">
        <v>13.560600000000001</v>
      </c>
      <c r="F61" s="6">
        <f t="shared" si="0"/>
        <v>6.0600000000000875E-2</v>
      </c>
      <c r="G61" s="6">
        <f t="shared" si="1"/>
        <v>4.4888888888889537E-3</v>
      </c>
      <c r="H61" s="6" t="str">
        <f t="shared" si="2"/>
        <v>🟢 Over-injection</v>
      </c>
      <c r="I61" s="6">
        <f t="shared" si="3"/>
        <v>-6.0600000000000875E-2</v>
      </c>
      <c r="J61" s="3">
        <v>1.5502</v>
      </c>
      <c r="K61" s="6">
        <f t="shared" si="4"/>
        <v>2.0249999999999999</v>
      </c>
      <c r="L61" s="6">
        <f t="shared" si="5"/>
        <v>2.7</v>
      </c>
      <c r="M61" s="6">
        <f t="shared" si="6"/>
        <v>6.0600000000000875E-2</v>
      </c>
      <c r="N61" s="6">
        <f t="shared" si="7"/>
        <v>0</v>
      </c>
      <c r="O61" s="6">
        <f t="shared" si="8"/>
        <v>0</v>
      </c>
      <c r="P61" s="6">
        <f t="shared" si="9"/>
        <v>-18.788424000000273</v>
      </c>
      <c r="Q61" s="3">
        <v>-18.788424000000003</v>
      </c>
      <c r="R61" s="6">
        <f t="shared" si="10"/>
        <v>-2.7000623958883807E-13</v>
      </c>
      <c r="S61" s="6" t="str">
        <f t="shared" si="11"/>
        <v>OK</v>
      </c>
    </row>
    <row r="62" spans="1:19" x14ac:dyDescent="0.25">
      <c r="A62" s="3" t="str">
        <f t="shared" si="12"/>
        <v>29.06.2026</v>
      </c>
      <c r="B62" s="5">
        <v>45</v>
      </c>
      <c r="C62" s="5" t="s">
        <v>73</v>
      </c>
      <c r="D62" s="3">
        <v>13.5</v>
      </c>
      <c r="E62" s="3">
        <v>13.57194</v>
      </c>
      <c r="F62" s="6">
        <f t="shared" si="0"/>
        <v>7.1939999999999671E-2</v>
      </c>
      <c r="G62" s="6">
        <f t="shared" si="1"/>
        <v>5.3288888888888648E-3</v>
      </c>
      <c r="H62" s="6" t="str">
        <f t="shared" si="2"/>
        <v>🟢 Over-injection</v>
      </c>
      <c r="I62" s="6">
        <f t="shared" si="3"/>
        <v>-7.1939999999999671E-2</v>
      </c>
      <c r="J62" s="3">
        <v>1.5448</v>
      </c>
      <c r="K62" s="6">
        <f t="shared" si="4"/>
        <v>2.0249999999999999</v>
      </c>
      <c r="L62" s="6">
        <f t="shared" si="5"/>
        <v>2.7</v>
      </c>
      <c r="M62" s="6">
        <f t="shared" si="6"/>
        <v>7.1939999999999671E-2</v>
      </c>
      <c r="N62" s="6">
        <f t="shared" si="7"/>
        <v>0</v>
      </c>
      <c r="O62" s="6">
        <f t="shared" si="8"/>
        <v>0</v>
      </c>
      <c r="P62" s="6">
        <f t="shared" si="9"/>
        <v>-22.226582399999899</v>
      </c>
      <c r="Q62" s="3">
        <v>-22.226582400000005</v>
      </c>
      <c r="R62" s="6">
        <f t="shared" si="10"/>
        <v>1.0658141036401503E-13</v>
      </c>
      <c r="S62" s="6" t="str">
        <f t="shared" si="11"/>
        <v>OK</v>
      </c>
    </row>
    <row r="63" spans="1:19" x14ac:dyDescent="0.25">
      <c r="A63" s="3" t="str">
        <f t="shared" si="12"/>
        <v>29.06.2026</v>
      </c>
      <c r="B63" s="5">
        <v>46</v>
      </c>
      <c r="C63" s="5" t="s">
        <v>72</v>
      </c>
      <c r="D63" s="3">
        <v>13.5</v>
      </c>
      <c r="E63" s="3">
        <v>13.57194</v>
      </c>
      <c r="F63" s="6">
        <f t="shared" si="0"/>
        <v>7.1939999999999671E-2</v>
      </c>
      <c r="G63" s="6">
        <f t="shared" si="1"/>
        <v>5.3288888888888648E-3</v>
      </c>
      <c r="H63" s="6" t="str">
        <f t="shared" si="2"/>
        <v>🟢 Over-injection</v>
      </c>
      <c r="I63" s="6">
        <f t="shared" si="3"/>
        <v>-7.1939999999999671E-2</v>
      </c>
      <c r="J63" s="3">
        <v>1.5597000000000001</v>
      </c>
      <c r="K63" s="6">
        <f t="shared" si="4"/>
        <v>2.0249999999999999</v>
      </c>
      <c r="L63" s="6">
        <f t="shared" si="5"/>
        <v>2.7</v>
      </c>
      <c r="M63" s="6">
        <f t="shared" si="6"/>
        <v>7.1939999999999671E-2</v>
      </c>
      <c r="N63" s="6">
        <f t="shared" si="7"/>
        <v>0</v>
      </c>
      <c r="O63" s="6">
        <f t="shared" si="8"/>
        <v>0</v>
      </c>
      <c r="P63" s="6">
        <f t="shared" si="9"/>
        <v>-22.4409635999999</v>
      </c>
      <c r="Q63" s="3">
        <v>-22.440963600000007</v>
      </c>
      <c r="R63" s="6">
        <f t="shared" si="10"/>
        <v>1.0658141036401503E-13</v>
      </c>
      <c r="S63" s="6" t="str">
        <f t="shared" si="11"/>
        <v>OK</v>
      </c>
    </row>
    <row r="64" spans="1:19" x14ac:dyDescent="0.25">
      <c r="A64" s="3" t="str">
        <f t="shared" si="12"/>
        <v>29.06.2026</v>
      </c>
      <c r="B64" s="5">
        <v>47</v>
      </c>
      <c r="C64" s="5" t="s">
        <v>71</v>
      </c>
      <c r="D64" s="3">
        <v>13.5</v>
      </c>
      <c r="E64" s="3">
        <v>13.57194</v>
      </c>
      <c r="F64" s="6">
        <f t="shared" si="0"/>
        <v>7.1939999999999671E-2</v>
      </c>
      <c r="G64" s="6">
        <f t="shared" si="1"/>
        <v>5.3288888888888648E-3</v>
      </c>
      <c r="H64" s="6" t="str">
        <f t="shared" si="2"/>
        <v>🟢 Over-injection</v>
      </c>
      <c r="I64" s="6">
        <f t="shared" si="3"/>
        <v>-7.1939999999999671E-2</v>
      </c>
      <c r="J64" s="3">
        <v>1.6181000000000001</v>
      </c>
      <c r="K64" s="6">
        <f t="shared" si="4"/>
        <v>2.0249999999999999</v>
      </c>
      <c r="L64" s="6">
        <f t="shared" si="5"/>
        <v>2.7</v>
      </c>
      <c r="M64" s="6">
        <f t="shared" si="6"/>
        <v>7.1939999999999671E-2</v>
      </c>
      <c r="N64" s="6">
        <f t="shared" si="7"/>
        <v>0</v>
      </c>
      <c r="O64" s="6">
        <f t="shared" si="8"/>
        <v>0</v>
      </c>
      <c r="P64" s="6">
        <f t="shared" si="9"/>
        <v>-23.281222799999895</v>
      </c>
      <c r="Q64" s="3">
        <v>-23.281222800000002</v>
      </c>
      <c r="R64" s="6">
        <f t="shared" si="10"/>
        <v>1.0658141036401503E-13</v>
      </c>
      <c r="S64" s="6" t="str">
        <f t="shared" si="11"/>
        <v>OK</v>
      </c>
    </row>
    <row r="65" spans="1:19" x14ac:dyDescent="0.25">
      <c r="A65" s="3" t="str">
        <f t="shared" si="12"/>
        <v>29.06.2026</v>
      </c>
      <c r="B65" s="5">
        <v>48</v>
      </c>
      <c r="C65" s="5" t="s">
        <v>70</v>
      </c>
      <c r="D65" s="3">
        <v>13.5</v>
      </c>
      <c r="E65" s="3">
        <v>13.57194</v>
      </c>
      <c r="F65" s="6">
        <f t="shared" si="0"/>
        <v>7.1939999999999671E-2</v>
      </c>
      <c r="G65" s="6">
        <f t="shared" si="1"/>
        <v>5.3288888888888648E-3</v>
      </c>
      <c r="H65" s="6" t="str">
        <f t="shared" si="2"/>
        <v>🟢 Over-injection</v>
      </c>
      <c r="I65" s="6">
        <f t="shared" si="3"/>
        <v>-7.1939999999999671E-2</v>
      </c>
      <c r="J65" s="3">
        <v>1.7384999999999999</v>
      </c>
      <c r="K65" s="6">
        <f t="shared" si="4"/>
        <v>2.0249999999999999</v>
      </c>
      <c r="L65" s="6">
        <f t="shared" si="5"/>
        <v>2.7</v>
      </c>
      <c r="M65" s="6">
        <f t="shared" si="6"/>
        <v>7.1939999999999671E-2</v>
      </c>
      <c r="N65" s="6">
        <f t="shared" si="7"/>
        <v>0</v>
      </c>
      <c r="O65" s="6">
        <f t="shared" si="8"/>
        <v>0</v>
      </c>
      <c r="P65" s="6">
        <f t="shared" si="9"/>
        <v>-25.013537999999887</v>
      </c>
      <c r="Q65" s="3">
        <v>-25.013538</v>
      </c>
      <c r="R65" s="6">
        <f t="shared" si="10"/>
        <v>1.1368683772161603E-13</v>
      </c>
      <c r="S65" s="6" t="str">
        <f t="shared" si="11"/>
        <v>OK</v>
      </c>
    </row>
    <row r="66" spans="1:19" x14ac:dyDescent="0.25">
      <c r="A66" s="3" t="str">
        <f t="shared" si="12"/>
        <v>29.06.2026</v>
      </c>
      <c r="B66" s="5">
        <v>49</v>
      </c>
      <c r="C66" s="5" t="s">
        <v>69</v>
      </c>
      <c r="D66" s="3">
        <v>13.5</v>
      </c>
      <c r="E66" s="3">
        <v>13.58329</v>
      </c>
      <c r="F66" s="6">
        <f t="shared" si="0"/>
        <v>8.3289999999999864E-2</v>
      </c>
      <c r="G66" s="6">
        <f t="shared" si="1"/>
        <v>6.1696296296296195E-3</v>
      </c>
      <c r="H66" s="6" t="str">
        <f t="shared" si="2"/>
        <v>🟢 Over-injection</v>
      </c>
      <c r="I66" s="6">
        <f t="shared" si="3"/>
        <v>-8.3289999999999864E-2</v>
      </c>
      <c r="J66" s="3">
        <v>1.8158000000000001</v>
      </c>
      <c r="K66" s="6">
        <f t="shared" si="4"/>
        <v>2.0249999999999999</v>
      </c>
      <c r="L66" s="6">
        <f t="shared" si="5"/>
        <v>2.7</v>
      </c>
      <c r="M66" s="6">
        <f t="shared" si="6"/>
        <v>8.3289999999999864E-2</v>
      </c>
      <c r="N66" s="6">
        <f t="shared" si="7"/>
        <v>0</v>
      </c>
      <c r="O66" s="6">
        <f t="shared" si="8"/>
        <v>0</v>
      </c>
      <c r="P66" s="6">
        <f t="shared" si="9"/>
        <v>-30.247596399999956</v>
      </c>
      <c r="Q66" s="3">
        <v>-30.247596400000003</v>
      </c>
      <c r="R66" s="6">
        <f t="shared" si="10"/>
        <v>4.6185277824406512E-14</v>
      </c>
      <c r="S66" s="6" t="str">
        <f t="shared" si="11"/>
        <v>OK</v>
      </c>
    </row>
    <row r="67" spans="1:19" x14ac:dyDescent="0.25">
      <c r="A67" s="3" t="str">
        <f t="shared" si="12"/>
        <v>29.06.2026</v>
      </c>
      <c r="B67" s="5">
        <v>50</v>
      </c>
      <c r="C67" s="5" t="s">
        <v>68</v>
      </c>
      <c r="D67" s="3">
        <v>13.5</v>
      </c>
      <c r="E67" s="3">
        <v>13.57194</v>
      </c>
      <c r="F67" s="6">
        <f t="shared" si="0"/>
        <v>7.1939999999999671E-2</v>
      </c>
      <c r="G67" s="6">
        <f t="shared" si="1"/>
        <v>5.3288888888888648E-3</v>
      </c>
      <c r="H67" s="6" t="str">
        <f t="shared" si="2"/>
        <v>🟢 Over-injection</v>
      </c>
      <c r="I67" s="6">
        <f t="shared" si="3"/>
        <v>-7.1939999999999671E-2</v>
      </c>
      <c r="J67" s="3">
        <v>1.8244999999999998</v>
      </c>
      <c r="K67" s="6">
        <f t="shared" si="4"/>
        <v>2.0249999999999999</v>
      </c>
      <c r="L67" s="6">
        <f t="shared" si="5"/>
        <v>2.7</v>
      </c>
      <c r="M67" s="6">
        <f t="shared" si="6"/>
        <v>7.1939999999999671E-2</v>
      </c>
      <c r="N67" s="6">
        <f t="shared" si="7"/>
        <v>0</v>
      </c>
      <c r="O67" s="6">
        <f t="shared" si="8"/>
        <v>0</v>
      </c>
      <c r="P67" s="6">
        <f t="shared" si="9"/>
        <v>-26.25090599999988</v>
      </c>
      <c r="Q67" s="3">
        <v>-26.250906000000001</v>
      </c>
      <c r="R67" s="6">
        <f t="shared" si="10"/>
        <v>1.2079226507921703E-13</v>
      </c>
      <c r="S67" s="6" t="str">
        <f t="shared" si="11"/>
        <v>OK</v>
      </c>
    </row>
    <row r="68" spans="1:19" x14ac:dyDescent="0.25">
      <c r="A68" s="3" t="str">
        <f t="shared" si="12"/>
        <v>29.06.2026</v>
      </c>
      <c r="B68" s="5">
        <v>51</v>
      </c>
      <c r="C68" s="5" t="s">
        <v>67</v>
      </c>
      <c r="D68" s="3">
        <v>13.5</v>
      </c>
      <c r="E68" s="3">
        <v>13.57194</v>
      </c>
      <c r="F68" s="6">
        <f t="shared" si="0"/>
        <v>7.1939999999999671E-2</v>
      </c>
      <c r="G68" s="6">
        <f t="shared" si="1"/>
        <v>5.3288888888888648E-3</v>
      </c>
      <c r="H68" s="6" t="str">
        <f t="shared" si="2"/>
        <v>🟢 Over-injection</v>
      </c>
      <c r="I68" s="6">
        <f t="shared" si="3"/>
        <v>-7.1939999999999671E-2</v>
      </c>
      <c r="J68" s="3">
        <v>1.8378000000000001</v>
      </c>
      <c r="K68" s="6">
        <f t="shared" si="4"/>
        <v>2.0249999999999999</v>
      </c>
      <c r="L68" s="6">
        <f t="shared" si="5"/>
        <v>2.7</v>
      </c>
      <c r="M68" s="6">
        <f t="shared" si="6"/>
        <v>7.1939999999999671E-2</v>
      </c>
      <c r="N68" s="6">
        <f t="shared" si="7"/>
        <v>0</v>
      </c>
      <c r="O68" s="6">
        <f t="shared" si="8"/>
        <v>0</v>
      </c>
      <c r="P68" s="6">
        <f t="shared" si="9"/>
        <v>-26.442266399999884</v>
      </c>
      <c r="Q68" s="3">
        <v>-26.442266400000005</v>
      </c>
      <c r="R68" s="6">
        <f t="shared" si="10"/>
        <v>1.2079226507921703E-13</v>
      </c>
      <c r="S68" s="6" t="str">
        <f t="shared" si="11"/>
        <v>OK</v>
      </c>
    </row>
    <row r="69" spans="1:19" x14ac:dyDescent="0.25">
      <c r="A69" s="3" t="str">
        <f t="shared" si="12"/>
        <v>29.06.2026</v>
      </c>
      <c r="B69" s="5">
        <v>52</v>
      </c>
      <c r="C69" s="5" t="s">
        <v>66</v>
      </c>
      <c r="D69" s="3">
        <v>13.5</v>
      </c>
      <c r="E69" s="3">
        <v>13.57194</v>
      </c>
      <c r="F69" s="6">
        <f t="shared" si="0"/>
        <v>7.1939999999999671E-2</v>
      </c>
      <c r="G69" s="6">
        <f t="shared" si="1"/>
        <v>5.3288888888888648E-3</v>
      </c>
      <c r="H69" s="6" t="str">
        <f t="shared" si="2"/>
        <v>🟢 Over-injection</v>
      </c>
      <c r="I69" s="6">
        <f t="shared" si="3"/>
        <v>-7.1939999999999671E-2</v>
      </c>
      <c r="J69" s="3">
        <v>1.8969</v>
      </c>
      <c r="K69" s="6">
        <f t="shared" si="4"/>
        <v>2.0249999999999999</v>
      </c>
      <c r="L69" s="6">
        <f t="shared" si="5"/>
        <v>2.7</v>
      </c>
      <c r="M69" s="6">
        <f t="shared" si="6"/>
        <v>7.1939999999999671E-2</v>
      </c>
      <c r="N69" s="6">
        <f t="shared" si="7"/>
        <v>0</v>
      </c>
      <c r="O69" s="6">
        <f t="shared" si="8"/>
        <v>0</v>
      </c>
      <c r="P69" s="6">
        <f t="shared" si="9"/>
        <v>-27.292597199999879</v>
      </c>
      <c r="Q69" s="3">
        <v>-27.292597200000003</v>
      </c>
      <c r="R69" s="6">
        <f t="shared" si="10"/>
        <v>1.2434497875801753E-13</v>
      </c>
      <c r="S69" s="6" t="str">
        <f t="shared" si="11"/>
        <v>OK</v>
      </c>
    </row>
    <row r="70" spans="1:19" x14ac:dyDescent="0.25">
      <c r="A70" s="3" t="str">
        <f t="shared" si="12"/>
        <v>29.06.2026</v>
      </c>
      <c r="B70" s="5">
        <v>53</v>
      </c>
      <c r="C70" s="5" t="s">
        <v>65</v>
      </c>
      <c r="D70" s="3">
        <v>13.5</v>
      </c>
      <c r="E70" s="3">
        <v>13.57194</v>
      </c>
      <c r="F70" s="6">
        <f t="shared" si="0"/>
        <v>7.1939999999999671E-2</v>
      </c>
      <c r="G70" s="6">
        <f t="shared" si="1"/>
        <v>5.3288888888888648E-3</v>
      </c>
      <c r="H70" s="6" t="str">
        <f t="shared" si="2"/>
        <v>🟢 Over-injection</v>
      </c>
      <c r="I70" s="6">
        <f t="shared" si="3"/>
        <v>-7.1939999999999671E-2</v>
      </c>
      <c r="J70" s="3">
        <v>1.8171999999999999</v>
      </c>
      <c r="K70" s="6">
        <f t="shared" si="4"/>
        <v>2.0249999999999999</v>
      </c>
      <c r="L70" s="6">
        <f t="shared" si="5"/>
        <v>2.7</v>
      </c>
      <c r="M70" s="6">
        <f t="shared" si="6"/>
        <v>7.1939999999999671E-2</v>
      </c>
      <c r="N70" s="6">
        <f t="shared" si="7"/>
        <v>0</v>
      </c>
      <c r="O70" s="6">
        <f t="shared" si="8"/>
        <v>0</v>
      </c>
      <c r="P70" s="6">
        <f t="shared" si="9"/>
        <v>-26.145873599999884</v>
      </c>
      <c r="Q70" s="3">
        <v>-26.145873600000002</v>
      </c>
      <c r="R70" s="6">
        <f t="shared" si="10"/>
        <v>1.1723955140041653E-13</v>
      </c>
      <c r="S70" s="6" t="str">
        <f t="shared" si="11"/>
        <v>OK</v>
      </c>
    </row>
    <row r="71" spans="1:19" x14ac:dyDescent="0.25">
      <c r="A71" s="3" t="str">
        <f t="shared" si="12"/>
        <v>29.06.2026</v>
      </c>
      <c r="B71" s="5">
        <v>54</v>
      </c>
      <c r="C71" s="5" t="s">
        <v>64</v>
      </c>
      <c r="D71" s="3">
        <v>13.5</v>
      </c>
      <c r="E71" s="3">
        <v>13.58329</v>
      </c>
      <c r="F71" s="6">
        <f t="shared" si="0"/>
        <v>8.3289999999999864E-2</v>
      </c>
      <c r="G71" s="6">
        <f t="shared" si="1"/>
        <v>6.1696296296296195E-3</v>
      </c>
      <c r="H71" s="6" t="str">
        <f t="shared" si="2"/>
        <v>🟢 Over-injection</v>
      </c>
      <c r="I71" s="6">
        <f t="shared" si="3"/>
        <v>-8.3289999999999864E-2</v>
      </c>
      <c r="J71" s="3">
        <v>1.8325</v>
      </c>
      <c r="K71" s="6">
        <f t="shared" si="4"/>
        <v>2.0249999999999999</v>
      </c>
      <c r="L71" s="6">
        <f t="shared" si="5"/>
        <v>2.7</v>
      </c>
      <c r="M71" s="6">
        <f t="shared" si="6"/>
        <v>8.3289999999999864E-2</v>
      </c>
      <c r="N71" s="6">
        <f t="shared" si="7"/>
        <v>0</v>
      </c>
      <c r="O71" s="6">
        <f t="shared" si="8"/>
        <v>0</v>
      </c>
      <c r="P71" s="6">
        <f t="shared" si="9"/>
        <v>-30.525784999999953</v>
      </c>
      <c r="Q71" s="3">
        <v>-30.525785000000006</v>
      </c>
      <c r="R71" s="6">
        <f t="shared" si="10"/>
        <v>5.3290705182007514E-14</v>
      </c>
      <c r="S71" s="6" t="str">
        <f t="shared" si="11"/>
        <v>OK</v>
      </c>
    </row>
    <row r="72" spans="1:19" x14ac:dyDescent="0.25">
      <c r="A72" s="3" t="str">
        <f t="shared" si="12"/>
        <v>29.06.2026</v>
      </c>
      <c r="B72" s="5">
        <v>55</v>
      </c>
      <c r="C72" s="5" t="s">
        <v>63</v>
      </c>
      <c r="D72" s="3">
        <v>13.5</v>
      </c>
      <c r="E72" s="3">
        <v>13.58329</v>
      </c>
      <c r="F72" s="6">
        <f t="shared" si="0"/>
        <v>8.3289999999999864E-2</v>
      </c>
      <c r="G72" s="6">
        <f t="shared" si="1"/>
        <v>6.1696296296296195E-3</v>
      </c>
      <c r="H72" s="6" t="str">
        <f t="shared" si="2"/>
        <v>🟢 Over-injection</v>
      </c>
      <c r="I72" s="6">
        <f t="shared" si="3"/>
        <v>-8.3289999999999864E-2</v>
      </c>
      <c r="J72" s="3">
        <v>1.9868000000000001</v>
      </c>
      <c r="K72" s="6">
        <f t="shared" si="4"/>
        <v>2.0249999999999999</v>
      </c>
      <c r="L72" s="6">
        <f t="shared" si="5"/>
        <v>2.7</v>
      </c>
      <c r="M72" s="6">
        <f t="shared" si="6"/>
        <v>8.3289999999999864E-2</v>
      </c>
      <c r="N72" s="6">
        <f t="shared" si="7"/>
        <v>0</v>
      </c>
      <c r="O72" s="6">
        <f t="shared" si="8"/>
        <v>0</v>
      </c>
      <c r="P72" s="6">
        <f t="shared" si="9"/>
        <v>-33.096114399999955</v>
      </c>
      <c r="Q72" s="3">
        <v>-33.096114400000005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29.06.2026</v>
      </c>
      <c r="B73" s="5">
        <v>56</v>
      </c>
      <c r="C73" s="5" t="s">
        <v>62</v>
      </c>
      <c r="D73" s="3">
        <v>13.5</v>
      </c>
      <c r="E73" s="3">
        <v>13.58329</v>
      </c>
      <c r="F73" s="6">
        <f t="shared" si="0"/>
        <v>8.3289999999999864E-2</v>
      </c>
      <c r="G73" s="6">
        <f t="shared" si="1"/>
        <v>6.1696296296296195E-3</v>
      </c>
      <c r="H73" s="6" t="str">
        <f t="shared" si="2"/>
        <v>🟢 Over-injection</v>
      </c>
      <c r="I73" s="6">
        <f t="shared" si="3"/>
        <v>-8.3289999999999864E-2</v>
      </c>
      <c r="J73" s="3">
        <v>2.1186000000000003</v>
      </c>
      <c r="K73" s="6">
        <f t="shared" si="4"/>
        <v>2.0249999999999999</v>
      </c>
      <c r="L73" s="6">
        <f t="shared" si="5"/>
        <v>2.7</v>
      </c>
      <c r="M73" s="6">
        <f t="shared" si="6"/>
        <v>8.3289999999999864E-2</v>
      </c>
      <c r="N73" s="6">
        <f t="shared" si="7"/>
        <v>0</v>
      </c>
      <c r="O73" s="6">
        <f t="shared" si="8"/>
        <v>0</v>
      </c>
      <c r="P73" s="6">
        <f t="shared" si="9"/>
        <v>-35.291638799999951</v>
      </c>
      <c r="Q73" s="3">
        <v>-35.291638800000008</v>
      </c>
      <c r="R73" s="6">
        <f t="shared" si="10"/>
        <v>5.6843418860808015E-14</v>
      </c>
      <c r="S73" s="6" t="str">
        <f t="shared" si="11"/>
        <v>OK</v>
      </c>
    </row>
    <row r="74" spans="1:19" x14ac:dyDescent="0.25">
      <c r="A74" s="3" t="str">
        <f t="shared" si="12"/>
        <v>29.06.2026</v>
      </c>
      <c r="B74" s="5">
        <v>57</v>
      </c>
      <c r="C74" s="5" t="s">
        <v>61</v>
      </c>
      <c r="D74" s="3">
        <v>13.5</v>
      </c>
      <c r="E74" s="3">
        <v>13.59464</v>
      </c>
      <c r="F74" s="6">
        <f t="shared" si="0"/>
        <v>9.4640000000000057E-2</v>
      </c>
      <c r="G74" s="6">
        <f t="shared" si="1"/>
        <v>7.0103703703703743E-3</v>
      </c>
      <c r="H74" s="6" t="str">
        <f t="shared" si="2"/>
        <v>🟢 Over-injection</v>
      </c>
      <c r="I74" s="6">
        <f t="shared" si="3"/>
        <v>-9.4640000000000057E-2</v>
      </c>
      <c r="J74" s="3">
        <v>2.1492</v>
      </c>
      <c r="K74" s="6">
        <f t="shared" si="4"/>
        <v>2.0249999999999999</v>
      </c>
      <c r="L74" s="6">
        <f t="shared" si="5"/>
        <v>2.7</v>
      </c>
      <c r="M74" s="6">
        <f t="shared" si="6"/>
        <v>9.4640000000000057E-2</v>
      </c>
      <c r="N74" s="6">
        <f t="shared" si="7"/>
        <v>0</v>
      </c>
      <c r="O74" s="6">
        <f t="shared" si="8"/>
        <v>0</v>
      </c>
      <c r="P74" s="6">
        <f t="shared" si="9"/>
        <v>-40.680057600000026</v>
      </c>
      <c r="Q74" s="3">
        <v>-40.680057599999998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29.06.2026</v>
      </c>
      <c r="B75" s="5">
        <v>58</v>
      </c>
      <c r="C75" s="5" t="s">
        <v>60</v>
      </c>
      <c r="D75" s="3">
        <v>13.5</v>
      </c>
      <c r="E75" s="3">
        <v>13.60599</v>
      </c>
      <c r="F75" s="6">
        <f t="shared" si="0"/>
        <v>0.10599000000000025</v>
      </c>
      <c r="G75" s="6">
        <f t="shared" si="1"/>
        <v>7.8511111111111299E-3</v>
      </c>
      <c r="H75" s="6" t="str">
        <f t="shared" si="2"/>
        <v>🟢 Over-injection</v>
      </c>
      <c r="I75" s="6">
        <f t="shared" si="3"/>
        <v>-0.10599000000000025</v>
      </c>
      <c r="J75" s="3">
        <v>2.3911000000000002</v>
      </c>
      <c r="K75" s="6">
        <f t="shared" si="4"/>
        <v>2.0249999999999999</v>
      </c>
      <c r="L75" s="6">
        <f t="shared" si="5"/>
        <v>2.7</v>
      </c>
      <c r="M75" s="6">
        <f t="shared" si="6"/>
        <v>0.10599000000000025</v>
      </c>
      <c r="N75" s="6">
        <f t="shared" si="7"/>
        <v>0</v>
      </c>
      <c r="O75" s="6">
        <f t="shared" si="8"/>
        <v>0</v>
      </c>
      <c r="P75" s="6">
        <f t="shared" si="9"/>
        <v>-50.686537800000124</v>
      </c>
      <c r="Q75" s="3">
        <v>-50.686537800000011</v>
      </c>
      <c r="R75" s="6">
        <f t="shared" si="10"/>
        <v>-1.1368683772161603E-13</v>
      </c>
      <c r="S75" s="6" t="str">
        <f t="shared" si="11"/>
        <v>OK</v>
      </c>
    </row>
    <row r="76" spans="1:19" x14ac:dyDescent="0.25">
      <c r="A76" s="3" t="str">
        <f t="shared" si="12"/>
        <v>29.06.2026</v>
      </c>
      <c r="B76" s="5">
        <v>59</v>
      </c>
      <c r="C76" s="5" t="s">
        <v>59</v>
      </c>
      <c r="D76" s="3">
        <v>13.5</v>
      </c>
      <c r="E76" s="3">
        <v>13.617330000000001</v>
      </c>
      <c r="F76" s="6">
        <f t="shared" si="0"/>
        <v>0.11733000000000082</v>
      </c>
      <c r="G76" s="6">
        <f t="shared" si="1"/>
        <v>8.691111111111172E-3</v>
      </c>
      <c r="H76" s="6" t="str">
        <f t="shared" si="2"/>
        <v>🟢 Over-injection</v>
      </c>
      <c r="I76" s="6">
        <f t="shared" si="3"/>
        <v>-0.11733000000000082</v>
      </c>
      <c r="J76" s="3">
        <v>2.5709</v>
      </c>
      <c r="K76" s="6">
        <f t="shared" si="4"/>
        <v>2.0249999999999999</v>
      </c>
      <c r="L76" s="6">
        <f t="shared" si="5"/>
        <v>2.7</v>
      </c>
      <c r="M76" s="6">
        <f t="shared" si="6"/>
        <v>0.11733000000000082</v>
      </c>
      <c r="N76" s="6">
        <f t="shared" si="7"/>
        <v>0</v>
      </c>
      <c r="O76" s="6">
        <f t="shared" si="8"/>
        <v>0</v>
      </c>
      <c r="P76" s="6">
        <f t="shared" si="9"/>
        <v>-60.32873940000043</v>
      </c>
      <c r="Q76" s="3">
        <v>-60.328739399999996</v>
      </c>
      <c r="R76" s="6">
        <f t="shared" si="10"/>
        <v>-4.3343106881366111E-13</v>
      </c>
      <c r="S76" s="6" t="str">
        <f t="shared" si="11"/>
        <v>OK</v>
      </c>
    </row>
    <row r="77" spans="1:19" x14ac:dyDescent="0.25">
      <c r="A77" s="3" t="str">
        <f t="shared" si="12"/>
        <v>29.06.2026</v>
      </c>
      <c r="B77" s="5">
        <v>60</v>
      </c>
      <c r="C77" s="5" t="s">
        <v>58</v>
      </c>
      <c r="D77" s="3">
        <v>13.5</v>
      </c>
      <c r="E77" s="3">
        <v>13.60599</v>
      </c>
      <c r="F77" s="6">
        <f t="shared" si="0"/>
        <v>0.10599000000000025</v>
      </c>
      <c r="G77" s="6">
        <f t="shared" si="1"/>
        <v>7.8511111111111299E-3</v>
      </c>
      <c r="H77" s="6" t="str">
        <f t="shared" si="2"/>
        <v>🟢 Over-injection</v>
      </c>
      <c r="I77" s="6">
        <f t="shared" si="3"/>
        <v>-0.10599000000000025</v>
      </c>
      <c r="J77" s="3">
        <v>2.6460000000000004</v>
      </c>
      <c r="K77" s="6">
        <f t="shared" si="4"/>
        <v>2.0249999999999999</v>
      </c>
      <c r="L77" s="6">
        <f t="shared" si="5"/>
        <v>2.7</v>
      </c>
      <c r="M77" s="6">
        <f t="shared" si="6"/>
        <v>0.10599000000000025</v>
      </c>
      <c r="N77" s="6">
        <f t="shared" si="7"/>
        <v>0</v>
      </c>
      <c r="O77" s="6">
        <f t="shared" si="8"/>
        <v>0</v>
      </c>
      <c r="P77" s="6">
        <f t="shared" si="9"/>
        <v>-56.089908000000136</v>
      </c>
      <c r="Q77" s="3">
        <v>-56.089908000000015</v>
      </c>
      <c r="R77" s="6">
        <f t="shared" si="10"/>
        <v>-1.2079226507921703E-13</v>
      </c>
      <c r="S77" s="6" t="str">
        <f t="shared" si="11"/>
        <v>OK</v>
      </c>
    </row>
    <row r="78" spans="1:19" x14ac:dyDescent="0.25">
      <c r="A78" s="3" t="str">
        <f t="shared" si="12"/>
        <v>29.06.2026</v>
      </c>
      <c r="B78" s="5">
        <v>61</v>
      </c>
      <c r="C78" s="5" t="s">
        <v>57</v>
      </c>
      <c r="D78" s="3">
        <v>14.5</v>
      </c>
      <c r="E78" s="3">
        <v>14.37763</v>
      </c>
      <c r="F78" s="6">
        <f t="shared" si="0"/>
        <v>-0.12237000000000009</v>
      </c>
      <c r="G78" s="6">
        <f t="shared" si="1"/>
        <v>-8.439310344827592E-3</v>
      </c>
      <c r="H78" s="6" t="str">
        <f t="shared" si="2"/>
        <v>🔴 Under-injection</v>
      </c>
      <c r="I78" s="6">
        <f t="shared" si="3"/>
        <v>0.12237000000000009</v>
      </c>
      <c r="J78" s="3">
        <v>3.1724999999999999</v>
      </c>
      <c r="K78" s="6">
        <f t="shared" si="4"/>
        <v>2.1749999999999998</v>
      </c>
      <c r="L78" s="6">
        <f t="shared" si="5"/>
        <v>2.9000000000000004</v>
      </c>
      <c r="M78" s="6">
        <f t="shared" si="6"/>
        <v>0.12237000000000009</v>
      </c>
      <c r="N78" s="6">
        <f t="shared" si="7"/>
        <v>0</v>
      </c>
      <c r="O78" s="6">
        <f t="shared" si="8"/>
        <v>0</v>
      </c>
      <c r="P78" s="6">
        <f t="shared" si="9"/>
        <v>101.90744156250007</v>
      </c>
      <c r="Q78" s="3">
        <v>101.90744156250001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29.06.2026</v>
      </c>
      <c r="B79" s="5">
        <v>62</v>
      </c>
      <c r="C79" s="5" t="s">
        <v>56</v>
      </c>
      <c r="D79" s="3">
        <v>14.5</v>
      </c>
      <c r="E79" s="3">
        <v>14.638629999999999</v>
      </c>
      <c r="F79" s="6">
        <f t="shared" si="0"/>
        <v>0.13862999999999914</v>
      </c>
      <c r="G79" s="6">
        <f t="shared" si="1"/>
        <v>9.5606896551723546E-3</v>
      </c>
      <c r="H79" s="6" t="str">
        <f t="shared" si="2"/>
        <v>🟢 Over-injection</v>
      </c>
      <c r="I79" s="6">
        <f t="shared" si="3"/>
        <v>-0.13862999999999914</v>
      </c>
      <c r="J79" s="3">
        <v>3.1743000000000001</v>
      </c>
      <c r="K79" s="6">
        <f t="shared" si="4"/>
        <v>2.1749999999999998</v>
      </c>
      <c r="L79" s="6">
        <f t="shared" si="5"/>
        <v>2.9000000000000004</v>
      </c>
      <c r="M79" s="6">
        <f t="shared" si="6"/>
        <v>0.13862999999999914</v>
      </c>
      <c r="N79" s="6">
        <f t="shared" si="7"/>
        <v>0</v>
      </c>
      <c r="O79" s="6">
        <f t="shared" si="8"/>
        <v>0</v>
      </c>
      <c r="P79" s="6">
        <f t="shared" si="9"/>
        <v>-88.010641799999476</v>
      </c>
      <c r="Q79" s="3">
        <v>-88.010641800000016</v>
      </c>
      <c r="R79" s="6">
        <f t="shared" si="10"/>
        <v>5.4001247917767614E-13</v>
      </c>
      <c r="S79" s="6" t="str">
        <f t="shared" si="11"/>
        <v>OK</v>
      </c>
    </row>
    <row r="80" spans="1:19" x14ac:dyDescent="0.25">
      <c r="A80" s="3" t="str">
        <f t="shared" si="12"/>
        <v>29.06.2026</v>
      </c>
      <c r="B80" s="5">
        <v>63</v>
      </c>
      <c r="C80" s="5" t="s">
        <v>55</v>
      </c>
      <c r="D80" s="3">
        <v>17.5</v>
      </c>
      <c r="E80" s="3">
        <v>17.180540000000001</v>
      </c>
      <c r="F80" s="6">
        <f t="shared" si="0"/>
        <v>-0.31945999999999941</v>
      </c>
      <c r="G80" s="6">
        <f t="shared" si="1"/>
        <v>-1.8254857142857111E-2</v>
      </c>
      <c r="H80" s="6" t="str">
        <f t="shared" si="2"/>
        <v>🔴 Under-injection</v>
      </c>
      <c r="I80" s="6">
        <f t="shared" si="3"/>
        <v>0.31945999999999941</v>
      </c>
      <c r="J80" s="3">
        <v>3.2738</v>
      </c>
      <c r="K80" s="6">
        <f t="shared" si="4"/>
        <v>2.625</v>
      </c>
      <c r="L80" s="6">
        <f t="shared" si="5"/>
        <v>3.5</v>
      </c>
      <c r="M80" s="6">
        <f t="shared" si="6"/>
        <v>0.31945999999999941</v>
      </c>
      <c r="N80" s="6">
        <f t="shared" si="7"/>
        <v>0</v>
      </c>
      <c r="O80" s="6">
        <f t="shared" si="8"/>
        <v>0</v>
      </c>
      <c r="P80" s="6">
        <f t="shared" si="9"/>
        <v>274.5351388499995</v>
      </c>
      <c r="Q80" s="3">
        <v>274.53513885000001</v>
      </c>
      <c r="R80" s="6">
        <f t="shared" si="10"/>
        <v>-5.1159076974727213E-13</v>
      </c>
      <c r="S80" s="6" t="str">
        <f t="shared" si="11"/>
        <v>OK</v>
      </c>
    </row>
    <row r="81" spans="1:19" x14ac:dyDescent="0.25">
      <c r="A81" s="3" t="str">
        <f t="shared" si="12"/>
        <v>29.06.2026</v>
      </c>
      <c r="B81" s="5">
        <v>64</v>
      </c>
      <c r="C81" s="5" t="s">
        <v>54</v>
      </c>
      <c r="D81" s="3">
        <v>17.5</v>
      </c>
      <c r="E81" s="3">
        <v>17.657139999999998</v>
      </c>
      <c r="F81" s="6">
        <f t="shared" si="0"/>
        <v>0.15713999999999828</v>
      </c>
      <c r="G81" s="6">
        <f t="shared" si="1"/>
        <v>8.9794285714284734E-3</v>
      </c>
      <c r="H81" s="6" t="str">
        <f t="shared" si="2"/>
        <v>🟢 Over-injection</v>
      </c>
      <c r="I81" s="6">
        <f t="shared" si="3"/>
        <v>-0.15713999999999828</v>
      </c>
      <c r="J81" s="3">
        <v>3.2361</v>
      </c>
      <c r="K81" s="6">
        <f t="shared" si="4"/>
        <v>2.625</v>
      </c>
      <c r="L81" s="6">
        <f t="shared" si="5"/>
        <v>3.5</v>
      </c>
      <c r="M81" s="6">
        <f t="shared" si="6"/>
        <v>0.15713999999999828</v>
      </c>
      <c r="N81" s="6">
        <f t="shared" si="7"/>
        <v>0</v>
      </c>
      <c r="O81" s="6">
        <f t="shared" si="8"/>
        <v>0</v>
      </c>
      <c r="P81" s="6">
        <f t="shared" si="9"/>
        <v>-101.7041507999989</v>
      </c>
      <c r="Q81" s="3">
        <v>-101.70415080000001</v>
      </c>
      <c r="R81" s="6">
        <f t="shared" si="10"/>
        <v>1.1084466677857563E-12</v>
      </c>
      <c r="S81" s="6" t="str">
        <f t="shared" si="11"/>
        <v>OK</v>
      </c>
    </row>
    <row r="82" spans="1:19" x14ac:dyDescent="0.25">
      <c r="A82" s="3" t="str">
        <f t="shared" si="12"/>
        <v>29.06.2026</v>
      </c>
      <c r="B82" s="5">
        <v>65</v>
      </c>
      <c r="C82" s="5" t="s">
        <v>53</v>
      </c>
      <c r="D82" s="3">
        <v>17.5</v>
      </c>
      <c r="E82" s="3">
        <v>17.645790000000002</v>
      </c>
      <c r="F82" s="6">
        <f t="shared" ref="F82:F145" si="13">E82-D82</f>
        <v>0.14579000000000164</v>
      </c>
      <c r="G82" s="6">
        <f t="shared" ref="G82:G145" si="14">IF(D82=0,0,F82/D82)</f>
        <v>8.330857142857237E-3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-0.14579000000000164</v>
      </c>
      <c r="J82" s="3">
        <v>3.3407999999999998</v>
      </c>
      <c r="K82" s="6">
        <f t="shared" ref="K82:K145" si="17">MIN(ABS(D82)*$B$7,$B$8)</f>
        <v>2.625</v>
      </c>
      <c r="L82" s="6">
        <f t="shared" ref="L82:L145" si="18">MIN(ABS(D82)*$B$9,$B$10)</f>
        <v>3.5</v>
      </c>
      <c r="M82" s="6">
        <f t="shared" ref="M82:M145" si="19">MIN(ABS(F82),K82)</f>
        <v>0.14579000000000164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-97.411046400001084</v>
      </c>
      <c r="Q82" s="3">
        <v>-97.411046399999989</v>
      </c>
      <c r="R82" s="6">
        <f t="shared" ref="R82:R145" si="23">P82-Q82</f>
        <v>-1.0942358130705543E-12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29.06.2026</v>
      </c>
      <c r="B83" s="5">
        <v>66</v>
      </c>
      <c r="C83" s="5" t="s">
        <v>52</v>
      </c>
      <c r="D83" s="3">
        <v>17.5</v>
      </c>
      <c r="E83" s="3">
        <v>17.645790000000002</v>
      </c>
      <c r="F83" s="6">
        <f t="shared" si="13"/>
        <v>0.14579000000000164</v>
      </c>
      <c r="G83" s="6">
        <f t="shared" si="14"/>
        <v>8.330857142857237E-3</v>
      </c>
      <c r="H83" s="6" t="str">
        <f t="shared" si="15"/>
        <v>🟢 Over-injection</v>
      </c>
      <c r="I83" s="6">
        <f t="shared" si="16"/>
        <v>-0.14579000000000164</v>
      </c>
      <c r="J83" s="3">
        <v>3.3517000000000001</v>
      </c>
      <c r="K83" s="6">
        <f t="shared" si="17"/>
        <v>2.625</v>
      </c>
      <c r="L83" s="6">
        <f t="shared" si="18"/>
        <v>3.5</v>
      </c>
      <c r="M83" s="6">
        <f t="shared" si="19"/>
        <v>0.14579000000000164</v>
      </c>
      <c r="N83" s="6">
        <f t="shared" si="20"/>
        <v>0</v>
      </c>
      <c r="O83" s="6">
        <f t="shared" si="21"/>
        <v>0</v>
      </c>
      <c r="P83" s="6">
        <f t="shared" si="22"/>
        <v>-97.728868600001121</v>
      </c>
      <c r="Q83" s="3">
        <v>-97.728868599999998</v>
      </c>
      <c r="R83" s="6">
        <f t="shared" si="23"/>
        <v>-1.1226575225009583E-12</v>
      </c>
      <c r="S83" s="6" t="str">
        <f t="shared" si="24"/>
        <v>OK</v>
      </c>
    </row>
    <row r="84" spans="1:19" x14ac:dyDescent="0.25">
      <c r="A84" s="3" t="str">
        <f t="shared" ref="A84:A147" si="25">A83</f>
        <v>29.06.2026</v>
      </c>
      <c r="B84" s="5">
        <v>67</v>
      </c>
      <c r="C84" s="5" t="s">
        <v>51</v>
      </c>
      <c r="D84" s="3">
        <v>12.4</v>
      </c>
      <c r="E84" s="3">
        <v>17.645790000000002</v>
      </c>
      <c r="F84" s="6">
        <f t="shared" si="13"/>
        <v>5.2457900000000013</v>
      </c>
      <c r="G84" s="6">
        <f t="shared" si="14"/>
        <v>0.4230475806451614</v>
      </c>
      <c r="H84" s="6" t="str">
        <f t="shared" si="15"/>
        <v>🟢 Over-injection</v>
      </c>
      <c r="I84" s="6">
        <f t="shared" si="16"/>
        <v>-5.2457900000000013</v>
      </c>
      <c r="J84" s="3">
        <v>3.508</v>
      </c>
      <c r="K84" s="6">
        <f t="shared" si="17"/>
        <v>1.8599999999999999</v>
      </c>
      <c r="L84" s="6">
        <f t="shared" si="18"/>
        <v>2.4800000000000004</v>
      </c>
      <c r="M84" s="6">
        <f t="shared" si="19"/>
        <v>1.8599999999999999</v>
      </c>
      <c r="N84" s="6">
        <f t="shared" si="20"/>
        <v>0</v>
      </c>
      <c r="O84" s="6">
        <f t="shared" si="21"/>
        <v>0</v>
      </c>
      <c r="P84" s="6">
        <f t="shared" si="22"/>
        <v>-1304.9759999999999</v>
      </c>
      <c r="Q84" s="3">
        <v>-1304.9759999999999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29.06.2026</v>
      </c>
      <c r="B85" s="5">
        <v>68</v>
      </c>
      <c r="C85" s="5" t="s">
        <v>50</v>
      </c>
      <c r="D85" s="3">
        <v>12.4</v>
      </c>
      <c r="E85" s="3">
        <v>17.645790000000002</v>
      </c>
      <c r="F85" s="6">
        <f t="shared" si="13"/>
        <v>5.2457900000000013</v>
      </c>
      <c r="G85" s="6">
        <f t="shared" si="14"/>
        <v>0.4230475806451614</v>
      </c>
      <c r="H85" s="6" t="str">
        <f t="shared" si="15"/>
        <v>🟢 Over-injection</v>
      </c>
      <c r="I85" s="6">
        <f t="shared" si="16"/>
        <v>-5.2457900000000013</v>
      </c>
      <c r="J85" s="3">
        <v>3.5697000000000001</v>
      </c>
      <c r="K85" s="6">
        <f t="shared" si="17"/>
        <v>1.8599999999999999</v>
      </c>
      <c r="L85" s="6">
        <f t="shared" si="18"/>
        <v>2.4800000000000004</v>
      </c>
      <c r="M85" s="6">
        <f t="shared" si="19"/>
        <v>1.8599999999999999</v>
      </c>
      <c r="N85" s="6">
        <f t="shared" si="20"/>
        <v>0</v>
      </c>
      <c r="O85" s="6">
        <f t="shared" si="21"/>
        <v>0</v>
      </c>
      <c r="P85" s="6">
        <f t="shared" si="22"/>
        <v>-1327.9284</v>
      </c>
      <c r="Q85" s="3">
        <v>-1327.9284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29.06.2026</v>
      </c>
      <c r="B86" s="5">
        <v>69</v>
      </c>
      <c r="C86" s="5" t="s">
        <v>49</v>
      </c>
      <c r="D86" s="3">
        <v>12.4</v>
      </c>
      <c r="E86" s="3">
        <v>17.645790000000002</v>
      </c>
      <c r="F86" s="6">
        <f t="shared" si="13"/>
        <v>5.2457900000000013</v>
      </c>
      <c r="G86" s="6">
        <f t="shared" si="14"/>
        <v>0.4230475806451614</v>
      </c>
      <c r="H86" s="6" t="str">
        <f t="shared" si="15"/>
        <v>🟢 Over-injection</v>
      </c>
      <c r="I86" s="6">
        <f t="shared" si="16"/>
        <v>-5.2457900000000013</v>
      </c>
      <c r="J86" s="3">
        <v>3.9142999999999999</v>
      </c>
      <c r="K86" s="6">
        <f t="shared" si="17"/>
        <v>1.8599999999999999</v>
      </c>
      <c r="L86" s="6">
        <f t="shared" si="18"/>
        <v>2.4800000000000004</v>
      </c>
      <c r="M86" s="6">
        <f t="shared" si="19"/>
        <v>1.8599999999999999</v>
      </c>
      <c r="N86" s="6">
        <f t="shared" si="20"/>
        <v>0</v>
      </c>
      <c r="O86" s="6">
        <f t="shared" si="21"/>
        <v>0</v>
      </c>
      <c r="P86" s="6">
        <f t="shared" si="22"/>
        <v>-1456.1195999999998</v>
      </c>
      <c r="Q86" s="3">
        <v>-1456.1195999999998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29.06.2026</v>
      </c>
      <c r="B87" s="5">
        <v>70</v>
      </c>
      <c r="C87" s="5" t="s">
        <v>48</v>
      </c>
      <c r="D87" s="3">
        <v>17.5</v>
      </c>
      <c r="E87" s="3">
        <v>17.645790000000002</v>
      </c>
      <c r="F87" s="6">
        <f t="shared" si="13"/>
        <v>0.14579000000000164</v>
      </c>
      <c r="G87" s="6">
        <f t="shared" si="14"/>
        <v>8.330857142857237E-3</v>
      </c>
      <c r="H87" s="6" t="str">
        <f t="shared" si="15"/>
        <v>🟢 Over-injection</v>
      </c>
      <c r="I87" s="6">
        <f t="shared" si="16"/>
        <v>-0.14579000000000164</v>
      </c>
      <c r="J87" s="3">
        <v>4.3473000000000006</v>
      </c>
      <c r="K87" s="6">
        <f t="shared" si="17"/>
        <v>2.625</v>
      </c>
      <c r="L87" s="6">
        <f t="shared" si="18"/>
        <v>3.5</v>
      </c>
      <c r="M87" s="6">
        <f t="shared" si="19"/>
        <v>0.14579000000000164</v>
      </c>
      <c r="N87" s="6">
        <f t="shared" si="20"/>
        <v>0</v>
      </c>
      <c r="O87" s="6">
        <f t="shared" si="21"/>
        <v>0</v>
      </c>
      <c r="P87" s="6">
        <f t="shared" si="22"/>
        <v>-126.75857340000147</v>
      </c>
      <c r="Q87" s="3">
        <v>-126.75857340000002</v>
      </c>
      <c r="R87" s="6">
        <f t="shared" si="23"/>
        <v>-1.4495071809506044E-12</v>
      </c>
      <c r="S87" s="6" t="str">
        <f t="shared" si="24"/>
        <v>OK</v>
      </c>
    </row>
    <row r="88" spans="1:19" x14ac:dyDescent="0.25">
      <c r="A88" s="3" t="str">
        <f t="shared" si="25"/>
        <v>29.06.2026</v>
      </c>
      <c r="B88" s="5">
        <v>71</v>
      </c>
      <c r="C88" s="5" t="s">
        <v>47</v>
      </c>
      <c r="D88" s="3">
        <v>17.5</v>
      </c>
      <c r="E88" s="3">
        <v>17.634440000000001</v>
      </c>
      <c r="F88" s="6">
        <f t="shared" si="13"/>
        <v>0.13444000000000145</v>
      </c>
      <c r="G88" s="6">
        <f t="shared" si="14"/>
        <v>7.6822857142857968E-3</v>
      </c>
      <c r="H88" s="6" t="str">
        <f t="shared" si="15"/>
        <v>🟢 Over-injection</v>
      </c>
      <c r="I88" s="6">
        <f t="shared" si="16"/>
        <v>-0.13444000000000145</v>
      </c>
      <c r="J88" s="3">
        <v>4.4562999999999997</v>
      </c>
      <c r="K88" s="6">
        <f t="shared" si="17"/>
        <v>2.625</v>
      </c>
      <c r="L88" s="6">
        <f t="shared" si="18"/>
        <v>3.5</v>
      </c>
      <c r="M88" s="6">
        <f t="shared" si="19"/>
        <v>0.13444000000000145</v>
      </c>
      <c r="N88" s="6">
        <f t="shared" si="20"/>
        <v>0</v>
      </c>
      <c r="O88" s="6">
        <f t="shared" si="21"/>
        <v>0</v>
      </c>
      <c r="P88" s="6">
        <f t="shared" si="22"/>
        <v>-119.82099440000128</v>
      </c>
      <c r="Q88" s="3">
        <v>-119.82099439999999</v>
      </c>
      <c r="R88" s="6">
        <f t="shared" si="23"/>
        <v>-1.2931877790833823E-12</v>
      </c>
      <c r="S88" s="6" t="str">
        <f t="shared" si="24"/>
        <v>OK</v>
      </c>
    </row>
    <row r="89" spans="1:19" x14ac:dyDescent="0.25">
      <c r="A89" s="3" t="str">
        <f t="shared" si="25"/>
        <v>29.06.2026</v>
      </c>
      <c r="B89" s="5">
        <v>72</v>
      </c>
      <c r="C89" s="5" t="s">
        <v>46</v>
      </c>
      <c r="D89" s="3">
        <v>17.5</v>
      </c>
      <c r="E89" s="3">
        <v>17.645790000000002</v>
      </c>
      <c r="F89" s="6">
        <f t="shared" si="13"/>
        <v>0.14579000000000164</v>
      </c>
      <c r="G89" s="6">
        <f t="shared" si="14"/>
        <v>8.330857142857237E-3</v>
      </c>
      <c r="H89" s="6" t="str">
        <f t="shared" si="15"/>
        <v>🟢 Over-injection</v>
      </c>
      <c r="I89" s="6">
        <f t="shared" si="16"/>
        <v>-0.14579000000000164</v>
      </c>
      <c r="J89" s="3">
        <v>4.4908999999999999</v>
      </c>
      <c r="K89" s="6">
        <f t="shared" si="17"/>
        <v>2.625</v>
      </c>
      <c r="L89" s="6">
        <f t="shared" si="18"/>
        <v>3.5</v>
      </c>
      <c r="M89" s="6">
        <f t="shared" si="19"/>
        <v>0.14579000000000164</v>
      </c>
      <c r="N89" s="6">
        <f t="shared" si="20"/>
        <v>0</v>
      </c>
      <c r="O89" s="6">
        <f t="shared" si="21"/>
        <v>0</v>
      </c>
      <c r="P89" s="6">
        <f t="shared" si="22"/>
        <v>-130.94566220000146</v>
      </c>
      <c r="Q89" s="3">
        <v>-130.94566220000002</v>
      </c>
      <c r="R89" s="6">
        <f t="shared" si="23"/>
        <v>-1.4495071809506044E-12</v>
      </c>
      <c r="S89" s="6" t="str">
        <f t="shared" si="24"/>
        <v>OK</v>
      </c>
    </row>
    <row r="90" spans="1:19" x14ac:dyDescent="0.25">
      <c r="A90" s="3" t="str">
        <f t="shared" si="25"/>
        <v>29.06.2026</v>
      </c>
      <c r="B90" s="5">
        <v>73</v>
      </c>
      <c r="C90" s="5" t="s">
        <v>45</v>
      </c>
      <c r="D90" s="3">
        <v>17.5</v>
      </c>
      <c r="E90" s="3">
        <v>17.645790000000002</v>
      </c>
      <c r="F90" s="6">
        <f t="shared" si="13"/>
        <v>0.14579000000000164</v>
      </c>
      <c r="G90" s="6">
        <f t="shared" si="14"/>
        <v>8.330857142857237E-3</v>
      </c>
      <c r="H90" s="6" t="str">
        <f t="shared" si="15"/>
        <v>🟢 Over-injection</v>
      </c>
      <c r="I90" s="6">
        <f t="shared" si="16"/>
        <v>-0.14579000000000164</v>
      </c>
      <c r="J90" s="3">
        <v>3.9832999999999998</v>
      </c>
      <c r="K90" s="6">
        <f t="shared" si="17"/>
        <v>2.625</v>
      </c>
      <c r="L90" s="6">
        <f t="shared" si="18"/>
        <v>3.5</v>
      </c>
      <c r="M90" s="6">
        <f t="shared" si="19"/>
        <v>0.14579000000000164</v>
      </c>
      <c r="N90" s="6">
        <f t="shared" si="20"/>
        <v>0</v>
      </c>
      <c r="O90" s="6">
        <f t="shared" si="21"/>
        <v>0</v>
      </c>
      <c r="P90" s="6">
        <f t="shared" si="22"/>
        <v>-116.14506140000131</v>
      </c>
      <c r="Q90" s="3">
        <v>-116.14506140000002</v>
      </c>
      <c r="R90" s="6">
        <f t="shared" si="23"/>
        <v>-1.2931877790833823E-12</v>
      </c>
      <c r="S90" s="6" t="str">
        <f t="shared" si="24"/>
        <v>OK</v>
      </c>
    </row>
    <row r="91" spans="1:19" x14ac:dyDescent="0.25">
      <c r="A91" s="3" t="str">
        <f t="shared" si="25"/>
        <v>29.06.2026</v>
      </c>
      <c r="B91" s="5">
        <v>74</v>
      </c>
      <c r="C91" s="5" t="s">
        <v>44</v>
      </c>
      <c r="D91" s="3">
        <v>17.5</v>
      </c>
      <c r="E91" s="3">
        <v>17.657139999999998</v>
      </c>
      <c r="F91" s="6">
        <f t="shared" si="13"/>
        <v>0.15713999999999828</v>
      </c>
      <c r="G91" s="6">
        <f t="shared" si="14"/>
        <v>8.9794285714284734E-3</v>
      </c>
      <c r="H91" s="6" t="str">
        <f t="shared" si="15"/>
        <v>🟢 Over-injection</v>
      </c>
      <c r="I91" s="6">
        <f t="shared" si="16"/>
        <v>-0.15713999999999828</v>
      </c>
      <c r="J91" s="3">
        <v>4.2345999999999995</v>
      </c>
      <c r="K91" s="6">
        <f t="shared" si="17"/>
        <v>2.625</v>
      </c>
      <c r="L91" s="6">
        <f t="shared" si="18"/>
        <v>3.5</v>
      </c>
      <c r="M91" s="6">
        <f t="shared" si="19"/>
        <v>0.15713999999999828</v>
      </c>
      <c r="N91" s="6">
        <f t="shared" si="20"/>
        <v>0</v>
      </c>
      <c r="O91" s="6">
        <f t="shared" si="21"/>
        <v>0</v>
      </c>
      <c r="P91" s="6">
        <f t="shared" si="22"/>
        <v>-133.08500879999855</v>
      </c>
      <c r="Q91" s="3">
        <v>-133.0850088</v>
      </c>
      <c r="R91" s="6">
        <f t="shared" si="23"/>
        <v>1.4495071809506044E-12</v>
      </c>
      <c r="S91" s="6" t="str">
        <f t="shared" si="24"/>
        <v>OK</v>
      </c>
    </row>
    <row r="92" spans="1:19" x14ac:dyDescent="0.25">
      <c r="A92" s="3" t="str">
        <f t="shared" si="25"/>
        <v>29.06.2026</v>
      </c>
      <c r="B92" s="5">
        <v>75</v>
      </c>
      <c r="C92" s="5" t="s">
        <v>43</v>
      </c>
      <c r="D92" s="3">
        <v>17.5</v>
      </c>
      <c r="E92" s="3">
        <v>17.668479999999999</v>
      </c>
      <c r="F92" s="6">
        <f t="shared" si="13"/>
        <v>0.16847999999999885</v>
      </c>
      <c r="G92" s="6">
        <f t="shared" si="14"/>
        <v>9.6274285714285056E-3</v>
      </c>
      <c r="H92" s="6" t="str">
        <f t="shared" si="15"/>
        <v>🟢 Over-injection</v>
      </c>
      <c r="I92" s="6">
        <f t="shared" si="16"/>
        <v>-0.16847999999999885</v>
      </c>
      <c r="J92" s="3">
        <v>4.5585000000000004</v>
      </c>
      <c r="K92" s="6">
        <f t="shared" si="17"/>
        <v>2.625</v>
      </c>
      <c r="L92" s="6">
        <f t="shared" si="18"/>
        <v>3.5</v>
      </c>
      <c r="M92" s="6">
        <f t="shared" si="19"/>
        <v>0.16847999999999885</v>
      </c>
      <c r="N92" s="6">
        <f t="shared" si="20"/>
        <v>0</v>
      </c>
      <c r="O92" s="6">
        <f t="shared" si="21"/>
        <v>0</v>
      </c>
      <c r="P92" s="6">
        <f t="shared" si="22"/>
        <v>-153.60321599999898</v>
      </c>
      <c r="Q92" s="3">
        <v>-153.603216</v>
      </c>
      <c r="R92" s="6">
        <f t="shared" si="23"/>
        <v>1.0231815394945443E-12</v>
      </c>
      <c r="S92" s="6" t="str">
        <f t="shared" si="24"/>
        <v>OK</v>
      </c>
    </row>
    <row r="93" spans="1:19" x14ac:dyDescent="0.25">
      <c r="A93" s="3" t="str">
        <f t="shared" si="25"/>
        <v>29.06.2026</v>
      </c>
      <c r="B93" s="5">
        <v>76</v>
      </c>
      <c r="C93" s="5" t="s">
        <v>42</v>
      </c>
      <c r="D93" s="3">
        <v>17.5</v>
      </c>
      <c r="E93" s="3">
        <v>17.668479999999999</v>
      </c>
      <c r="F93" s="6">
        <f t="shared" si="13"/>
        <v>0.16847999999999885</v>
      </c>
      <c r="G93" s="6">
        <f t="shared" si="14"/>
        <v>9.6274285714285056E-3</v>
      </c>
      <c r="H93" s="6" t="str">
        <f t="shared" si="15"/>
        <v>🟢 Over-injection</v>
      </c>
      <c r="I93" s="6">
        <f t="shared" si="16"/>
        <v>-0.16847999999999885</v>
      </c>
      <c r="J93" s="3">
        <v>5.3887999999999998</v>
      </c>
      <c r="K93" s="6">
        <f t="shared" si="17"/>
        <v>2.625</v>
      </c>
      <c r="L93" s="6">
        <f t="shared" si="18"/>
        <v>3.5</v>
      </c>
      <c r="M93" s="6">
        <f t="shared" si="19"/>
        <v>0.16847999999999885</v>
      </c>
      <c r="N93" s="6">
        <f t="shared" si="20"/>
        <v>0</v>
      </c>
      <c r="O93" s="6">
        <f t="shared" si="21"/>
        <v>0</v>
      </c>
      <c r="P93" s="6">
        <f t="shared" si="22"/>
        <v>-181.58100479999877</v>
      </c>
      <c r="Q93" s="3">
        <v>-181.58100479999999</v>
      </c>
      <c r="R93" s="6">
        <f t="shared" si="23"/>
        <v>1.2221335055073723E-12</v>
      </c>
      <c r="S93" s="6" t="str">
        <f t="shared" si="24"/>
        <v>OK</v>
      </c>
    </row>
    <row r="94" spans="1:19" x14ac:dyDescent="0.25">
      <c r="A94" s="3" t="str">
        <f t="shared" si="25"/>
        <v>29.06.2026</v>
      </c>
      <c r="B94" s="5">
        <v>77</v>
      </c>
      <c r="C94" s="5" t="s">
        <v>41</v>
      </c>
      <c r="D94" s="3">
        <v>17.43</v>
      </c>
      <c r="E94" s="3">
        <v>17.668479999999999</v>
      </c>
      <c r="F94" s="6">
        <f t="shared" si="13"/>
        <v>0.23847999999999914</v>
      </c>
      <c r="G94" s="6">
        <f t="shared" si="14"/>
        <v>1.3682157200229439E-2</v>
      </c>
      <c r="H94" s="6" t="str">
        <f t="shared" si="15"/>
        <v>🟢 Over-injection</v>
      </c>
      <c r="I94" s="6">
        <f t="shared" si="16"/>
        <v>-0.23847999999999914</v>
      </c>
      <c r="J94" s="3">
        <v>9.9995000000000012</v>
      </c>
      <c r="K94" s="6">
        <f t="shared" si="17"/>
        <v>2.6145</v>
      </c>
      <c r="L94" s="6">
        <f t="shared" si="18"/>
        <v>3.4860000000000002</v>
      </c>
      <c r="M94" s="6">
        <f t="shared" si="19"/>
        <v>0.23847999999999914</v>
      </c>
      <c r="N94" s="6">
        <f t="shared" si="20"/>
        <v>0</v>
      </c>
      <c r="O94" s="6">
        <f t="shared" si="21"/>
        <v>0</v>
      </c>
      <c r="P94" s="6">
        <f t="shared" si="22"/>
        <v>-476.93615199999834</v>
      </c>
      <c r="Q94" s="3">
        <v>-476.93615200000005</v>
      </c>
      <c r="R94" s="6">
        <f t="shared" si="23"/>
        <v>1.7053025658242404E-12</v>
      </c>
      <c r="S94" s="6" t="str">
        <f t="shared" si="24"/>
        <v>OK</v>
      </c>
    </row>
    <row r="95" spans="1:19" x14ac:dyDescent="0.25">
      <c r="A95" s="3" t="str">
        <f t="shared" si="25"/>
        <v>29.06.2026</v>
      </c>
      <c r="B95" s="5">
        <v>78</v>
      </c>
      <c r="C95" s="5" t="s">
        <v>40</v>
      </c>
      <c r="D95" s="3">
        <v>17.47</v>
      </c>
      <c r="E95" s="3">
        <v>17.668479999999999</v>
      </c>
      <c r="F95" s="6">
        <f t="shared" si="13"/>
        <v>0.19847999999999999</v>
      </c>
      <c r="G95" s="6">
        <f t="shared" si="14"/>
        <v>1.1361190612478535E-2</v>
      </c>
      <c r="H95" s="6" t="str">
        <f t="shared" si="15"/>
        <v>🟢 Over-injection</v>
      </c>
      <c r="I95" s="6">
        <f t="shared" si="16"/>
        <v>-0.19847999999999999</v>
      </c>
      <c r="J95" s="3">
        <v>10</v>
      </c>
      <c r="K95" s="6">
        <f t="shared" si="17"/>
        <v>2.6204999999999998</v>
      </c>
      <c r="L95" s="6">
        <f t="shared" si="18"/>
        <v>3.4939999999999998</v>
      </c>
      <c r="M95" s="6">
        <f t="shared" si="19"/>
        <v>0.19847999999999999</v>
      </c>
      <c r="N95" s="6">
        <f t="shared" si="20"/>
        <v>0</v>
      </c>
      <c r="O95" s="6">
        <f t="shared" si="21"/>
        <v>0</v>
      </c>
      <c r="P95" s="6">
        <f t="shared" si="22"/>
        <v>-396.96000000000004</v>
      </c>
      <c r="Q95" s="3">
        <v>-396.96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29.06.2026</v>
      </c>
      <c r="B96" s="5">
        <v>79</v>
      </c>
      <c r="C96" s="5" t="s">
        <v>39</v>
      </c>
      <c r="D96" s="3">
        <v>18.39</v>
      </c>
      <c r="E96" s="3">
        <v>18.30396</v>
      </c>
      <c r="F96" s="6">
        <f t="shared" si="13"/>
        <v>-8.604000000000056E-2</v>
      </c>
      <c r="G96" s="6">
        <f t="shared" si="14"/>
        <v>-4.6786296900489703E-3</v>
      </c>
      <c r="H96" s="6" t="str">
        <f t="shared" si="15"/>
        <v>🔴 Under-injection</v>
      </c>
      <c r="I96" s="6">
        <f t="shared" si="16"/>
        <v>8.604000000000056E-2</v>
      </c>
      <c r="J96" s="3">
        <v>10</v>
      </c>
      <c r="K96" s="6">
        <f t="shared" si="17"/>
        <v>2.7585000000000002</v>
      </c>
      <c r="L96" s="6">
        <f t="shared" si="18"/>
        <v>3.6780000000000004</v>
      </c>
      <c r="M96" s="6">
        <f t="shared" si="19"/>
        <v>8.604000000000056E-2</v>
      </c>
      <c r="N96" s="6">
        <f t="shared" si="20"/>
        <v>0</v>
      </c>
      <c r="O96" s="6">
        <f t="shared" si="21"/>
        <v>0</v>
      </c>
      <c r="P96" s="6">
        <f t="shared" si="22"/>
        <v>225.85500000000147</v>
      </c>
      <c r="Q96" s="3">
        <v>225.85500000000002</v>
      </c>
      <c r="R96" s="6">
        <f t="shared" si="23"/>
        <v>1.4495071809506044E-12</v>
      </c>
      <c r="S96" s="6" t="str">
        <f t="shared" si="24"/>
        <v>OK</v>
      </c>
    </row>
    <row r="97" spans="1:19" x14ac:dyDescent="0.25">
      <c r="A97" s="3" t="str">
        <f t="shared" si="25"/>
        <v>29.06.2026</v>
      </c>
      <c r="B97" s="5">
        <v>80</v>
      </c>
      <c r="C97" s="5" t="s">
        <v>38</v>
      </c>
      <c r="D97" s="3">
        <v>18.439999999999998</v>
      </c>
      <c r="E97" s="3">
        <v>18.530919999999998</v>
      </c>
      <c r="F97" s="6">
        <f t="shared" si="13"/>
        <v>9.0920000000000556E-2</v>
      </c>
      <c r="G97" s="6">
        <f t="shared" si="14"/>
        <v>4.9305856832972108E-3</v>
      </c>
      <c r="H97" s="6" t="str">
        <f t="shared" si="15"/>
        <v>🟢 Over-injection</v>
      </c>
      <c r="I97" s="6">
        <f t="shared" si="16"/>
        <v>-9.0920000000000556E-2</v>
      </c>
      <c r="J97" s="3">
        <v>10</v>
      </c>
      <c r="K97" s="6">
        <f t="shared" si="17"/>
        <v>2.7659999999999996</v>
      </c>
      <c r="L97" s="6">
        <f t="shared" si="18"/>
        <v>3.6879999999999997</v>
      </c>
      <c r="M97" s="6">
        <f t="shared" si="19"/>
        <v>9.0920000000000556E-2</v>
      </c>
      <c r="N97" s="6">
        <f t="shared" si="20"/>
        <v>0</v>
      </c>
      <c r="O97" s="6">
        <f t="shared" si="21"/>
        <v>0</v>
      </c>
      <c r="P97" s="6">
        <f t="shared" si="22"/>
        <v>-181.84000000000114</v>
      </c>
      <c r="Q97" s="3">
        <v>-181.84</v>
      </c>
      <c r="R97" s="6">
        <f t="shared" si="23"/>
        <v>-1.1368683772161603E-12</v>
      </c>
      <c r="S97" s="6" t="str">
        <f t="shared" si="24"/>
        <v>OK</v>
      </c>
    </row>
    <row r="98" spans="1:19" x14ac:dyDescent="0.25">
      <c r="A98" s="3" t="str">
        <f t="shared" si="25"/>
        <v>29.06.2026</v>
      </c>
      <c r="B98" s="5">
        <v>81</v>
      </c>
      <c r="C98" s="5" t="s">
        <v>37</v>
      </c>
      <c r="D98" s="3">
        <v>19.66</v>
      </c>
      <c r="E98" s="3">
        <v>19.370650000000001</v>
      </c>
      <c r="F98" s="6">
        <f t="shared" si="13"/>
        <v>-0.28934999999999889</v>
      </c>
      <c r="G98" s="6">
        <f t="shared" si="14"/>
        <v>-1.4717700915564541E-2</v>
      </c>
      <c r="H98" s="6" t="str">
        <f t="shared" si="15"/>
        <v>🔴 Under-injection</v>
      </c>
      <c r="I98" s="6">
        <f t="shared" si="16"/>
        <v>0.28934999999999889</v>
      </c>
      <c r="J98" s="3">
        <v>10</v>
      </c>
      <c r="K98" s="6">
        <f t="shared" si="17"/>
        <v>2.9489999999999998</v>
      </c>
      <c r="L98" s="6">
        <f t="shared" si="18"/>
        <v>3.9320000000000004</v>
      </c>
      <c r="M98" s="6">
        <f t="shared" si="19"/>
        <v>0.28934999999999889</v>
      </c>
      <c r="N98" s="6">
        <f t="shared" si="20"/>
        <v>0</v>
      </c>
      <c r="O98" s="6">
        <f t="shared" si="21"/>
        <v>0</v>
      </c>
      <c r="P98" s="6">
        <f t="shared" si="22"/>
        <v>759.54374999999709</v>
      </c>
      <c r="Q98" s="3">
        <v>759.54374999999993</v>
      </c>
      <c r="R98" s="6">
        <f t="shared" si="23"/>
        <v>-2.8421709430404007E-12</v>
      </c>
      <c r="S98" s="6" t="str">
        <f t="shared" si="24"/>
        <v>OK</v>
      </c>
    </row>
    <row r="99" spans="1:19" x14ac:dyDescent="0.25">
      <c r="A99" s="3" t="str">
        <f t="shared" si="25"/>
        <v>29.06.2026</v>
      </c>
      <c r="B99" s="5">
        <v>82</v>
      </c>
      <c r="C99" s="5" t="s">
        <v>36</v>
      </c>
      <c r="D99" s="3">
        <v>19.670000000000002</v>
      </c>
      <c r="E99" s="3">
        <v>19.59761</v>
      </c>
      <c r="F99" s="6">
        <f t="shared" si="13"/>
        <v>-7.2390000000002175E-2</v>
      </c>
      <c r="G99" s="6">
        <f t="shared" si="14"/>
        <v>-3.6802236908999577E-3</v>
      </c>
      <c r="H99" s="6" t="str">
        <f t="shared" si="15"/>
        <v>🔴 Under-injection</v>
      </c>
      <c r="I99" s="6">
        <f t="shared" si="16"/>
        <v>7.2390000000002175E-2</v>
      </c>
      <c r="J99" s="3">
        <v>10</v>
      </c>
      <c r="K99" s="6">
        <f t="shared" si="17"/>
        <v>2.9505000000000003</v>
      </c>
      <c r="L99" s="6">
        <f t="shared" si="18"/>
        <v>3.9340000000000006</v>
      </c>
      <c r="M99" s="6">
        <f t="shared" si="19"/>
        <v>7.2390000000002175E-2</v>
      </c>
      <c r="N99" s="6">
        <f t="shared" si="20"/>
        <v>0</v>
      </c>
      <c r="O99" s="6">
        <f t="shared" si="21"/>
        <v>0</v>
      </c>
      <c r="P99" s="6">
        <f t="shared" si="22"/>
        <v>190.02375000000572</v>
      </c>
      <c r="Q99" s="3">
        <v>190.02374999999998</v>
      </c>
      <c r="R99" s="6">
        <f t="shared" si="23"/>
        <v>5.7411853049416095E-12</v>
      </c>
      <c r="S99" s="6" t="str">
        <f t="shared" si="24"/>
        <v>OK</v>
      </c>
    </row>
    <row r="100" spans="1:19" x14ac:dyDescent="0.25">
      <c r="A100" s="3" t="str">
        <f t="shared" si="25"/>
        <v>29.06.2026</v>
      </c>
      <c r="B100" s="5">
        <v>83</v>
      </c>
      <c r="C100" s="5" t="s">
        <v>35</v>
      </c>
      <c r="D100" s="3">
        <v>20.7</v>
      </c>
      <c r="E100" s="3">
        <v>20.403300000000002</v>
      </c>
      <c r="F100" s="6">
        <f t="shared" si="13"/>
        <v>-0.29669999999999774</v>
      </c>
      <c r="G100" s="6">
        <f t="shared" si="14"/>
        <v>-1.4333333333333224E-2</v>
      </c>
      <c r="H100" s="6" t="str">
        <f t="shared" si="15"/>
        <v>🔴 Under-injection</v>
      </c>
      <c r="I100" s="6">
        <f t="shared" si="16"/>
        <v>0.29669999999999774</v>
      </c>
      <c r="J100" s="3">
        <v>10</v>
      </c>
      <c r="K100" s="6">
        <f t="shared" si="17"/>
        <v>3.105</v>
      </c>
      <c r="L100" s="6">
        <f t="shared" si="18"/>
        <v>4.1399999999999997</v>
      </c>
      <c r="M100" s="6">
        <f t="shared" si="19"/>
        <v>0.29669999999999774</v>
      </c>
      <c r="N100" s="6">
        <f t="shared" si="20"/>
        <v>0</v>
      </c>
      <c r="O100" s="6">
        <f t="shared" si="21"/>
        <v>0</v>
      </c>
      <c r="P100" s="6">
        <f t="shared" si="22"/>
        <v>778.83749999999407</v>
      </c>
      <c r="Q100" s="3">
        <v>778.83750000000009</v>
      </c>
      <c r="R100" s="6">
        <f t="shared" si="23"/>
        <v>-6.0254023992456496E-12</v>
      </c>
      <c r="S100" s="6" t="str">
        <f t="shared" si="24"/>
        <v>OK</v>
      </c>
    </row>
    <row r="101" spans="1:19" x14ac:dyDescent="0.25">
      <c r="A101" s="3" t="str">
        <f t="shared" si="25"/>
        <v>29.06.2026</v>
      </c>
      <c r="B101" s="5">
        <v>84</v>
      </c>
      <c r="C101" s="5" t="s">
        <v>34</v>
      </c>
      <c r="D101" s="3">
        <v>20.72</v>
      </c>
      <c r="E101" s="3">
        <v>20.584869999999999</v>
      </c>
      <c r="F101" s="6">
        <f t="shared" si="13"/>
        <v>-0.13513000000000019</v>
      </c>
      <c r="G101" s="6">
        <f t="shared" si="14"/>
        <v>-6.5217181467181569E-3</v>
      </c>
      <c r="H101" s="6" t="str">
        <f t="shared" si="15"/>
        <v>🔴 Under-injection</v>
      </c>
      <c r="I101" s="6">
        <f t="shared" si="16"/>
        <v>0.13513000000000019</v>
      </c>
      <c r="J101" s="3">
        <v>10</v>
      </c>
      <c r="K101" s="6">
        <f t="shared" si="17"/>
        <v>3.1079999999999997</v>
      </c>
      <c r="L101" s="6">
        <f t="shared" si="18"/>
        <v>4.1440000000000001</v>
      </c>
      <c r="M101" s="6">
        <f t="shared" si="19"/>
        <v>0.13513000000000019</v>
      </c>
      <c r="N101" s="6">
        <f t="shared" si="20"/>
        <v>0</v>
      </c>
      <c r="O101" s="6">
        <f t="shared" si="21"/>
        <v>0</v>
      </c>
      <c r="P101" s="6">
        <f t="shared" si="22"/>
        <v>354.71625000000057</v>
      </c>
      <c r="Q101" s="3">
        <v>354.71625</v>
      </c>
      <c r="R101" s="6">
        <f t="shared" si="23"/>
        <v>5.6843418860808015E-13</v>
      </c>
      <c r="S101" s="6" t="str">
        <f t="shared" si="24"/>
        <v>OK</v>
      </c>
    </row>
    <row r="102" spans="1:19" x14ac:dyDescent="0.25">
      <c r="A102" s="3" t="str">
        <f t="shared" si="25"/>
        <v>29.06.2026</v>
      </c>
      <c r="B102" s="5">
        <v>85</v>
      </c>
      <c r="C102" s="5" t="s">
        <v>33</v>
      </c>
      <c r="D102" s="3">
        <v>21.34</v>
      </c>
      <c r="E102" s="3">
        <v>21.20899</v>
      </c>
      <c r="F102" s="6">
        <f t="shared" si="13"/>
        <v>-0.13100999999999985</v>
      </c>
      <c r="G102" s="6">
        <f t="shared" si="14"/>
        <v>-6.1391752577319514E-3</v>
      </c>
      <c r="H102" s="6" t="str">
        <f t="shared" si="15"/>
        <v>🔴 Under-injection</v>
      </c>
      <c r="I102" s="6">
        <f t="shared" si="16"/>
        <v>0.13100999999999985</v>
      </c>
      <c r="J102" s="3">
        <v>10</v>
      </c>
      <c r="K102" s="6">
        <f t="shared" si="17"/>
        <v>3.2010000000000001</v>
      </c>
      <c r="L102" s="6">
        <f t="shared" si="18"/>
        <v>4.2679999999999998</v>
      </c>
      <c r="M102" s="6">
        <f t="shared" si="19"/>
        <v>0.13100999999999985</v>
      </c>
      <c r="N102" s="6">
        <f t="shared" si="20"/>
        <v>0</v>
      </c>
      <c r="O102" s="6">
        <f t="shared" si="21"/>
        <v>0</v>
      </c>
      <c r="P102" s="6">
        <f t="shared" si="22"/>
        <v>343.90124999999961</v>
      </c>
      <c r="Q102" s="3">
        <v>343.90125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29.06.2026</v>
      </c>
      <c r="B103" s="5">
        <v>86</v>
      </c>
      <c r="C103" s="5" t="s">
        <v>32</v>
      </c>
      <c r="D103" s="3">
        <v>21.45</v>
      </c>
      <c r="E103" s="3">
        <v>21.413260000000001</v>
      </c>
      <c r="F103" s="6">
        <f t="shared" si="13"/>
        <v>-3.6739999999998219E-2</v>
      </c>
      <c r="G103" s="6">
        <f t="shared" si="14"/>
        <v>-1.7128205128204299E-3</v>
      </c>
      <c r="H103" s="6" t="str">
        <f t="shared" si="15"/>
        <v>🔴 Under-injection</v>
      </c>
      <c r="I103" s="6">
        <f t="shared" si="16"/>
        <v>3.6739999999998219E-2</v>
      </c>
      <c r="J103" s="3">
        <v>10</v>
      </c>
      <c r="K103" s="6">
        <f t="shared" si="17"/>
        <v>3.2174999999999998</v>
      </c>
      <c r="L103" s="6">
        <f t="shared" si="18"/>
        <v>4.29</v>
      </c>
      <c r="M103" s="6">
        <f t="shared" si="19"/>
        <v>3.6739999999998219E-2</v>
      </c>
      <c r="N103" s="6">
        <f t="shared" si="20"/>
        <v>0</v>
      </c>
      <c r="O103" s="6">
        <f t="shared" si="21"/>
        <v>0</v>
      </c>
      <c r="P103" s="6">
        <f t="shared" si="22"/>
        <v>96.442499999995334</v>
      </c>
      <c r="Q103" s="3">
        <v>96.442499999999995</v>
      </c>
      <c r="R103" s="6">
        <f t="shared" si="23"/>
        <v>-4.6611603465862572E-12</v>
      </c>
      <c r="S103" s="6" t="str">
        <f t="shared" si="24"/>
        <v>OK</v>
      </c>
    </row>
    <row r="104" spans="1:19" x14ac:dyDescent="0.25">
      <c r="A104" s="3" t="str">
        <f t="shared" si="25"/>
        <v>29.06.2026</v>
      </c>
      <c r="B104" s="5">
        <v>87</v>
      </c>
      <c r="C104" s="5" t="s">
        <v>31</v>
      </c>
      <c r="D104" s="3">
        <v>21.6</v>
      </c>
      <c r="E104" s="3">
        <v>21.594809999999999</v>
      </c>
      <c r="F104" s="6">
        <f t="shared" si="13"/>
        <v>-5.1900000000024704E-3</v>
      </c>
      <c r="G104" s="6">
        <f t="shared" si="14"/>
        <v>-2.4027777777789214E-4</v>
      </c>
      <c r="H104" s="6" t="str">
        <f t="shared" si="15"/>
        <v>🔴 Under-injection</v>
      </c>
      <c r="I104" s="6">
        <f t="shared" si="16"/>
        <v>5.1900000000024704E-3</v>
      </c>
      <c r="J104" s="3">
        <v>10</v>
      </c>
      <c r="K104" s="6">
        <f t="shared" si="17"/>
        <v>3.24</v>
      </c>
      <c r="L104" s="6">
        <f t="shared" si="18"/>
        <v>4.32</v>
      </c>
      <c r="M104" s="6">
        <f t="shared" si="19"/>
        <v>5.1900000000024704E-3</v>
      </c>
      <c r="N104" s="6">
        <f t="shared" si="20"/>
        <v>0</v>
      </c>
      <c r="O104" s="6">
        <f t="shared" si="21"/>
        <v>0</v>
      </c>
      <c r="P104" s="6">
        <f t="shared" si="22"/>
        <v>13.623750000006485</v>
      </c>
      <c r="Q104" s="3">
        <v>13.623750000000001</v>
      </c>
      <c r="R104" s="6">
        <f t="shared" si="23"/>
        <v>6.4837024638109142E-12</v>
      </c>
      <c r="S104" s="6" t="str">
        <f t="shared" si="24"/>
        <v>OK</v>
      </c>
    </row>
    <row r="105" spans="1:19" x14ac:dyDescent="0.25">
      <c r="A105" s="3" t="str">
        <f t="shared" si="25"/>
        <v>29.06.2026</v>
      </c>
      <c r="B105" s="5">
        <v>88</v>
      </c>
      <c r="C105" s="5" t="s">
        <v>30</v>
      </c>
      <c r="D105" s="3">
        <v>21.61</v>
      </c>
      <c r="E105" s="3">
        <v>21.64021</v>
      </c>
      <c r="F105" s="6">
        <f t="shared" si="13"/>
        <v>3.0210000000000292E-2</v>
      </c>
      <c r="G105" s="6">
        <f t="shared" si="14"/>
        <v>1.3979639055992732E-3</v>
      </c>
      <c r="H105" s="6" t="str">
        <f t="shared" si="15"/>
        <v>🟢 Over-injection</v>
      </c>
      <c r="I105" s="6">
        <f t="shared" si="16"/>
        <v>-3.0210000000000292E-2</v>
      </c>
      <c r="J105" s="3">
        <v>10</v>
      </c>
      <c r="K105" s="6">
        <f t="shared" si="17"/>
        <v>3.2414999999999998</v>
      </c>
      <c r="L105" s="6">
        <f t="shared" si="18"/>
        <v>4.3220000000000001</v>
      </c>
      <c r="M105" s="6">
        <f t="shared" si="19"/>
        <v>3.0210000000000292E-2</v>
      </c>
      <c r="N105" s="6">
        <f t="shared" si="20"/>
        <v>0</v>
      </c>
      <c r="O105" s="6">
        <f t="shared" si="21"/>
        <v>0</v>
      </c>
      <c r="P105" s="6">
        <f t="shared" si="22"/>
        <v>-60.420000000000584</v>
      </c>
      <c r="Q105" s="3">
        <v>-60.42</v>
      </c>
      <c r="R105" s="6">
        <f t="shared" si="23"/>
        <v>-5.8264504332328215E-13</v>
      </c>
      <c r="S105" s="6" t="str">
        <f t="shared" si="24"/>
        <v>OK</v>
      </c>
    </row>
    <row r="106" spans="1:19" x14ac:dyDescent="0.25">
      <c r="A106" s="3" t="str">
        <f t="shared" si="25"/>
        <v>29.06.2026</v>
      </c>
      <c r="B106" s="5">
        <v>89</v>
      </c>
      <c r="C106" s="5" t="s">
        <v>29</v>
      </c>
      <c r="D106" s="3">
        <v>20.34</v>
      </c>
      <c r="E106" s="3">
        <v>20.879909999999999</v>
      </c>
      <c r="F106" s="6">
        <f t="shared" si="13"/>
        <v>0.539909999999999</v>
      </c>
      <c r="G106" s="6">
        <f t="shared" si="14"/>
        <v>2.654424778761057E-2</v>
      </c>
      <c r="H106" s="6" t="str">
        <f t="shared" si="15"/>
        <v>🟢 Over-injection</v>
      </c>
      <c r="I106" s="6">
        <f t="shared" si="16"/>
        <v>-0.539909999999999</v>
      </c>
      <c r="J106" s="3">
        <v>10</v>
      </c>
      <c r="K106" s="6">
        <f t="shared" si="17"/>
        <v>3.0509999999999997</v>
      </c>
      <c r="L106" s="6">
        <f t="shared" si="18"/>
        <v>4.0680000000000005</v>
      </c>
      <c r="M106" s="6">
        <f t="shared" si="19"/>
        <v>0.539909999999999</v>
      </c>
      <c r="N106" s="6">
        <f t="shared" si="20"/>
        <v>0</v>
      </c>
      <c r="O106" s="6">
        <f t="shared" si="21"/>
        <v>0</v>
      </c>
      <c r="P106" s="6">
        <f t="shared" si="22"/>
        <v>-1079.8199999999979</v>
      </c>
      <c r="Q106" s="3">
        <v>-1079.82</v>
      </c>
      <c r="R106" s="6">
        <f t="shared" si="23"/>
        <v>2.0463630789890885E-12</v>
      </c>
      <c r="S106" s="6" t="str">
        <f t="shared" si="24"/>
        <v>OK</v>
      </c>
    </row>
    <row r="107" spans="1:19" x14ac:dyDescent="0.25">
      <c r="A107" s="3" t="str">
        <f t="shared" si="25"/>
        <v>29.06.2026</v>
      </c>
      <c r="B107" s="5">
        <v>90</v>
      </c>
      <c r="C107" s="5" t="s">
        <v>28</v>
      </c>
      <c r="D107" s="3">
        <v>20.45</v>
      </c>
      <c r="E107" s="3">
        <v>20.61891</v>
      </c>
      <c r="F107" s="6">
        <f t="shared" si="13"/>
        <v>0.16891000000000034</v>
      </c>
      <c r="G107" s="6">
        <f t="shared" si="14"/>
        <v>8.2596577017115085E-3</v>
      </c>
      <c r="H107" s="6" t="str">
        <f t="shared" si="15"/>
        <v>🟢 Over-injection</v>
      </c>
      <c r="I107" s="6">
        <f t="shared" si="16"/>
        <v>-0.16891000000000034</v>
      </c>
      <c r="J107" s="3">
        <v>10</v>
      </c>
      <c r="K107" s="6">
        <f t="shared" si="17"/>
        <v>3.0674999999999999</v>
      </c>
      <c r="L107" s="6">
        <f t="shared" si="18"/>
        <v>4.09</v>
      </c>
      <c r="M107" s="6">
        <f t="shared" si="19"/>
        <v>0.16891000000000034</v>
      </c>
      <c r="N107" s="6">
        <f t="shared" si="20"/>
        <v>0</v>
      </c>
      <c r="O107" s="6">
        <f t="shared" si="21"/>
        <v>0</v>
      </c>
      <c r="P107" s="6">
        <f t="shared" si="22"/>
        <v>-337.82000000000068</v>
      </c>
      <c r="Q107" s="3">
        <v>-337.82</v>
      </c>
      <c r="R107" s="6">
        <f t="shared" si="23"/>
        <v>-6.8212102632969618E-13</v>
      </c>
      <c r="S107" s="6" t="str">
        <f t="shared" si="24"/>
        <v>OK</v>
      </c>
    </row>
    <row r="108" spans="1:19" x14ac:dyDescent="0.25">
      <c r="A108" s="3" t="str">
        <f t="shared" si="25"/>
        <v>29.06.2026</v>
      </c>
      <c r="B108" s="5">
        <v>91</v>
      </c>
      <c r="C108" s="5" t="s">
        <v>27</v>
      </c>
      <c r="D108" s="3">
        <v>20.69</v>
      </c>
      <c r="E108" s="3">
        <v>20.9253</v>
      </c>
      <c r="F108" s="6">
        <f t="shared" si="13"/>
        <v>0.23529999999999873</v>
      </c>
      <c r="G108" s="6">
        <f t="shared" si="14"/>
        <v>1.1372643789270116E-2</v>
      </c>
      <c r="H108" s="6" t="str">
        <f t="shared" si="15"/>
        <v>🟢 Over-injection</v>
      </c>
      <c r="I108" s="6">
        <f t="shared" si="16"/>
        <v>-0.23529999999999873</v>
      </c>
      <c r="J108" s="3">
        <v>10</v>
      </c>
      <c r="K108" s="6">
        <f t="shared" si="17"/>
        <v>3.1034999999999999</v>
      </c>
      <c r="L108" s="6">
        <f t="shared" si="18"/>
        <v>4.1380000000000008</v>
      </c>
      <c r="M108" s="6">
        <f t="shared" si="19"/>
        <v>0.23529999999999873</v>
      </c>
      <c r="N108" s="6">
        <f t="shared" si="20"/>
        <v>0</v>
      </c>
      <c r="O108" s="6">
        <f t="shared" si="21"/>
        <v>0</v>
      </c>
      <c r="P108" s="6">
        <f t="shared" si="22"/>
        <v>-470.59999999999746</v>
      </c>
      <c r="Q108" s="3">
        <v>-470.6</v>
      </c>
      <c r="R108" s="6">
        <f t="shared" si="23"/>
        <v>2.5579538487363607E-12</v>
      </c>
      <c r="S108" s="6" t="str">
        <f t="shared" si="24"/>
        <v>OK</v>
      </c>
    </row>
    <row r="109" spans="1:19" x14ac:dyDescent="0.25">
      <c r="A109" s="3" t="str">
        <f t="shared" si="25"/>
        <v>29.06.2026</v>
      </c>
      <c r="B109" s="5">
        <v>92</v>
      </c>
      <c r="C109" s="5" t="s">
        <v>26</v>
      </c>
      <c r="D109" s="3">
        <v>20.8</v>
      </c>
      <c r="E109" s="3">
        <v>20.970690000000001</v>
      </c>
      <c r="F109" s="6">
        <f t="shared" si="13"/>
        <v>0.17069000000000045</v>
      </c>
      <c r="G109" s="6">
        <f t="shared" si="14"/>
        <v>8.2062500000000208E-3</v>
      </c>
      <c r="H109" s="6" t="str">
        <f t="shared" si="15"/>
        <v>🟢 Over-injection</v>
      </c>
      <c r="I109" s="6">
        <f t="shared" si="16"/>
        <v>-0.17069000000000045</v>
      </c>
      <c r="J109" s="3">
        <v>10</v>
      </c>
      <c r="K109" s="6">
        <f t="shared" si="17"/>
        <v>3.12</v>
      </c>
      <c r="L109" s="6">
        <f t="shared" si="18"/>
        <v>4.16</v>
      </c>
      <c r="M109" s="6">
        <f t="shared" si="19"/>
        <v>0.17069000000000045</v>
      </c>
      <c r="N109" s="6">
        <f t="shared" si="20"/>
        <v>0</v>
      </c>
      <c r="O109" s="6">
        <f t="shared" si="21"/>
        <v>0</v>
      </c>
      <c r="P109" s="6">
        <f t="shared" si="22"/>
        <v>-341.3800000000009</v>
      </c>
      <c r="Q109" s="3">
        <v>-341.38</v>
      </c>
      <c r="R109" s="6">
        <f t="shared" si="23"/>
        <v>-9.0949470177292824E-13</v>
      </c>
      <c r="S109" s="6" t="str">
        <f t="shared" si="24"/>
        <v>OK</v>
      </c>
    </row>
    <row r="110" spans="1:19" x14ac:dyDescent="0.25">
      <c r="A110" s="3" t="str">
        <f t="shared" si="25"/>
        <v>29.06.2026</v>
      </c>
      <c r="B110" s="5">
        <v>93</v>
      </c>
      <c r="C110" s="5" t="s">
        <v>25</v>
      </c>
      <c r="D110" s="3">
        <v>20.9</v>
      </c>
      <c r="E110" s="3">
        <v>20.970690000000001</v>
      </c>
      <c r="F110" s="6">
        <f t="shared" si="13"/>
        <v>7.0690000000002584E-2</v>
      </c>
      <c r="G110" s="6">
        <f t="shared" si="14"/>
        <v>3.3822966507178272E-3</v>
      </c>
      <c r="H110" s="6" t="str">
        <f t="shared" si="15"/>
        <v>🟢 Over-injection</v>
      </c>
      <c r="I110" s="6">
        <f t="shared" si="16"/>
        <v>-7.0690000000002584E-2</v>
      </c>
      <c r="J110" s="3">
        <v>10</v>
      </c>
      <c r="K110" s="6">
        <f t="shared" si="17"/>
        <v>3.1349999999999998</v>
      </c>
      <c r="L110" s="6">
        <f t="shared" si="18"/>
        <v>4.18</v>
      </c>
      <c r="M110" s="6">
        <f t="shared" si="19"/>
        <v>7.0690000000002584E-2</v>
      </c>
      <c r="N110" s="6">
        <f t="shared" si="20"/>
        <v>0</v>
      </c>
      <c r="O110" s="6">
        <f t="shared" si="21"/>
        <v>0</v>
      </c>
      <c r="P110" s="6">
        <f t="shared" si="22"/>
        <v>-141.38000000000517</v>
      </c>
      <c r="Q110" s="3">
        <v>-141.38</v>
      </c>
      <c r="R110" s="6">
        <f t="shared" si="23"/>
        <v>-5.1727511163335294E-12</v>
      </c>
      <c r="S110" s="6" t="str">
        <f t="shared" si="24"/>
        <v>OK</v>
      </c>
    </row>
    <row r="111" spans="1:19" x14ac:dyDescent="0.25">
      <c r="A111" s="3" t="str">
        <f t="shared" si="25"/>
        <v>29.06.2026</v>
      </c>
      <c r="B111" s="5">
        <v>94</v>
      </c>
      <c r="C111" s="5" t="s">
        <v>24</v>
      </c>
      <c r="D111" s="3">
        <v>20.8</v>
      </c>
      <c r="E111" s="3">
        <v>20.970690000000001</v>
      </c>
      <c r="F111" s="6">
        <f t="shared" si="13"/>
        <v>0.17069000000000045</v>
      </c>
      <c r="G111" s="6">
        <f t="shared" si="14"/>
        <v>8.2062500000000208E-3</v>
      </c>
      <c r="H111" s="6" t="str">
        <f t="shared" si="15"/>
        <v>🟢 Over-injection</v>
      </c>
      <c r="I111" s="6">
        <f t="shared" si="16"/>
        <v>-0.17069000000000045</v>
      </c>
      <c r="J111" s="3">
        <v>10</v>
      </c>
      <c r="K111" s="6">
        <f t="shared" si="17"/>
        <v>3.12</v>
      </c>
      <c r="L111" s="6">
        <f t="shared" si="18"/>
        <v>4.16</v>
      </c>
      <c r="M111" s="6">
        <f t="shared" si="19"/>
        <v>0.17069000000000045</v>
      </c>
      <c r="N111" s="6">
        <f t="shared" si="20"/>
        <v>0</v>
      </c>
      <c r="O111" s="6">
        <f t="shared" si="21"/>
        <v>0</v>
      </c>
      <c r="P111" s="6">
        <f t="shared" si="22"/>
        <v>-341.3800000000009</v>
      </c>
      <c r="Q111" s="3">
        <v>-341.38</v>
      </c>
      <c r="R111" s="6">
        <f t="shared" si="23"/>
        <v>-9.0949470177292824E-13</v>
      </c>
      <c r="S111" s="6" t="str">
        <f t="shared" si="24"/>
        <v>OK</v>
      </c>
    </row>
    <row r="112" spans="1:19" x14ac:dyDescent="0.25">
      <c r="A112" s="3" t="str">
        <f t="shared" si="25"/>
        <v>29.06.2026</v>
      </c>
      <c r="B112" s="5">
        <v>95</v>
      </c>
      <c r="C112" s="5" t="s">
        <v>23</v>
      </c>
      <c r="D112" s="3">
        <v>20.78</v>
      </c>
      <c r="E112" s="3">
        <v>20.959350000000001</v>
      </c>
      <c r="F112" s="6">
        <f t="shared" si="13"/>
        <v>0.17934999999999945</v>
      </c>
      <c r="G112" s="6">
        <f t="shared" si="14"/>
        <v>8.6308950914340439E-3</v>
      </c>
      <c r="H112" s="6" t="str">
        <f t="shared" si="15"/>
        <v>🟢 Over-injection</v>
      </c>
      <c r="I112" s="6">
        <f t="shared" si="16"/>
        <v>-0.17934999999999945</v>
      </c>
      <c r="J112" s="3">
        <v>10</v>
      </c>
      <c r="K112" s="6">
        <f t="shared" si="17"/>
        <v>3.117</v>
      </c>
      <c r="L112" s="6">
        <f t="shared" si="18"/>
        <v>4.1560000000000006</v>
      </c>
      <c r="M112" s="6">
        <f t="shared" si="19"/>
        <v>0.17934999999999945</v>
      </c>
      <c r="N112" s="6">
        <f t="shared" si="20"/>
        <v>0</v>
      </c>
      <c r="O112" s="6">
        <f t="shared" si="21"/>
        <v>0</v>
      </c>
      <c r="P112" s="6">
        <f t="shared" si="22"/>
        <v>-358.69999999999897</v>
      </c>
      <c r="Q112" s="3">
        <v>-358.70000000000005</v>
      </c>
      <c r="R112" s="6">
        <f t="shared" si="23"/>
        <v>1.0800249583553523E-12</v>
      </c>
      <c r="S112" s="6" t="str">
        <f t="shared" si="24"/>
        <v>OK</v>
      </c>
    </row>
    <row r="113" spans="1:19" x14ac:dyDescent="0.25">
      <c r="A113" s="3" t="str">
        <f t="shared" si="25"/>
        <v>29.06.2026</v>
      </c>
      <c r="B113" s="5">
        <v>96</v>
      </c>
      <c r="C113" s="5" t="s">
        <v>22</v>
      </c>
      <c r="D113" s="3">
        <v>20.76</v>
      </c>
      <c r="E113" s="3">
        <v>20.959350000000001</v>
      </c>
      <c r="F113" s="6">
        <f t="shared" si="13"/>
        <v>0.19934999999999903</v>
      </c>
      <c r="G113" s="6">
        <f t="shared" si="14"/>
        <v>9.602601156069316E-3</v>
      </c>
      <c r="H113" s="6" t="str">
        <f t="shared" si="15"/>
        <v>🟢 Over-injection</v>
      </c>
      <c r="I113" s="6">
        <f t="shared" si="16"/>
        <v>-0.19934999999999903</v>
      </c>
      <c r="J113" s="3">
        <v>10</v>
      </c>
      <c r="K113" s="6">
        <f t="shared" si="17"/>
        <v>3.1140000000000003</v>
      </c>
      <c r="L113" s="6">
        <f t="shared" si="18"/>
        <v>4.1520000000000001</v>
      </c>
      <c r="M113" s="6">
        <f t="shared" si="19"/>
        <v>0.19934999999999903</v>
      </c>
      <c r="N113" s="6">
        <f t="shared" si="20"/>
        <v>0</v>
      </c>
      <c r="O113" s="6">
        <f t="shared" si="21"/>
        <v>0</v>
      </c>
      <c r="P113" s="6">
        <f t="shared" si="22"/>
        <v>-398.69999999999806</v>
      </c>
      <c r="Q113" s="3">
        <v>-398.7</v>
      </c>
      <c r="R113" s="6">
        <f t="shared" si="23"/>
        <v>1.9326762412674725E-12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19.3</v>
      </c>
      <c r="E114" s="3">
        <v>20.074210000000001</v>
      </c>
      <c r="F114" s="6">
        <f t="shared" si="13"/>
        <v>0.77421000000000006</v>
      </c>
      <c r="G114" s="6">
        <f t="shared" si="14"/>
        <v>4.0114507772020726E-2</v>
      </c>
      <c r="H114" s="6" t="str">
        <f t="shared" si="15"/>
        <v>🟢 Over-injection</v>
      </c>
      <c r="I114" s="6">
        <f t="shared" si="16"/>
        <v>-0.77421000000000006</v>
      </c>
      <c r="J114" s="3">
        <v>10</v>
      </c>
      <c r="K114" s="6">
        <f t="shared" si="17"/>
        <v>2.895</v>
      </c>
      <c r="L114" s="6">
        <f t="shared" si="18"/>
        <v>3.8600000000000003</v>
      </c>
      <c r="M114" s="6">
        <f t="shared" si="19"/>
        <v>0.77421000000000006</v>
      </c>
      <c r="N114" s="6">
        <f t="shared" si="20"/>
        <v>0</v>
      </c>
      <c r="O114" s="6">
        <f t="shared" si="21"/>
        <v>0</v>
      </c>
      <c r="P114" s="6">
        <f t="shared" si="22"/>
        <v>-1548.4200000000003</v>
      </c>
      <c r="Q114" s="3">
        <v>-1548.4199999999998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 t="shared" si="25"/>
        <v>30.06.2026</v>
      </c>
      <c r="B115" s="5">
        <v>2</v>
      </c>
      <c r="C115" s="5" t="s">
        <v>116</v>
      </c>
      <c r="D115" s="3">
        <v>19.29</v>
      </c>
      <c r="E115" s="3">
        <v>19.48413</v>
      </c>
      <c r="F115" s="6">
        <f t="shared" si="13"/>
        <v>0.19413000000000125</v>
      </c>
      <c r="G115" s="6">
        <f t="shared" si="14"/>
        <v>1.0063763608087157E-2</v>
      </c>
      <c r="H115" s="6" t="str">
        <f t="shared" si="15"/>
        <v>🟢 Over-injection</v>
      </c>
      <c r="I115" s="6">
        <f t="shared" si="16"/>
        <v>-0.19413000000000125</v>
      </c>
      <c r="J115" s="3">
        <v>10</v>
      </c>
      <c r="K115" s="6">
        <f t="shared" si="17"/>
        <v>2.8935</v>
      </c>
      <c r="L115" s="6">
        <f t="shared" si="18"/>
        <v>3.8580000000000001</v>
      </c>
      <c r="M115" s="6">
        <f t="shared" si="19"/>
        <v>0.19413000000000125</v>
      </c>
      <c r="N115" s="6">
        <f t="shared" si="20"/>
        <v>0</v>
      </c>
      <c r="O115" s="6">
        <f t="shared" si="21"/>
        <v>0</v>
      </c>
      <c r="P115" s="6">
        <f t="shared" si="22"/>
        <v>-388.26000000000249</v>
      </c>
      <c r="Q115" s="3">
        <v>-388.26</v>
      </c>
      <c r="R115" s="6">
        <f t="shared" si="23"/>
        <v>-2.5011104298755527E-12</v>
      </c>
      <c r="S115" s="6" t="str">
        <f t="shared" si="24"/>
        <v>OK</v>
      </c>
    </row>
    <row r="116" spans="1:19" x14ac:dyDescent="0.25">
      <c r="A116" s="3" t="str">
        <f t="shared" si="25"/>
        <v>30.06.2026</v>
      </c>
      <c r="B116" s="5">
        <v>3</v>
      </c>
      <c r="C116" s="5" t="s">
        <v>115</v>
      </c>
      <c r="D116" s="3">
        <v>19.29</v>
      </c>
      <c r="E116" s="3">
        <v>19.495480000000001</v>
      </c>
      <c r="F116" s="6">
        <f t="shared" si="13"/>
        <v>0.20548000000000144</v>
      </c>
      <c r="G116" s="6">
        <f t="shared" si="14"/>
        <v>1.0652151373768867E-2</v>
      </c>
      <c r="H116" s="6" t="str">
        <f t="shared" si="15"/>
        <v>🟢 Over-injection</v>
      </c>
      <c r="I116" s="6">
        <f t="shared" si="16"/>
        <v>-0.20548000000000144</v>
      </c>
      <c r="J116" s="3">
        <v>10</v>
      </c>
      <c r="K116" s="6">
        <f t="shared" si="17"/>
        <v>2.8935</v>
      </c>
      <c r="L116" s="6">
        <f t="shared" si="18"/>
        <v>3.8580000000000001</v>
      </c>
      <c r="M116" s="6">
        <f t="shared" si="19"/>
        <v>0.20548000000000144</v>
      </c>
      <c r="N116" s="6">
        <f t="shared" si="20"/>
        <v>0</v>
      </c>
      <c r="O116" s="6">
        <f t="shared" si="21"/>
        <v>0</v>
      </c>
      <c r="P116" s="6">
        <f t="shared" si="22"/>
        <v>-410.96000000000294</v>
      </c>
      <c r="Q116" s="3">
        <v>-410.96</v>
      </c>
      <c r="R116" s="6">
        <f t="shared" si="23"/>
        <v>-2.9558577807620168E-12</v>
      </c>
      <c r="S116" s="6" t="str">
        <f t="shared" si="24"/>
        <v>OK</v>
      </c>
    </row>
    <row r="117" spans="1:19" x14ac:dyDescent="0.25">
      <c r="A117" s="3" t="str">
        <f t="shared" si="25"/>
        <v>30.06.2026</v>
      </c>
      <c r="B117" s="5">
        <v>4</v>
      </c>
      <c r="C117" s="5" t="s">
        <v>114</v>
      </c>
      <c r="D117" s="3">
        <v>19.27</v>
      </c>
      <c r="E117" s="3">
        <v>19.495480000000001</v>
      </c>
      <c r="F117" s="6">
        <f t="shared" si="13"/>
        <v>0.22548000000000101</v>
      </c>
      <c r="G117" s="6">
        <f t="shared" si="14"/>
        <v>1.1701089776855269E-2</v>
      </c>
      <c r="H117" s="6" t="str">
        <f t="shared" si="15"/>
        <v>🟢 Over-injection</v>
      </c>
      <c r="I117" s="6">
        <f t="shared" si="16"/>
        <v>-0.22548000000000101</v>
      </c>
      <c r="J117" s="3">
        <v>10</v>
      </c>
      <c r="K117" s="6">
        <f t="shared" si="17"/>
        <v>2.8904999999999998</v>
      </c>
      <c r="L117" s="6">
        <f t="shared" si="18"/>
        <v>3.8540000000000001</v>
      </c>
      <c r="M117" s="6">
        <f t="shared" si="19"/>
        <v>0.22548000000000101</v>
      </c>
      <c r="N117" s="6">
        <f t="shared" si="20"/>
        <v>0</v>
      </c>
      <c r="O117" s="6">
        <f t="shared" si="21"/>
        <v>0</v>
      </c>
      <c r="P117" s="6">
        <f t="shared" si="22"/>
        <v>-450.96000000000203</v>
      </c>
      <c r="Q117" s="3">
        <v>-450.96000000000004</v>
      </c>
      <c r="R117" s="6">
        <f t="shared" si="23"/>
        <v>-1.9895196601282805E-12</v>
      </c>
      <c r="S117" s="6" t="str">
        <f t="shared" si="24"/>
        <v>OK</v>
      </c>
    </row>
    <row r="118" spans="1:19" x14ac:dyDescent="0.25">
      <c r="A118" s="3" t="str">
        <f t="shared" si="25"/>
        <v>30.06.2026</v>
      </c>
      <c r="B118" s="5">
        <v>5</v>
      </c>
      <c r="C118" s="5" t="s">
        <v>113</v>
      </c>
      <c r="D118" s="3">
        <v>19.260000000000002</v>
      </c>
      <c r="E118" s="3">
        <v>19.495480000000001</v>
      </c>
      <c r="F118" s="6">
        <f t="shared" si="13"/>
        <v>0.23547999999999902</v>
      </c>
      <c r="G118" s="6">
        <f t="shared" si="14"/>
        <v>1.2226375908618848E-2</v>
      </c>
      <c r="H118" s="6" t="str">
        <f t="shared" si="15"/>
        <v>🟢 Over-injection</v>
      </c>
      <c r="I118" s="6">
        <f t="shared" si="16"/>
        <v>-0.23547999999999902</v>
      </c>
      <c r="J118" s="3">
        <v>10</v>
      </c>
      <c r="K118" s="6">
        <f t="shared" si="17"/>
        <v>2.8890000000000002</v>
      </c>
      <c r="L118" s="6">
        <f t="shared" si="18"/>
        <v>3.8520000000000003</v>
      </c>
      <c r="M118" s="6">
        <f t="shared" si="19"/>
        <v>0.23547999999999902</v>
      </c>
      <c r="N118" s="6">
        <f t="shared" si="20"/>
        <v>0</v>
      </c>
      <c r="O118" s="6">
        <f t="shared" si="21"/>
        <v>0</v>
      </c>
      <c r="P118" s="6">
        <f t="shared" si="22"/>
        <v>-470.95999999999805</v>
      </c>
      <c r="Q118" s="3">
        <v>-470.96</v>
      </c>
      <c r="R118" s="6">
        <f t="shared" si="23"/>
        <v>1.9326762412674725E-12</v>
      </c>
      <c r="S118" s="6" t="str">
        <f t="shared" si="24"/>
        <v>OK</v>
      </c>
    </row>
    <row r="119" spans="1:19" x14ac:dyDescent="0.25">
      <c r="A119" s="3" t="str">
        <f t="shared" si="25"/>
        <v>30.06.2026</v>
      </c>
      <c r="B119" s="5">
        <v>6</v>
      </c>
      <c r="C119" s="5" t="s">
        <v>112</v>
      </c>
      <c r="D119" s="3">
        <v>19.350000000000001</v>
      </c>
      <c r="E119" s="3">
        <v>19.495480000000001</v>
      </c>
      <c r="F119" s="6">
        <f t="shared" si="13"/>
        <v>0.14547999999999917</v>
      </c>
      <c r="G119" s="6">
        <f t="shared" si="14"/>
        <v>7.5183462532299305E-3</v>
      </c>
      <c r="H119" s="6" t="str">
        <f t="shared" si="15"/>
        <v>🟢 Over-injection</v>
      </c>
      <c r="I119" s="6">
        <f t="shared" si="16"/>
        <v>-0.14547999999999917</v>
      </c>
      <c r="J119" s="3">
        <v>10</v>
      </c>
      <c r="K119" s="6">
        <f t="shared" si="17"/>
        <v>2.9025000000000003</v>
      </c>
      <c r="L119" s="6">
        <f t="shared" si="18"/>
        <v>3.8700000000000006</v>
      </c>
      <c r="M119" s="6">
        <f t="shared" si="19"/>
        <v>0.14547999999999917</v>
      </c>
      <c r="N119" s="6">
        <f t="shared" si="20"/>
        <v>0</v>
      </c>
      <c r="O119" s="6">
        <f t="shared" si="21"/>
        <v>0</v>
      </c>
      <c r="P119" s="6">
        <f t="shared" si="22"/>
        <v>-290.95999999999833</v>
      </c>
      <c r="Q119" s="3">
        <v>-290.95999999999998</v>
      </c>
      <c r="R119" s="6">
        <f t="shared" si="23"/>
        <v>1.6484591469634324E-12</v>
      </c>
      <c r="S119" s="6" t="str">
        <f t="shared" si="24"/>
        <v>OK</v>
      </c>
    </row>
    <row r="120" spans="1:19" x14ac:dyDescent="0.25">
      <c r="A120" s="3" t="str">
        <f t="shared" si="25"/>
        <v>30.06.2026</v>
      </c>
      <c r="B120" s="5">
        <v>7</v>
      </c>
      <c r="C120" s="5" t="s">
        <v>111</v>
      </c>
      <c r="D120" s="3">
        <v>19.3</v>
      </c>
      <c r="E120" s="3">
        <v>19.495480000000001</v>
      </c>
      <c r="F120" s="6">
        <f t="shared" si="13"/>
        <v>0.19547999999999988</v>
      </c>
      <c r="G120" s="6">
        <f t="shared" si="14"/>
        <v>1.0128497409326418E-2</v>
      </c>
      <c r="H120" s="6" t="str">
        <f t="shared" si="15"/>
        <v>🟢 Over-injection</v>
      </c>
      <c r="I120" s="6">
        <f t="shared" si="16"/>
        <v>-0.19547999999999988</v>
      </c>
      <c r="J120" s="3">
        <v>10</v>
      </c>
      <c r="K120" s="6">
        <f t="shared" si="17"/>
        <v>2.895</v>
      </c>
      <c r="L120" s="6">
        <f t="shared" si="18"/>
        <v>3.8600000000000003</v>
      </c>
      <c r="M120" s="6">
        <f t="shared" si="19"/>
        <v>0.19547999999999988</v>
      </c>
      <c r="N120" s="6">
        <f t="shared" si="20"/>
        <v>0</v>
      </c>
      <c r="O120" s="6">
        <f t="shared" si="21"/>
        <v>0</v>
      </c>
      <c r="P120" s="6">
        <f t="shared" si="22"/>
        <v>-390.95999999999975</v>
      </c>
      <c r="Q120" s="3">
        <v>-390.96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5"/>
        <v>30.06.2026</v>
      </c>
      <c r="B121" s="5">
        <v>8</v>
      </c>
      <c r="C121" s="5" t="s">
        <v>110</v>
      </c>
      <c r="D121" s="3">
        <v>19.36</v>
      </c>
      <c r="E121" s="3">
        <v>19.48413</v>
      </c>
      <c r="F121" s="6">
        <f t="shared" si="13"/>
        <v>0.12413000000000096</v>
      </c>
      <c r="G121" s="6">
        <f t="shared" si="14"/>
        <v>6.4116735537190581E-3</v>
      </c>
      <c r="H121" s="6" t="str">
        <f t="shared" si="15"/>
        <v>🟢 Over-injection</v>
      </c>
      <c r="I121" s="6">
        <f t="shared" si="16"/>
        <v>-0.12413000000000096</v>
      </c>
      <c r="J121" s="3">
        <v>10</v>
      </c>
      <c r="K121" s="6">
        <f t="shared" si="17"/>
        <v>2.9039999999999999</v>
      </c>
      <c r="L121" s="6">
        <f t="shared" si="18"/>
        <v>3.8719999999999999</v>
      </c>
      <c r="M121" s="6">
        <f t="shared" si="19"/>
        <v>0.12413000000000096</v>
      </c>
      <c r="N121" s="6">
        <f t="shared" si="20"/>
        <v>0</v>
      </c>
      <c r="O121" s="6">
        <f t="shared" si="21"/>
        <v>0</v>
      </c>
      <c r="P121" s="6">
        <f t="shared" si="22"/>
        <v>-248.26000000000195</v>
      </c>
      <c r="Q121" s="3">
        <v>-248.26000000000002</v>
      </c>
      <c r="R121" s="6">
        <f t="shared" si="23"/>
        <v>-1.9326762412674725E-12</v>
      </c>
      <c r="S121" s="6" t="str">
        <f t="shared" si="24"/>
        <v>OK</v>
      </c>
    </row>
    <row r="122" spans="1:19" x14ac:dyDescent="0.25">
      <c r="A122" s="3" t="str">
        <f t="shared" si="25"/>
        <v>30.06.2026</v>
      </c>
      <c r="B122" s="5">
        <v>9</v>
      </c>
      <c r="C122" s="5" t="s">
        <v>109</v>
      </c>
      <c r="D122" s="3">
        <v>18.329999999999998</v>
      </c>
      <c r="E122" s="3">
        <v>18.701129999999999</v>
      </c>
      <c r="F122" s="6">
        <f t="shared" si="13"/>
        <v>0.37113000000000085</v>
      </c>
      <c r="G122" s="6">
        <f t="shared" si="14"/>
        <v>2.024713584288057E-2</v>
      </c>
      <c r="H122" s="6" t="str">
        <f t="shared" si="15"/>
        <v>🟢 Over-injection</v>
      </c>
      <c r="I122" s="6">
        <f t="shared" si="16"/>
        <v>-0.37113000000000085</v>
      </c>
      <c r="J122" s="3">
        <v>10</v>
      </c>
      <c r="K122" s="6">
        <f t="shared" si="17"/>
        <v>2.7494999999999998</v>
      </c>
      <c r="L122" s="6">
        <f t="shared" si="18"/>
        <v>3.6659999999999999</v>
      </c>
      <c r="M122" s="6">
        <f t="shared" si="19"/>
        <v>0.37113000000000085</v>
      </c>
      <c r="N122" s="6">
        <f t="shared" si="20"/>
        <v>0</v>
      </c>
      <c r="O122" s="6">
        <f t="shared" si="21"/>
        <v>0</v>
      </c>
      <c r="P122" s="6">
        <f t="shared" si="22"/>
        <v>-742.2600000000017</v>
      </c>
      <c r="Q122" s="3">
        <v>-742.26</v>
      </c>
      <c r="R122" s="6">
        <f t="shared" si="23"/>
        <v>-1.7053025658242404E-12</v>
      </c>
      <c r="S122" s="6" t="str">
        <f t="shared" si="24"/>
        <v>OK</v>
      </c>
    </row>
    <row r="123" spans="1:19" x14ac:dyDescent="0.25">
      <c r="A123" s="3" t="str">
        <f t="shared" si="25"/>
        <v>30.06.2026</v>
      </c>
      <c r="B123" s="5">
        <v>10</v>
      </c>
      <c r="C123" s="5" t="s">
        <v>108</v>
      </c>
      <c r="D123" s="3">
        <v>18.28</v>
      </c>
      <c r="E123" s="3">
        <v>18.508220000000001</v>
      </c>
      <c r="F123" s="6">
        <f t="shared" si="13"/>
        <v>0.22822000000000031</v>
      </c>
      <c r="G123" s="6">
        <f t="shared" si="14"/>
        <v>1.2484682713347937E-2</v>
      </c>
      <c r="H123" s="6" t="str">
        <f t="shared" si="15"/>
        <v>🟢 Over-injection</v>
      </c>
      <c r="I123" s="6">
        <f t="shared" si="16"/>
        <v>-0.22822000000000031</v>
      </c>
      <c r="J123" s="3">
        <v>10</v>
      </c>
      <c r="K123" s="6">
        <f t="shared" si="17"/>
        <v>2.742</v>
      </c>
      <c r="L123" s="6">
        <f t="shared" si="18"/>
        <v>3.6560000000000006</v>
      </c>
      <c r="M123" s="6">
        <f t="shared" si="19"/>
        <v>0.22822000000000031</v>
      </c>
      <c r="N123" s="6">
        <f t="shared" si="20"/>
        <v>0</v>
      </c>
      <c r="O123" s="6">
        <f t="shared" si="21"/>
        <v>0</v>
      </c>
      <c r="P123" s="6">
        <f t="shared" si="22"/>
        <v>-456.44000000000068</v>
      </c>
      <c r="Q123" s="3">
        <v>-456.44</v>
      </c>
      <c r="R123" s="6">
        <f t="shared" si="23"/>
        <v>-6.8212102632969618E-13</v>
      </c>
      <c r="S123" s="6" t="str">
        <f t="shared" si="24"/>
        <v>OK</v>
      </c>
    </row>
    <row r="124" spans="1:19" x14ac:dyDescent="0.25">
      <c r="A124" s="3" t="str">
        <f t="shared" si="25"/>
        <v>30.06.2026</v>
      </c>
      <c r="B124" s="5">
        <v>11</v>
      </c>
      <c r="C124" s="5" t="s">
        <v>107</v>
      </c>
      <c r="D124" s="3">
        <v>18.3</v>
      </c>
      <c r="E124" s="3">
        <v>18.496870000000001</v>
      </c>
      <c r="F124" s="6">
        <f t="shared" si="13"/>
        <v>0.19687000000000054</v>
      </c>
      <c r="G124" s="6">
        <f t="shared" si="14"/>
        <v>1.0757923497267789E-2</v>
      </c>
      <c r="H124" s="6" t="str">
        <f t="shared" si="15"/>
        <v>🟢 Over-injection</v>
      </c>
      <c r="I124" s="6">
        <f t="shared" si="16"/>
        <v>-0.19687000000000054</v>
      </c>
      <c r="J124" s="3">
        <v>10</v>
      </c>
      <c r="K124" s="6">
        <f t="shared" si="17"/>
        <v>2.7450000000000001</v>
      </c>
      <c r="L124" s="6">
        <f t="shared" si="18"/>
        <v>3.66</v>
      </c>
      <c r="M124" s="6">
        <f t="shared" si="19"/>
        <v>0.19687000000000054</v>
      </c>
      <c r="N124" s="6">
        <f t="shared" si="20"/>
        <v>0</v>
      </c>
      <c r="O124" s="6">
        <f t="shared" si="21"/>
        <v>0</v>
      </c>
      <c r="P124" s="6">
        <f t="shared" si="22"/>
        <v>-393.74000000000109</v>
      </c>
      <c r="Q124" s="3">
        <v>-393.73999999999995</v>
      </c>
      <c r="R124" s="6">
        <f t="shared" si="23"/>
        <v>-1.1368683772161603E-12</v>
      </c>
      <c r="S124" s="6" t="str">
        <f t="shared" si="24"/>
        <v>OK</v>
      </c>
    </row>
    <row r="125" spans="1:19" x14ac:dyDescent="0.25">
      <c r="A125" s="3" t="str">
        <f t="shared" si="25"/>
        <v>30.06.2026</v>
      </c>
      <c r="B125" s="5">
        <v>12</v>
      </c>
      <c r="C125" s="5" t="s">
        <v>106</v>
      </c>
      <c r="D125" s="3">
        <v>18.28</v>
      </c>
      <c r="E125" s="3">
        <v>18.496870000000001</v>
      </c>
      <c r="F125" s="6">
        <f t="shared" si="13"/>
        <v>0.21687000000000012</v>
      </c>
      <c r="G125" s="6">
        <f t="shared" si="14"/>
        <v>1.1863785557986877E-2</v>
      </c>
      <c r="H125" s="6" t="str">
        <f t="shared" si="15"/>
        <v>🟢 Over-injection</v>
      </c>
      <c r="I125" s="6">
        <f t="shared" si="16"/>
        <v>-0.21687000000000012</v>
      </c>
      <c r="J125" s="3">
        <v>10</v>
      </c>
      <c r="K125" s="6">
        <f t="shared" si="17"/>
        <v>2.742</v>
      </c>
      <c r="L125" s="6">
        <f t="shared" si="18"/>
        <v>3.6560000000000006</v>
      </c>
      <c r="M125" s="6">
        <f t="shared" si="19"/>
        <v>0.21687000000000012</v>
      </c>
      <c r="N125" s="6">
        <f t="shared" si="20"/>
        <v>0</v>
      </c>
      <c r="O125" s="6">
        <f t="shared" si="21"/>
        <v>0</v>
      </c>
      <c r="P125" s="6">
        <f t="shared" si="22"/>
        <v>-433.74000000000024</v>
      </c>
      <c r="Q125" s="3">
        <v>-433.74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5"/>
        <v>30.06.2026</v>
      </c>
      <c r="B126" s="5">
        <v>13</v>
      </c>
      <c r="C126" s="5" t="s">
        <v>105</v>
      </c>
      <c r="D126" s="3">
        <v>18.329999999999998</v>
      </c>
      <c r="E126" s="3">
        <v>18.496870000000001</v>
      </c>
      <c r="F126" s="6">
        <f t="shared" si="13"/>
        <v>0.16687000000000296</v>
      </c>
      <c r="G126" s="6">
        <f t="shared" si="14"/>
        <v>9.1036552100383517E-3</v>
      </c>
      <c r="H126" s="6" t="str">
        <f t="shared" si="15"/>
        <v>🟢 Over-injection</v>
      </c>
      <c r="I126" s="6">
        <f t="shared" si="16"/>
        <v>-0.16687000000000296</v>
      </c>
      <c r="J126" s="3">
        <v>10</v>
      </c>
      <c r="K126" s="6">
        <f t="shared" si="17"/>
        <v>2.7494999999999998</v>
      </c>
      <c r="L126" s="6">
        <f t="shared" si="18"/>
        <v>3.6659999999999999</v>
      </c>
      <c r="M126" s="6">
        <f t="shared" si="19"/>
        <v>0.16687000000000296</v>
      </c>
      <c r="N126" s="6">
        <f t="shared" si="20"/>
        <v>0</v>
      </c>
      <c r="O126" s="6">
        <f t="shared" si="21"/>
        <v>0</v>
      </c>
      <c r="P126" s="6">
        <f t="shared" si="22"/>
        <v>-333.74000000000592</v>
      </c>
      <c r="Q126" s="3">
        <v>-333.74</v>
      </c>
      <c r="R126" s="6">
        <f t="shared" si="23"/>
        <v>-5.9117155615240335E-12</v>
      </c>
      <c r="S126" s="6" t="str">
        <f t="shared" si="24"/>
        <v>OK</v>
      </c>
    </row>
    <row r="127" spans="1:19" x14ac:dyDescent="0.25">
      <c r="A127" s="3" t="str">
        <f t="shared" si="25"/>
        <v>30.06.2026</v>
      </c>
      <c r="B127" s="5">
        <v>14</v>
      </c>
      <c r="C127" s="5" t="s">
        <v>104</v>
      </c>
      <c r="D127" s="3">
        <v>18.350000000000001</v>
      </c>
      <c r="E127" s="3">
        <v>18.496870000000001</v>
      </c>
      <c r="F127" s="6">
        <f t="shared" si="13"/>
        <v>0.14686999999999983</v>
      </c>
      <c r="G127" s="6">
        <f t="shared" si="14"/>
        <v>8.0038147138964486E-3</v>
      </c>
      <c r="H127" s="6" t="str">
        <f t="shared" si="15"/>
        <v>🟢 Over-injection</v>
      </c>
      <c r="I127" s="6">
        <f t="shared" si="16"/>
        <v>-0.14686999999999983</v>
      </c>
      <c r="J127" s="3">
        <v>10</v>
      </c>
      <c r="K127" s="6">
        <f t="shared" si="17"/>
        <v>2.7524999999999999</v>
      </c>
      <c r="L127" s="6">
        <f t="shared" si="18"/>
        <v>3.6700000000000004</v>
      </c>
      <c r="M127" s="6">
        <f t="shared" si="19"/>
        <v>0.14686999999999983</v>
      </c>
      <c r="N127" s="6">
        <f t="shared" si="20"/>
        <v>0</v>
      </c>
      <c r="O127" s="6">
        <f t="shared" si="21"/>
        <v>0</v>
      </c>
      <c r="P127" s="6">
        <f t="shared" si="22"/>
        <v>-293.73999999999967</v>
      </c>
      <c r="Q127" s="3">
        <v>-293.74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5"/>
        <v>30.06.2026</v>
      </c>
      <c r="B128" s="5">
        <v>15</v>
      </c>
      <c r="C128" s="5" t="s">
        <v>103</v>
      </c>
      <c r="D128" s="3">
        <v>16.579999999999998</v>
      </c>
      <c r="E128" s="3">
        <v>17.112449999999999</v>
      </c>
      <c r="F128" s="6">
        <f t="shared" si="13"/>
        <v>0.53245000000000076</v>
      </c>
      <c r="G128" s="6">
        <f t="shared" si="14"/>
        <v>3.2113992762364346E-2</v>
      </c>
      <c r="H128" s="6" t="str">
        <f t="shared" si="15"/>
        <v>🟢 Over-injection</v>
      </c>
      <c r="I128" s="6">
        <f t="shared" si="16"/>
        <v>-0.53245000000000076</v>
      </c>
      <c r="J128" s="3">
        <v>10</v>
      </c>
      <c r="K128" s="6">
        <f t="shared" si="17"/>
        <v>2.4869999999999997</v>
      </c>
      <c r="L128" s="6">
        <f t="shared" si="18"/>
        <v>3.3159999999999998</v>
      </c>
      <c r="M128" s="6">
        <f t="shared" si="19"/>
        <v>0.53245000000000076</v>
      </c>
      <c r="N128" s="6">
        <f t="shared" si="20"/>
        <v>0</v>
      </c>
      <c r="O128" s="6">
        <f t="shared" si="21"/>
        <v>0</v>
      </c>
      <c r="P128" s="6">
        <f t="shared" si="22"/>
        <v>-1064.9000000000015</v>
      </c>
      <c r="Q128" s="3">
        <v>-1064.8999999999999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5"/>
        <v>30.06.2026</v>
      </c>
      <c r="B129" s="5">
        <v>16</v>
      </c>
      <c r="C129" s="5" t="s">
        <v>102</v>
      </c>
      <c r="D129" s="3">
        <v>16.53</v>
      </c>
      <c r="E129" s="3">
        <v>16.69258</v>
      </c>
      <c r="F129" s="6">
        <f t="shared" si="13"/>
        <v>0.16257999999999839</v>
      </c>
      <c r="G129" s="6">
        <f t="shared" si="14"/>
        <v>9.8354506957046804E-3</v>
      </c>
      <c r="H129" s="6" t="str">
        <f t="shared" si="15"/>
        <v>🟢 Over-injection</v>
      </c>
      <c r="I129" s="6">
        <f t="shared" si="16"/>
        <v>-0.16257999999999839</v>
      </c>
      <c r="J129" s="3">
        <v>10</v>
      </c>
      <c r="K129" s="6">
        <f t="shared" si="17"/>
        <v>2.4795000000000003</v>
      </c>
      <c r="L129" s="6">
        <f t="shared" si="18"/>
        <v>3.3060000000000005</v>
      </c>
      <c r="M129" s="6">
        <f t="shared" si="19"/>
        <v>0.16257999999999839</v>
      </c>
      <c r="N129" s="6">
        <f t="shared" si="20"/>
        <v>0</v>
      </c>
      <c r="O129" s="6">
        <f t="shared" si="21"/>
        <v>0</v>
      </c>
      <c r="P129" s="6">
        <f t="shared" si="22"/>
        <v>-325.15999999999678</v>
      </c>
      <c r="Q129" s="3">
        <v>-325.16000000000003</v>
      </c>
      <c r="R129" s="6">
        <f t="shared" si="23"/>
        <v>3.2400748750660568E-12</v>
      </c>
      <c r="S129" s="6" t="str">
        <f t="shared" si="24"/>
        <v>OK</v>
      </c>
    </row>
    <row r="130" spans="1:19" x14ac:dyDescent="0.25">
      <c r="A130" s="3" t="str">
        <f t="shared" si="25"/>
        <v>30.06.2026</v>
      </c>
      <c r="B130" s="5">
        <v>17</v>
      </c>
      <c r="C130" s="5" t="s">
        <v>101</v>
      </c>
      <c r="D130" s="3">
        <v>16.559999999999999</v>
      </c>
      <c r="E130" s="3">
        <v>16.69258</v>
      </c>
      <c r="F130" s="6">
        <f t="shared" si="13"/>
        <v>0.13258000000000081</v>
      </c>
      <c r="G130" s="6">
        <f t="shared" si="14"/>
        <v>8.0060386473430438E-3</v>
      </c>
      <c r="H130" s="6" t="str">
        <f t="shared" si="15"/>
        <v>🟢 Over-injection</v>
      </c>
      <c r="I130" s="6">
        <f t="shared" si="16"/>
        <v>-0.13258000000000081</v>
      </c>
      <c r="J130" s="3">
        <v>10</v>
      </c>
      <c r="K130" s="6">
        <f t="shared" si="17"/>
        <v>2.4839999999999995</v>
      </c>
      <c r="L130" s="6">
        <f t="shared" si="18"/>
        <v>3.3119999999999998</v>
      </c>
      <c r="M130" s="6">
        <f t="shared" si="19"/>
        <v>0.13258000000000081</v>
      </c>
      <c r="N130" s="6">
        <f t="shared" si="20"/>
        <v>0</v>
      </c>
      <c r="O130" s="6">
        <f t="shared" si="21"/>
        <v>0</v>
      </c>
      <c r="P130" s="6">
        <f t="shared" si="22"/>
        <v>-265.16000000000162</v>
      </c>
      <c r="Q130" s="3">
        <v>-265.16000000000003</v>
      </c>
      <c r="R130" s="6">
        <f t="shared" si="23"/>
        <v>-1.5916157281026244E-12</v>
      </c>
      <c r="S130" s="6" t="str">
        <f t="shared" si="24"/>
        <v>OK</v>
      </c>
    </row>
    <row r="131" spans="1:19" x14ac:dyDescent="0.25">
      <c r="A131" s="3" t="str">
        <f t="shared" si="25"/>
        <v>30.06.2026</v>
      </c>
      <c r="B131" s="5">
        <v>18</v>
      </c>
      <c r="C131" s="5" t="s">
        <v>100</v>
      </c>
      <c r="D131" s="3">
        <v>16.55</v>
      </c>
      <c r="E131" s="3">
        <v>16.70393</v>
      </c>
      <c r="F131" s="6">
        <f t="shared" si="13"/>
        <v>0.15392999999999901</v>
      </c>
      <c r="G131" s="6">
        <f t="shared" si="14"/>
        <v>9.3009063444108152E-3</v>
      </c>
      <c r="H131" s="6" t="str">
        <f t="shared" si="15"/>
        <v>🟢 Over-injection</v>
      </c>
      <c r="I131" s="6">
        <f t="shared" si="16"/>
        <v>-0.15392999999999901</v>
      </c>
      <c r="J131" s="3">
        <v>10</v>
      </c>
      <c r="K131" s="6">
        <f t="shared" si="17"/>
        <v>2.4824999999999999</v>
      </c>
      <c r="L131" s="6">
        <f t="shared" si="18"/>
        <v>3.3100000000000005</v>
      </c>
      <c r="M131" s="6">
        <f t="shared" si="19"/>
        <v>0.15392999999999901</v>
      </c>
      <c r="N131" s="6">
        <f t="shared" si="20"/>
        <v>0</v>
      </c>
      <c r="O131" s="6">
        <f t="shared" si="21"/>
        <v>0</v>
      </c>
      <c r="P131" s="6">
        <f t="shared" si="22"/>
        <v>-307.85999999999802</v>
      </c>
      <c r="Q131" s="3">
        <v>-307.86</v>
      </c>
      <c r="R131" s="6">
        <f t="shared" si="23"/>
        <v>1.9895196601282805E-12</v>
      </c>
      <c r="S131" s="6" t="str">
        <f t="shared" si="24"/>
        <v>OK</v>
      </c>
    </row>
    <row r="132" spans="1:19" x14ac:dyDescent="0.25">
      <c r="A132" s="3" t="str">
        <f t="shared" si="25"/>
        <v>30.06.2026</v>
      </c>
      <c r="B132" s="5">
        <v>19</v>
      </c>
      <c r="C132" s="5" t="s">
        <v>99</v>
      </c>
      <c r="D132" s="3">
        <v>15.489999999999998</v>
      </c>
      <c r="E132" s="3">
        <v>15.96632</v>
      </c>
      <c r="F132" s="6">
        <f t="shared" si="13"/>
        <v>0.47632000000000119</v>
      </c>
      <c r="G132" s="6">
        <f t="shared" si="14"/>
        <v>3.0750161394448111E-2</v>
      </c>
      <c r="H132" s="6" t="str">
        <f t="shared" si="15"/>
        <v>🟢 Over-injection</v>
      </c>
      <c r="I132" s="6">
        <f t="shared" si="16"/>
        <v>-0.47632000000000119</v>
      </c>
      <c r="J132" s="3">
        <v>10</v>
      </c>
      <c r="K132" s="6">
        <f t="shared" si="17"/>
        <v>2.3234999999999997</v>
      </c>
      <c r="L132" s="6">
        <f t="shared" si="18"/>
        <v>3.0979999999999999</v>
      </c>
      <c r="M132" s="6">
        <f t="shared" si="19"/>
        <v>0.47632000000000119</v>
      </c>
      <c r="N132" s="6">
        <f t="shared" si="20"/>
        <v>0</v>
      </c>
      <c r="O132" s="6">
        <f t="shared" si="21"/>
        <v>0</v>
      </c>
      <c r="P132" s="6">
        <f t="shared" si="22"/>
        <v>-952.64000000000237</v>
      </c>
      <c r="Q132" s="3">
        <v>-952.64</v>
      </c>
      <c r="R132" s="6">
        <f t="shared" si="23"/>
        <v>-2.3874235921539366E-12</v>
      </c>
      <c r="S132" s="6" t="str">
        <f t="shared" si="24"/>
        <v>OK</v>
      </c>
    </row>
    <row r="133" spans="1:19" x14ac:dyDescent="0.25">
      <c r="A133" s="3" t="str">
        <f t="shared" si="25"/>
        <v>30.06.2026</v>
      </c>
      <c r="B133" s="5">
        <v>20</v>
      </c>
      <c r="C133" s="5" t="s">
        <v>98</v>
      </c>
      <c r="D133" s="3">
        <v>15.5</v>
      </c>
      <c r="E133" s="3">
        <v>15.83015</v>
      </c>
      <c r="F133" s="6">
        <f t="shared" si="13"/>
        <v>0.33014999999999972</v>
      </c>
      <c r="G133" s="6">
        <f t="shared" si="14"/>
        <v>2.1299999999999982E-2</v>
      </c>
      <c r="H133" s="6" t="str">
        <f t="shared" si="15"/>
        <v>🟢 Over-injection</v>
      </c>
      <c r="I133" s="6">
        <f t="shared" si="16"/>
        <v>-0.33014999999999972</v>
      </c>
      <c r="J133" s="3">
        <v>10</v>
      </c>
      <c r="K133" s="6">
        <f t="shared" si="17"/>
        <v>2.3249999999999997</v>
      </c>
      <c r="L133" s="6">
        <f t="shared" si="18"/>
        <v>3.1</v>
      </c>
      <c r="M133" s="6">
        <f t="shared" si="19"/>
        <v>0.33014999999999972</v>
      </c>
      <c r="N133" s="6">
        <f t="shared" si="20"/>
        <v>0</v>
      </c>
      <c r="O133" s="6">
        <f t="shared" si="21"/>
        <v>0</v>
      </c>
      <c r="P133" s="6">
        <f t="shared" si="22"/>
        <v>-660.2999999999995</v>
      </c>
      <c r="Q133" s="3">
        <v>-660.3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5"/>
        <v>30.06.2026</v>
      </c>
      <c r="B134" s="5">
        <v>21</v>
      </c>
      <c r="C134" s="5" t="s">
        <v>97</v>
      </c>
      <c r="D134" s="3">
        <v>13.510000000000002</v>
      </c>
      <c r="E134" s="3">
        <v>14.45707</v>
      </c>
      <c r="F134" s="6">
        <f t="shared" si="13"/>
        <v>0.9470699999999983</v>
      </c>
      <c r="G134" s="6">
        <f t="shared" si="14"/>
        <v>7.0101406365654942E-2</v>
      </c>
      <c r="H134" s="6" t="str">
        <f t="shared" si="15"/>
        <v>🟢 Over-injection</v>
      </c>
      <c r="I134" s="6">
        <f t="shared" si="16"/>
        <v>-0.9470699999999983</v>
      </c>
      <c r="J134" s="3">
        <v>10</v>
      </c>
      <c r="K134" s="6">
        <f t="shared" si="17"/>
        <v>2.0265</v>
      </c>
      <c r="L134" s="6">
        <f t="shared" si="18"/>
        <v>2.7020000000000004</v>
      </c>
      <c r="M134" s="6">
        <f t="shared" si="19"/>
        <v>0.9470699999999983</v>
      </c>
      <c r="N134" s="6">
        <f t="shared" si="20"/>
        <v>0</v>
      </c>
      <c r="O134" s="6">
        <f t="shared" si="21"/>
        <v>0</v>
      </c>
      <c r="P134" s="6">
        <f t="shared" si="22"/>
        <v>-1894.1399999999967</v>
      </c>
      <c r="Q134" s="3">
        <v>-1894.1399999999999</v>
      </c>
      <c r="R134" s="6">
        <f t="shared" si="23"/>
        <v>3.1832314562052488E-12</v>
      </c>
      <c r="S134" s="6" t="str">
        <f t="shared" si="24"/>
        <v>OK</v>
      </c>
    </row>
    <row r="135" spans="1:19" x14ac:dyDescent="0.25">
      <c r="A135" s="3" t="str">
        <f t="shared" si="25"/>
        <v>30.06.2026</v>
      </c>
      <c r="B135" s="5">
        <v>22</v>
      </c>
      <c r="C135" s="5" t="s">
        <v>96</v>
      </c>
      <c r="D135" s="3">
        <v>13.55</v>
      </c>
      <c r="E135" s="3">
        <v>13.764849999999999</v>
      </c>
      <c r="F135" s="6">
        <f t="shared" si="13"/>
        <v>0.21484999999999843</v>
      </c>
      <c r="G135" s="6">
        <f t="shared" si="14"/>
        <v>1.5856088560885492E-2</v>
      </c>
      <c r="H135" s="6" t="str">
        <f t="shared" si="15"/>
        <v>🟢 Over-injection</v>
      </c>
      <c r="I135" s="6">
        <f t="shared" si="16"/>
        <v>-0.21484999999999843</v>
      </c>
      <c r="J135" s="3">
        <v>10</v>
      </c>
      <c r="K135" s="6">
        <f t="shared" si="17"/>
        <v>2.0325000000000002</v>
      </c>
      <c r="L135" s="6">
        <f t="shared" si="18"/>
        <v>2.7100000000000004</v>
      </c>
      <c r="M135" s="6">
        <f t="shared" si="19"/>
        <v>0.21484999999999843</v>
      </c>
      <c r="N135" s="6">
        <f t="shared" si="20"/>
        <v>0</v>
      </c>
      <c r="O135" s="6">
        <f t="shared" si="21"/>
        <v>0</v>
      </c>
      <c r="P135" s="6">
        <f t="shared" si="22"/>
        <v>-429.69999999999686</v>
      </c>
      <c r="Q135" s="3">
        <v>-429.70000000000005</v>
      </c>
      <c r="R135" s="6">
        <f t="shared" si="23"/>
        <v>3.1832314562052488E-12</v>
      </c>
      <c r="S135" s="6" t="str">
        <f t="shared" si="24"/>
        <v>OK</v>
      </c>
    </row>
    <row r="136" spans="1:19" x14ac:dyDescent="0.25">
      <c r="A136" s="3" t="str">
        <f t="shared" si="25"/>
        <v>30.06.2026</v>
      </c>
      <c r="B136" s="5">
        <v>23</v>
      </c>
      <c r="C136" s="5" t="s">
        <v>95</v>
      </c>
      <c r="D136" s="3">
        <v>13.59</v>
      </c>
      <c r="E136" s="3">
        <v>13.764849999999999</v>
      </c>
      <c r="F136" s="6">
        <f t="shared" si="13"/>
        <v>0.17484999999999928</v>
      </c>
      <c r="G136" s="6">
        <f t="shared" si="14"/>
        <v>1.2866077998528277E-2</v>
      </c>
      <c r="H136" s="6" t="str">
        <f t="shared" si="15"/>
        <v>🟢 Over-injection</v>
      </c>
      <c r="I136" s="6">
        <f t="shared" si="16"/>
        <v>-0.17484999999999928</v>
      </c>
      <c r="J136" s="3">
        <v>10</v>
      </c>
      <c r="K136" s="6">
        <f t="shared" si="17"/>
        <v>2.0385</v>
      </c>
      <c r="L136" s="6">
        <f t="shared" si="18"/>
        <v>2.718</v>
      </c>
      <c r="M136" s="6">
        <f t="shared" si="19"/>
        <v>0.17484999999999928</v>
      </c>
      <c r="N136" s="6">
        <f t="shared" si="20"/>
        <v>0</v>
      </c>
      <c r="O136" s="6">
        <f t="shared" si="21"/>
        <v>0</v>
      </c>
      <c r="P136" s="6">
        <f t="shared" si="22"/>
        <v>-349.69999999999857</v>
      </c>
      <c r="Q136" s="3">
        <v>-349.7</v>
      </c>
      <c r="R136" s="6">
        <f t="shared" si="23"/>
        <v>1.4210854715202004E-12</v>
      </c>
      <c r="S136" s="6" t="str">
        <f t="shared" si="24"/>
        <v>OK</v>
      </c>
    </row>
    <row r="137" spans="1:19" x14ac:dyDescent="0.25">
      <c r="A137" s="3" t="str">
        <f t="shared" si="25"/>
        <v>30.06.2026</v>
      </c>
      <c r="B137" s="5">
        <v>24</v>
      </c>
      <c r="C137" s="5" t="s">
        <v>94</v>
      </c>
      <c r="D137" s="3">
        <v>13.59</v>
      </c>
      <c r="E137" s="3">
        <v>13.776199999999999</v>
      </c>
      <c r="F137" s="6">
        <f t="shared" si="13"/>
        <v>0.18619999999999948</v>
      </c>
      <c r="G137" s="6">
        <f t="shared" si="14"/>
        <v>1.3701250919793928E-2</v>
      </c>
      <c r="H137" s="6" t="str">
        <f t="shared" si="15"/>
        <v>🟢 Over-injection</v>
      </c>
      <c r="I137" s="6">
        <f t="shared" si="16"/>
        <v>-0.18619999999999948</v>
      </c>
      <c r="J137" s="3">
        <v>10</v>
      </c>
      <c r="K137" s="6">
        <f t="shared" si="17"/>
        <v>2.0385</v>
      </c>
      <c r="L137" s="6">
        <f t="shared" si="18"/>
        <v>2.718</v>
      </c>
      <c r="M137" s="6">
        <f t="shared" si="19"/>
        <v>0.18619999999999948</v>
      </c>
      <c r="N137" s="6">
        <f t="shared" si="20"/>
        <v>0</v>
      </c>
      <c r="O137" s="6">
        <f t="shared" si="21"/>
        <v>0</v>
      </c>
      <c r="P137" s="6">
        <f t="shared" si="22"/>
        <v>-372.39999999999895</v>
      </c>
      <c r="Q137" s="3">
        <v>-372.40000000000003</v>
      </c>
      <c r="R137" s="6">
        <f t="shared" si="23"/>
        <v>1.0800249583553523E-12</v>
      </c>
      <c r="S137" s="6" t="str">
        <f t="shared" si="24"/>
        <v>OK</v>
      </c>
    </row>
    <row r="138" spans="1:19" x14ac:dyDescent="0.25">
      <c r="A138" s="3" t="str">
        <f t="shared" si="25"/>
        <v>30.06.2026</v>
      </c>
      <c r="B138" s="5">
        <v>25</v>
      </c>
      <c r="C138" s="5" t="s">
        <v>93</v>
      </c>
      <c r="D138" s="3">
        <v>13.57</v>
      </c>
      <c r="E138" s="3">
        <v>13.776199999999999</v>
      </c>
      <c r="F138" s="6">
        <f t="shared" si="13"/>
        <v>0.20619999999999905</v>
      </c>
      <c r="G138" s="6">
        <f t="shared" si="14"/>
        <v>1.5195283714075096E-2</v>
      </c>
      <c r="H138" s="6" t="str">
        <f t="shared" si="15"/>
        <v>🟢 Over-injection</v>
      </c>
      <c r="I138" s="6">
        <f t="shared" si="16"/>
        <v>-0.20619999999999905</v>
      </c>
      <c r="J138" s="3">
        <v>10</v>
      </c>
      <c r="K138" s="6">
        <f t="shared" si="17"/>
        <v>2.0354999999999999</v>
      </c>
      <c r="L138" s="6">
        <f t="shared" si="18"/>
        <v>2.7140000000000004</v>
      </c>
      <c r="M138" s="6">
        <f t="shared" si="19"/>
        <v>0.20619999999999905</v>
      </c>
      <c r="N138" s="6">
        <f t="shared" si="20"/>
        <v>0</v>
      </c>
      <c r="O138" s="6">
        <f t="shared" si="21"/>
        <v>0</v>
      </c>
      <c r="P138" s="6">
        <f t="shared" si="22"/>
        <v>-412.3999999999981</v>
      </c>
      <c r="Q138" s="3">
        <v>-412.4</v>
      </c>
      <c r="R138" s="6">
        <f t="shared" si="23"/>
        <v>1.8758328224066645E-12</v>
      </c>
      <c r="S138" s="6" t="str">
        <f t="shared" si="24"/>
        <v>OK</v>
      </c>
    </row>
    <row r="139" spans="1:19" x14ac:dyDescent="0.25">
      <c r="A139" s="3" t="str">
        <f t="shared" si="25"/>
        <v>30.06.2026</v>
      </c>
      <c r="B139" s="5">
        <v>26</v>
      </c>
      <c r="C139" s="5" t="s">
        <v>92</v>
      </c>
      <c r="D139" s="3">
        <v>13.51</v>
      </c>
      <c r="E139" s="3">
        <v>13.776199999999999</v>
      </c>
      <c r="F139" s="6">
        <f t="shared" si="13"/>
        <v>0.26619999999999955</v>
      </c>
      <c r="G139" s="6">
        <f t="shared" si="14"/>
        <v>1.9703923019985164E-2</v>
      </c>
      <c r="H139" s="6" t="str">
        <f t="shared" si="15"/>
        <v>🟢 Over-injection</v>
      </c>
      <c r="I139" s="6">
        <f t="shared" si="16"/>
        <v>-0.26619999999999955</v>
      </c>
      <c r="J139" s="3">
        <v>10</v>
      </c>
      <c r="K139" s="6">
        <f t="shared" si="17"/>
        <v>2.0265</v>
      </c>
      <c r="L139" s="6">
        <f t="shared" si="18"/>
        <v>2.702</v>
      </c>
      <c r="M139" s="6">
        <f t="shared" si="19"/>
        <v>0.26619999999999955</v>
      </c>
      <c r="N139" s="6">
        <f t="shared" si="20"/>
        <v>0</v>
      </c>
      <c r="O139" s="6">
        <f t="shared" si="21"/>
        <v>0</v>
      </c>
      <c r="P139" s="6">
        <f t="shared" si="22"/>
        <v>-532.39999999999907</v>
      </c>
      <c r="Q139" s="3">
        <v>-532.4</v>
      </c>
      <c r="R139" s="6">
        <f t="shared" si="23"/>
        <v>9.0949470177292824E-13</v>
      </c>
      <c r="S139" s="6" t="str">
        <f t="shared" si="24"/>
        <v>OK</v>
      </c>
    </row>
    <row r="140" spans="1:19" x14ac:dyDescent="0.25">
      <c r="A140" s="3" t="str">
        <f t="shared" si="25"/>
        <v>30.06.2026</v>
      </c>
      <c r="B140" s="5">
        <v>27</v>
      </c>
      <c r="C140" s="5" t="s">
        <v>91</v>
      </c>
      <c r="D140" s="3">
        <v>13.59</v>
      </c>
      <c r="E140" s="3">
        <v>13.776199999999999</v>
      </c>
      <c r="F140" s="6">
        <f t="shared" si="13"/>
        <v>0.18619999999999948</v>
      </c>
      <c r="G140" s="6">
        <f t="shared" si="14"/>
        <v>1.3701250919793928E-2</v>
      </c>
      <c r="H140" s="6" t="str">
        <f t="shared" si="15"/>
        <v>🟢 Over-injection</v>
      </c>
      <c r="I140" s="6">
        <f t="shared" si="16"/>
        <v>-0.18619999999999948</v>
      </c>
      <c r="J140" s="3">
        <v>10</v>
      </c>
      <c r="K140" s="6">
        <f t="shared" si="17"/>
        <v>2.0385</v>
      </c>
      <c r="L140" s="6">
        <f t="shared" si="18"/>
        <v>2.718</v>
      </c>
      <c r="M140" s="6">
        <f t="shared" si="19"/>
        <v>0.18619999999999948</v>
      </c>
      <c r="N140" s="6">
        <f t="shared" si="20"/>
        <v>0</v>
      </c>
      <c r="O140" s="6">
        <f t="shared" si="21"/>
        <v>0</v>
      </c>
      <c r="P140" s="6">
        <f t="shared" si="22"/>
        <v>-372.39999999999895</v>
      </c>
      <c r="Q140" s="3">
        <v>-372.40000000000003</v>
      </c>
      <c r="R140" s="6">
        <f t="shared" si="23"/>
        <v>1.0800249583553523E-12</v>
      </c>
      <c r="S140" s="6" t="str">
        <f t="shared" si="24"/>
        <v>OK</v>
      </c>
    </row>
    <row r="141" spans="1:19" x14ac:dyDescent="0.25">
      <c r="A141" s="3" t="str">
        <f t="shared" si="25"/>
        <v>30.06.2026</v>
      </c>
      <c r="B141" s="5">
        <v>28</v>
      </c>
      <c r="C141" s="5" t="s">
        <v>90</v>
      </c>
      <c r="D141" s="3">
        <v>13.559999999999999</v>
      </c>
      <c r="E141" s="3">
        <v>13.78755</v>
      </c>
      <c r="F141" s="6">
        <f t="shared" si="13"/>
        <v>0.22755000000000081</v>
      </c>
      <c r="G141" s="6">
        <f t="shared" si="14"/>
        <v>1.6780973451327494E-2</v>
      </c>
      <c r="H141" s="6" t="str">
        <f t="shared" si="15"/>
        <v>🟢 Over-injection</v>
      </c>
      <c r="I141" s="6">
        <f t="shared" si="16"/>
        <v>-0.22755000000000081</v>
      </c>
      <c r="J141" s="3">
        <v>6.9044000000000008</v>
      </c>
      <c r="K141" s="6">
        <f t="shared" si="17"/>
        <v>2.0339999999999998</v>
      </c>
      <c r="L141" s="6">
        <f t="shared" si="18"/>
        <v>2.7119999999999997</v>
      </c>
      <c r="M141" s="6">
        <f t="shared" si="19"/>
        <v>0.22755000000000081</v>
      </c>
      <c r="N141" s="6">
        <f t="shared" si="20"/>
        <v>0</v>
      </c>
      <c r="O141" s="6">
        <f t="shared" si="21"/>
        <v>0</v>
      </c>
      <c r="P141" s="6">
        <f t="shared" si="22"/>
        <v>-314.2192440000012</v>
      </c>
      <c r="Q141" s="3">
        <v>-314.21924400000006</v>
      </c>
      <c r="R141" s="6">
        <f t="shared" si="23"/>
        <v>-1.1368683772161603E-12</v>
      </c>
      <c r="S141" s="6" t="str">
        <f t="shared" si="24"/>
        <v>OK</v>
      </c>
    </row>
    <row r="142" spans="1:19" x14ac:dyDescent="0.25">
      <c r="A142" s="3" t="str">
        <f t="shared" si="25"/>
        <v>30.06.2026</v>
      </c>
      <c r="B142" s="5">
        <v>29</v>
      </c>
      <c r="C142" s="5" t="s">
        <v>89</v>
      </c>
      <c r="D142" s="3">
        <v>13.559999999999999</v>
      </c>
      <c r="E142" s="3">
        <v>13.78755</v>
      </c>
      <c r="F142" s="6">
        <f t="shared" si="13"/>
        <v>0.22755000000000081</v>
      </c>
      <c r="G142" s="6">
        <f t="shared" si="14"/>
        <v>1.6780973451327494E-2</v>
      </c>
      <c r="H142" s="6" t="str">
        <f t="shared" si="15"/>
        <v>🟢 Over-injection</v>
      </c>
      <c r="I142" s="6">
        <f t="shared" si="16"/>
        <v>-0.22755000000000081</v>
      </c>
      <c r="J142" s="3">
        <v>4.3532999999999999</v>
      </c>
      <c r="K142" s="6">
        <f t="shared" si="17"/>
        <v>2.0339999999999998</v>
      </c>
      <c r="L142" s="6">
        <f t="shared" si="18"/>
        <v>2.7119999999999997</v>
      </c>
      <c r="M142" s="6">
        <f t="shared" si="19"/>
        <v>0.22755000000000081</v>
      </c>
      <c r="N142" s="6">
        <f t="shared" si="20"/>
        <v>0</v>
      </c>
      <c r="O142" s="6">
        <f t="shared" si="21"/>
        <v>0</v>
      </c>
      <c r="P142" s="6">
        <f t="shared" si="22"/>
        <v>-198.11868300000071</v>
      </c>
      <c r="Q142" s="3">
        <v>-198.11868299999998</v>
      </c>
      <c r="R142" s="6">
        <f t="shared" si="23"/>
        <v>-7.3896444519050419E-13</v>
      </c>
      <c r="S142" s="6" t="str">
        <f t="shared" si="24"/>
        <v>OK</v>
      </c>
    </row>
    <row r="143" spans="1:19" x14ac:dyDescent="0.25">
      <c r="A143" s="3" t="str">
        <f t="shared" si="25"/>
        <v>30.06.2026</v>
      </c>
      <c r="B143" s="5">
        <v>30</v>
      </c>
      <c r="C143" s="5" t="s">
        <v>88</v>
      </c>
      <c r="D143" s="3">
        <v>13.559999999999999</v>
      </c>
      <c r="E143" s="3">
        <v>13.78755</v>
      </c>
      <c r="F143" s="6">
        <f t="shared" si="13"/>
        <v>0.22755000000000081</v>
      </c>
      <c r="G143" s="6">
        <f t="shared" si="14"/>
        <v>1.6780973451327494E-2</v>
      </c>
      <c r="H143" s="6" t="str">
        <f t="shared" si="15"/>
        <v>🟢 Over-injection</v>
      </c>
      <c r="I143" s="6">
        <f t="shared" si="16"/>
        <v>-0.22755000000000081</v>
      </c>
      <c r="J143" s="3">
        <v>3.9495999999999998</v>
      </c>
      <c r="K143" s="6">
        <f t="shared" si="17"/>
        <v>2.0339999999999998</v>
      </c>
      <c r="L143" s="6">
        <f t="shared" si="18"/>
        <v>2.7119999999999997</v>
      </c>
      <c r="M143" s="6">
        <f t="shared" si="19"/>
        <v>0.22755000000000081</v>
      </c>
      <c r="N143" s="6">
        <f t="shared" si="20"/>
        <v>0</v>
      </c>
      <c r="O143" s="6">
        <f t="shared" si="21"/>
        <v>0</v>
      </c>
      <c r="P143" s="6">
        <f t="shared" si="22"/>
        <v>-179.74629600000063</v>
      </c>
      <c r="Q143" s="3">
        <v>-179.746296</v>
      </c>
      <c r="R143" s="6">
        <f t="shared" si="23"/>
        <v>-6.2527760746888816E-13</v>
      </c>
      <c r="S143" s="6" t="str">
        <f t="shared" si="24"/>
        <v>OK</v>
      </c>
    </row>
    <row r="144" spans="1:19" x14ac:dyDescent="0.25">
      <c r="A144" s="3" t="str">
        <f t="shared" si="25"/>
        <v>30.06.2026</v>
      </c>
      <c r="B144" s="5">
        <v>31</v>
      </c>
      <c r="C144" s="5" t="s">
        <v>87</v>
      </c>
      <c r="D144" s="3">
        <v>13.559999999999999</v>
      </c>
      <c r="E144" s="3">
        <v>13.78755</v>
      </c>
      <c r="F144" s="6">
        <f t="shared" si="13"/>
        <v>0.22755000000000081</v>
      </c>
      <c r="G144" s="6">
        <f t="shared" si="14"/>
        <v>1.6780973451327494E-2</v>
      </c>
      <c r="H144" s="6" t="str">
        <f t="shared" si="15"/>
        <v>🟢 Over-injection</v>
      </c>
      <c r="I144" s="6">
        <f t="shared" si="16"/>
        <v>-0.22755000000000081</v>
      </c>
      <c r="J144" s="3">
        <v>3.5995999999999997</v>
      </c>
      <c r="K144" s="6">
        <f t="shared" si="17"/>
        <v>2.0339999999999998</v>
      </c>
      <c r="L144" s="6">
        <f t="shared" si="18"/>
        <v>2.7119999999999997</v>
      </c>
      <c r="M144" s="6">
        <f t="shared" si="19"/>
        <v>0.22755000000000081</v>
      </c>
      <c r="N144" s="6">
        <f t="shared" si="20"/>
        <v>0</v>
      </c>
      <c r="O144" s="6">
        <f t="shared" si="21"/>
        <v>0</v>
      </c>
      <c r="P144" s="6">
        <f t="shared" si="22"/>
        <v>-163.81779600000058</v>
      </c>
      <c r="Q144" s="3">
        <v>-163.81779600000002</v>
      </c>
      <c r="R144" s="6">
        <f t="shared" si="23"/>
        <v>-5.6843418860808015E-13</v>
      </c>
      <c r="S144" s="6" t="str">
        <f t="shared" si="24"/>
        <v>OK</v>
      </c>
    </row>
    <row r="145" spans="1:19" x14ac:dyDescent="0.25">
      <c r="A145" s="3" t="str">
        <f t="shared" si="25"/>
        <v>30.06.2026</v>
      </c>
      <c r="B145" s="5">
        <v>32</v>
      </c>
      <c r="C145" s="5" t="s">
        <v>86</v>
      </c>
      <c r="D145" s="3">
        <v>13.559999999999999</v>
      </c>
      <c r="E145" s="3">
        <v>13.78755</v>
      </c>
      <c r="F145" s="6">
        <f t="shared" si="13"/>
        <v>0.22755000000000081</v>
      </c>
      <c r="G145" s="6">
        <f t="shared" si="14"/>
        <v>1.6780973451327494E-2</v>
      </c>
      <c r="H145" s="6" t="str">
        <f t="shared" si="15"/>
        <v>🟢 Over-injection</v>
      </c>
      <c r="I145" s="6">
        <f t="shared" si="16"/>
        <v>-0.22755000000000081</v>
      </c>
      <c r="J145" s="3">
        <v>3.4363999999999999</v>
      </c>
      <c r="K145" s="6">
        <f t="shared" si="17"/>
        <v>2.0339999999999998</v>
      </c>
      <c r="L145" s="6">
        <f t="shared" si="18"/>
        <v>2.7119999999999997</v>
      </c>
      <c r="M145" s="6">
        <f t="shared" si="19"/>
        <v>0.22755000000000081</v>
      </c>
      <c r="N145" s="6">
        <f t="shared" si="20"/>
        <v>0</v>
      </c>
      <c r="O145" s="6">
        <f t="shared" si="21"/>
        <v>0</v>
      </c>
      <c r="P145" s="6">
        <f t="shared" si="22"/>
        <v>-156.39056400000052</v>
      </c>
      <c r="Q145" s="3">
        <v>-156.39056400000001</v>
      </c>
      <c r="R145" s="6">
        <f t="shared" si="23"/>
        <v>-5.1159076974727213E-13</v>
      </c>
      <c r="S145" s="6" t="str">
        <f t="shared" si="24"/>
        <v>OK</v>
      </c>
    </row>
    <row r="146" spans="1:19" x14ac:dyDescent="0.25">
      <c r="A146" s="3" t="str">
        <f t="shared" si="25"/>
        <v>30.06.2026</v>
      </c>
      <c r="B146" s="5">
        <v>33</v>
      </c>
      <c r="C146" s="5" t="s">
        <v>85</v>
      </c>
      <c r="D146" s="3">
        <v>13.36</v>
      </c>
      <c r="E146" s="3">
        <v>13.52655</v>
      </c>
      <c r="F146" s="6">
        <f t="shared" ref="F146:F209" si="26">E146-D146</f>
        <v>0.16655000000000086</v>
      </c>
      <c r="G146" s="6">
        <f t="shared" ref="G146:G209" si="27">IF(D146=0,0,F146/D146)</f>
        <v>1.2466317365269526E-2</v>
      </c>
      <c r="H146" s="6" t="str">
        <f t="shared" ref="H146:H209" si="28">IF(E146&gt;D146,"🟢 Over-injection",IF(E146&lt;D146,"🔴 Under-injection","⚪ Nil"))</f>
        <v>🟢 Over-injection</v>
      </c>
      <c r="I146" s="6">
        <f t="shared" ref="I146:I209" si="29">-F146</f>
        <v>-0.16655000000000086</v>
      </c>
      <c r="J146" s="3">
        <v>2.8843000000000001</v>
      </c>
      <c r="K146" s="6">
        <f t="shared" ref="K146:K209" si="30">MIN(ABS(D146)*$B$7,$B$8)</f>
        <v>2.004</v>
      </c>
      <c r="L146" s="6">
        <f t="shared" ref="L146:L209" si="31">MIN(ABS(D146)*$B$9,$B$10)</f>
        <v>2.6720000000000002</v>
      </c>
      <c r="M146" s="6">
        <f t="shared" ref="M146:M209" si="32">MIN(ABS(F146),K146)</f>
        <v>0.16655000000000086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-96.076033000000507</v>
      </c>
      <c r="Q146" s="3">
        <v>-96.07603300000001</v>
      </c>
      <c r="R146" s="6">
        <f t="shared" ref="R146:R209" si="36">P146-Q146</f>
        <v>-4.9737991503207013E-13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30.06.2026</v>
      </c>
      <c r="B147" s="5">
        <v>34</v>
      </c>
      <c r="C147" s="5" t="s">
        <v>84</v>
      </c>
      <c r="D147" s="3">
        <v>13.36</v>
      </c>
      <c r="E147" s="3">
        <v>13.458460000000001</v>
      </c>
      <c r="F147" s="6">
        <f t="shared" si="26"/>
        <v>9.8460000000001102E-2</v>
      </c>
      <c r="G147" s="6">
        <f t="shared" si="27"/>
        <v>7.3697604790419992E-3</v>
      </c>
      <c r="H147" s="6" t="str">
        <f t="shared" si="28"/>
        <v>🟢 Over-injection</v>
      </c>
      <c r="I147" s="6">
        <f t="shared" si="29"/>
        <v>-9.8460000000001102E-2</v>
      </c>
      <c r="J147" s="3">
        <v>2.625</v>
      </c>
      <c r="K147" s="6">
        <f t="shared" si="30"/>
        <v>2.004</v>
      </c>
      <c r="L147" s="6">
        <f t="shared" si="31"/>
        <v>2.6720000000000002</v>
      </c>
      <c r="M147" s="6">
        <f t="shared" si="32"/>
        <v>9.8460000000001102E-2</v>
      </c>
      <c r="N147" s="6">
        <f t="shared" si="33"/>
        <v>0</v>
      </c>
      <c r="O147" s="6">
        <f t="shared" si="34"/>
        <v>0</v>
      </c>
      <c r="P147" s="6">
        <f t="shared" si="35"/>
        <v>-51.691500000000588</v>
      </c>
      <c r="Q147" s="3">
        <v>-51.691500000000005</v>
      </c>
      <c r="R147" s="6">
        <f t="shared" si="36"/>
        <v>-5.8264504332328215E-13</v>
      </c>
      <c r="S147" s="6" t="str">
        <f t="shared" si="37"/>
        <v>OK</v>
      </c>
    </row>
    <row r="148" spans="1:19" x14ac:dyDescent="0.25">
      <c r="A148" s="3" t="str">
        <f t="shared" ref="A148:A211" si="38">A147</f>
        <v>30.06.2026</v>
      </c>
      <c r="B148" s="5">
        <v>35</v>
      </c>
      <c r="C148" s="5" t="s">
        <v>83</v>
      </c>
      <c r="D148" s="3">
        <v>14.059999999999999</v>
      </c>
      <c r="E148" s="3">
        <v>13.776199999999999</v>
      </c>
      <c r="F148" s="6">
        <f t="shared" si="26"/>
        <v>-0.28379999999999939</v>
      </c>
      <c r="G148" s="6">
        <f t="shared" si="27"/>
        <v>-2.0184921763869091E-2</v>
      </c>
      <c r="H148" s="6" t="str">
        <f t="shared" si="28"/>
        <v>🔴 Under-injection</v>
      </c>
      <c r="I148" s="6">
        <f t="shared" si="29"/>
        <v>0.28379999999999939</v>
      </c>
      <c r="J148" s="3">
        <v>2.4390000000000001</v>
      </c>
      <c r="K148" s="6">
        <f t="shared" si="30"/>
        <v>2.1089999999999995</v>
      </c>
      <c r="L148" s="6">
        <f t="shared" si="31"/>
        <v>2.8119999999999998</v>
      </c>
      <c r="M148" s="6">
        <f t="shared" si="32"/>
        <v>0.28379999999999939</v>
      </c>
      <c r="N148" s="6">
        <f t="shared" si="33"/>
        <v>0</v>
      </c>
      <c r="O148" s="6">
        <f t="shared" si="34"/>
        <v>0</v>
      </c>
      <c r="P148" s="6">
        <f t="shared" si="35"/>
        <v>181.69940249999962</v>
      </c>
      <c r="Q148" s="3">
        <v>181.69940249999999</v>
      </c>
      <c r="R148" s="6">
        <f t="shared" si="36"/>
        <v>-3.694822225952521E-13</v>
      </c>
      <c r="S148" s="6" t="str">
        <f t="shared" si="37"/>
        <v>OK</v>
      </c>
    </row>
    <row r="149" spans="1:19" x14ac:dyDescent="0.25">
      <c r="A149" s="3" t="str">
        <f t="shared" si="38"/>
        <v>30.06.2026</v>
      </c>
      <c r="B149" s="5">
        <v>36</v>
      </c>
      <c r="C149" s="5" t="s">
        <v>82</v>
      </c>
      <c r="D149" s="3">
        <v>13.36</v>
      </c>
      <c r="E149" s="3">
        <v>14.02585</v>
      </c>
      <c r="F149" s="6">
        <f t="shared" si="26"/>
        <v>0.66585000000000072</v>
      </c>
      <c r="G149" s="6">
        <f t="shared" si="27"/>
        <v>4.9839071856287484E-2</v>
      </c>
      <c r="H149" s="6" t="str">
        <f t="shared" si="28"/>
        <v>🟢 Over-injection</v>
      </c>
      <c r="I149" s="6">
        <f t="shared" si="29"/>
        <v>-0.66585000000000072</v>
      </c>
      <c r="J149" s="3">
        <v>2.2989999999999999</v>
      </c>
      <c r="K149" s="6">
        <f t="shared" si="30"/>
        <v>2.004</v>
      </c>
      <c r="L149" s="6">
        <f t="shared" si="31"/>
        <v>2.6720000000000002</v>
      </c>
      <c r="M149" s="6">
        <f t="shared" si="32"/>
        <v>0.66585000000000072</v>
      </c>
      <c r="N149" s="6">
        <f t="shared" si="33"/>
        <v>0</v>
      </c>
      <c r="O149" s="6">
        <f t="shared" si="34"/>
        <v>0</v>
      </c>
      <c r="P149" s="6">
        <f t="shared" si="35"/>
        <v>-306.15783000000033</v>
      </c>
      <c r="Q149" s="3">
        <v>-306.15783000000005</v>
      </c>
      <c r="R149" s="6">
        <f t="shared" si="36"/>
        <v>0</v>
      </c>
      <c r="S149" s="6" t="str">
        <f t="shared" si="37"/>
        <v>OK</v>
      </c>
    </row>
    <row r="150" spans="1:19" x14ac:dyDescent="0.25">
      <c r="A150" s="3" t="str">
        <f t="shared" si="38"/>
        <v>30.06.2026</v>
      </c>
      <c r="B150" s="5">
        <v>37</v>
      </c>
      <c r="C150" s="5" t="s">
        <v>81</v>
      </c>
      <c r="D150" s="3">
        <v>13.36</v>
      </c>
      <c r="E150" s="3">
        <v>14.02585</v>
      </c>
      <c r="F150" s="6">
        <f t="shared" si="26"/>
        <v>0.66585000000000072</v>
      </c>
      <c r="G150" s="6">
        <f t="shared" si="27"/>
        <v>4.9839071856287484E-2</v>
      </c>
      <c r="H150" s="6" t="str">
        <f t="shared" si="28"/>
        <v>🟢 Over-injection</v>
      </c>
      <c r="I150" s="6">
        <f t="shared" si="29"/>
        <v>-0.66585000000000072</v>
      </c>
      <c r="J150" s="3">
        <v>2.1411000000000002</v>
      </c>
      <c r="K150" s="6">
        <f t="shared" si="30"/>
        <v>2.004</v>
      </c>
      <c r="L150" s="6">
        <f t="shared" si="31"/>
        <v>2.6720000000000002</v>
      </c>
      <c r="M150" s="6">
        <f t="shared" si="32"/>
        <v>0.66585000000000072</v>
      </c>
      <c r="N150" s="6">
        <f t="shared" si="33"/>
        <v>0</v>
      </c>
      <c r="O150" s="6">
        <f t="shared" si="34"/>
        <v>0</v>
      </c>
      <c r="P150" s="6">
        <f t="shared" si="35"/>
        <v>-285.13028700000035</v>
      </c>
      <c r="Q150" s="3">
        <v>-285.13028700000001</v>
      </c>
      <c r="R150" s="6">
        <f t="shared" si="36"/>
        <v>0</v>
      </c>
      <c r="S150" s="6" t="str">
        <f t="shared" si="37"/>
        <v>OK</v>
      </c>
    </row>
    <row r="151" spans="1:19" x14ac:dyDescent="0.25">
      <c r="A151" s="3" t="str">
        <f t="shared" si="38"/>
        <v>30.06.2026</v>
      </c>
      <c r="B151" s="5">
        <v>38</v>
      </c>
      <c r="C151" s="5" t="s">
        <v>80</v>
      </c>
      <c r="D151" s="3">
        <v>13.36</v>
      </c>
      <c r="E151" s="3">
        <v>14.0372</v>
      </c>
      <c r="F151" s="6">
        <f t="shared" si="26"/>
        <v>0.67720000000000091</v>
      </c>
      <c r="G151" s="6">
        <f t="shared" si="27"/>
        <v>5.068862275449109E-2</v>
      </c>
      <c r="H151" s="6" t="str">
        <f t="shared" si="28"/>
        <v>🟢 Over-injection</v>
      </c>
      <c r="I151" s="6">
        <f t="shared" si="29"/>
        <v>-0.67720000000000091</v>
      </c>
      <c r="J151" s="3">
        <v>2.0112000000000001</v>
      </c>
      <c r="K151" s="6">
        <f t="shared" si="30"/>
        <v>2.004</v>
      </c>
      <c r="L151" s="6">
        <f t="shared" si="31"/>
        <v>2.6720000000000002</v>
      </c>
      <c r="M151" s="6">
        <f t="shared" si="32"/>
        <v>0.67720000000000091</v>
      </c>
      <c r="N151" s="6">
        <f t="shared" si="33"/>
        <v>0</v>
      </c>
      <c r="O151" s="6">
        <f t="shared" si="34"/>
        <v>0</v>
      </c>
      <c r="P151" s="6">
        <f t="shared" si="35"/>
        <v>-272.3969280000004</v>
      </c>
      <c r="Q151" s="3">
        <v>-272.39692800000006</v>
      </c>
      <c r="R151" s="6">
        <f t="shared" si="36"/>
        <v>0</v>
      </c>
      <c r="S151" s="6" t="str">
        <f t="shared" si="37"/>
        <v>OK</v>
      </c>
    </row>
    <row r="152" spans="1:19" x14ac:dyDescent="0.25">
      <c r="A152" s="3" t="str">
        <f t="shared" si="38"/>
        <v>30.06.2026</v>
      </c>
      <c r="B152" s="5">
        <v>39</v>
      </c>
      <c r="C152" s="5" t="s">
        <v>79</v>
      </c>
      <c r="D152" s="3">
        <v>14.059999999999999</v>
      </c>
      <c r="E152" s="3">
        <v>14.0372</v>
      </c>
      <c r="F152" s="6">
        <f t="shared" si="26"/>
        <v>-2.2799999999998377E-2</v>
      </c>
      <c r="G152" s="6">
        <f t="shared" si="27"/>
        <v>-1.6216216216215064E-3</v>
      </c>
      <c r="H152" s="6" t="str">
        <f t="shared" si="28"/>
        <v>🔴 Under-injection</v>
      </c>
      <c r="I152" s="6">
        <f t="shared" si="29"/>
        <v>2.2799999999998377E-2</v>
      </c>
      <c r="J152" s="3">
        <v>1.8459000000000001</v>
      </c>
      <c r="K152" s="6">
        <f t="shared" si="30"/>
        <v>2.1089999999999995</v>
      </c>
      <c r="L152" s="6">
        <f t="shared" si="31"/>
        <v>2.8119999999999998</v>
      </c>
      <c r="M152" s="6">
        <f t="shared" si="32"/>
        <v>2.2799999999998377E-2</v>
      </c>
      <c r="N152" s="6">
        <f t="shared" si="33"/>
        <v>0</v>
      </c>
      <c r="O152" s="6">
        <f t="shared" si="34"/>
        <v>0</v>
      </c>
      <c r="P152" s="6">
        <f t="shared" si="35"/>
        <v>11.047711499999213</v>
      </c>
      <c r="Q152" s="3">
        <v>11.047711500000002</v>
      </c>
      <c r="R152" s="6">
        <f t="shared" si="36"/>
        <v>-7.8870243669371121E-13</v>
      </c>
      <c r="S152" s="6" t="str">
        <f t="shared" si="37"/>
        <v>OK</v>
      </c>
    </row>
    <row r="153" spans="1:19" x14ac:dyDescent="0.25">
      <c r="A153" s="3" t="str">
        <f t="shared" si="38"/>
        <v>30.06.2026</v>
      </c>
      <c r="B153" s="5">
        <v>40</v>
      </c>
      <c r="C153" s="5" t="s">
        <v>78</v>
      </c>
      <c r="D153" s="3">
        <v>14.059999999999999</v>
      </c>
      <c r="E153" s="3">
        <v>14.0372</v>
      </c>
      <c r="F153" s="6">
        <f t="shared" si="26"/>
        <v>-2.2799999999998377E-2</v>
      </c>
      <c r="G153" s="6">
        <f t="shared" si="27"/>
        <v>-1.6216216216215064E-3</v>
      </c>
      <c r="H153" s="6" t="str">
        <f t="shared" si="28"/>
        <v>🔴 Under-injection</v>
      </c>
      <c r="I153" s="6">
        <f t="shared" si="29"/>
        <v>2.2799999999998377E-2</v>
      </c>
      <c r="J153" s="3">
        <v>1.6521999999999999</v>
      </c>
      <c r="K153" s="6">
        <f t="shared" si="30"/>
        <v>2.1089999999999995</v>
      </c>
      <c r="L153" s="6">
        <f t="shared" si="31"/>
        <v>2.8119999999999998</v>
      </c>
      <c r="M153" s="6">
        <f t="shared" si="32"/>
        <v>2.2799999999998377E-2</v>
      </c>
      <c r="N153" s="6">
        <f t="shared" si="33"/>
        <v>0</v>
      </c>
      <c r="O153" s="6">
        <f t="shared" si="34"/>
        <v>0</v>
      </c>
      <c r="P153" s="6">
        <f t="shared" si="35"/>
        <v>9.8884169999992952</v>
      </c>
      <c r="Q153" s="3">
        <v>9.8884170000000005</v>
      </c>
      <c r="R153" s="6">
        <f t="shared" si="36"/>
        <v>-7.0521366524189943E-13</v>
      </c>
      <c r="S153" s="6" t="str">
        <f t="shared" si="37"/>
        <v>OK</v>
      </c>
    </row>
    <row r="154" spans="1:19" x14ac:dyDescent="0.25">
      <c r="A154" s="3" t="str">
        <f t="shared" si="38"/>
        <v>30.06.2026</v>
      </c>
      <c r="B154" s="5">
        <v>41</v>
      </c>
      <c r="C154" s="5" t="s">
        <v>77</v>
      </c>
      <c r="D154" s="3">
        <v>13.36</v>
      </c>
      <c r="E154" s="3">
        <v>14.0372</v>
      </c>
      <c r="F154" s="6">
        <f t="shared" si="26"/>
        <v>0.67720000000000091</v>
      </c>
      <c r="G154" s="6">
        <f t="shared" si="27"/>
        <v>5.068862275449109E-2</v>
      </c>
      <c r="H154" s="6" t="str">
        <f t="shared" si="28"/>
        <v>🟢 Over-injection</v>
      </c>
      <c r="I154" s="6">
        <f t="shared" si="29"/>
        <v>-0.67720000000000091</v>
      </c>
      <c r="J154" s="3">
        <v>1.4219999999999999</v>
      </c>
      <c r="K154" s="6">
        <f t="shared" si="30"/>
        <v>2.004</v>
      </c>
      <c r="L154" s="6">
        <f t="shared" si="31"/>
        <v>2.6720000000000002</v>
      </c>
      <c r="M154" s="6">
        <f t="shared" si="32"/>
        <v>0.67720000000000091</v>
      </c>
      <c r="N154" s="6">
        <f t="shared" si="33"/>
        <v>0</v>
      </c>
      <c r="O154" s="6">
        <f t="shared" si="34"/>
        <v>0</v>
      </c>
      <c r="P154" s="6">
        <f t="shared" si="35"/>
        <v>-192.59568000000027</v>
      </c>
      <c r="Q154" s="3">
        <v>-192.59567999999999</v>
      </c>
      <c r="R154" s="6">
        <f t="shared" si="36"/>
        <v>-2.8421709430404007E-13</v>
      </c>
      <c r="S154" s="6" t="str">
        <f t="shared" si="37"/>
        <v>OK</v>
      </c>
    </row>
    <row r="155" spans="1:19" x14ac:dyDescent="0.25">
      <c r="A155" s="3" t="str">
        <f t="shared" si="38"/>
        <v>30.06.2026</v>
      </c>
      <c r="B155" s="5">
        <v>42</v>
      </c>
      <c r="C155" s="5" t="s">
        <v>76</v>
      </c>
      <c r="D155" s="3">
        <v>13.36</v>
      </c>
      <c r="E155" s="3">
        <v>14.0372</v>
      </c>
      <c r="F155" s="6">
        <f t="shared" si="26"/>
        <v>0.67720000000000091</v>
      </c>
      <c r="G155" s="6">
        <f t="shared" si="27"/>
        <v>5.068862275449109E-2</v>
      </c>
      <c r="H155" s="6" t="str">
        <f t="shared" si="28"/>
        <v>🟢 Over-injection</v>
      </c>
      <c r="I155" s="6">
        <f t="shared" si="29"/>
        <v>-0.67720000000000091</v>
      </c>
      <c r="J155" s="3">
        <v>1.4217</v>
      </c>
      <c r="K155" s="6">
        <f t="shared" si="30"/>
        <v>2.004</v>
      </c>
      <c r="L155" s="6">
        <f t="shared" si="31"/>
        <v>2.6720000000000002</v>
      </c>
      <c r="M155" s="6">
        <f t="shared" si="32"/>
        <v>0.67720000000000091</v>
      </c>
      <c r="N155" s="6">
        <f t="shared" si="33"/>
        <v>0</v>
      </c>
      <c r="O155" s="6">
        <f t="shared" si="34"/>
        <v>0</v>
      </c>
      <c r="P155" s="6">
        <f t="shared" si="35"/>
        <v>-192.55504800000028</v>
      </c>
      <c r="Q155" s="3">
        <v>-192.555048</v>
      </c>
      <c r="R155" s="6">
        <f t="shared" si="36"/>
        <v>-2.8421709430404007E-13</v>
      </c>
      <c r="S155" s="6" t="str">
        <f t="shared" si="37"/>
        <v>OK</v>
      </c>
    </row>
    <row r="156" spans="1:19" x14ac:dyDescent="0.25">
      <c r="A156" s="3" t="str">
        <f t="shared" si="38"/>
        <v>30.06.2026</v>
      </c>
      <c r="B156" s="5">
        <v>43</v>
      </c>
      <c r="C156" s="5" t="s">
        <v>75</v>
      </c>
      <c r="D156" s="3">
        <v>13.36</v>
      </c>
      <c r="E156" s="3">
        <v>14.0372</v>
      </c>
      <c r="F156" s="6">
        <f t="shared" si="26"/>
        <v>0.67720000000000091</v>
      </c>
      <c r="G156" s="6">
        <f t="shared" si="27"/>
        <v>5.068862275449109E-2</v>
      </c>
      <c r="H156" s="6" t="str">
        <f t="shared" si="28"/>
        <v>🟢 Over-injection</v>
      </c>
      <c r="I156" s="6">
        <f t="shared" si="29"/>
        <v>-0.67720000000000091</v>
      </c>
      <c r="J156" s="3">
        <v>1.1686000000000001</v>
      </c>
      <c r="K156" s="6">
        <f t="shared" si="30"/>
        <v>2.004</v>
      </c>
      <c r="L156" s="6">
        <f t="shared" si="31"/>
        <v>2.6720000000000002</v>
      </c>
      <c r="M156" s="6">
        <f t="shared" si="32"/>
        <v>0.67720000000000091</v>
      </c>
      <c r="N156" s="6">
        <f t="shared" si="33"/>
        <v>0</v>
      </c>
      <c r="O156" s="6">
        <f t="shared" si="34"/>
        <v>0</v>
      </c>
      <c r="P156" s="6">
        <f t="shared" si="35"/>
        <v>-158.27518400000022</v>
      </c>
      <c r="Q156" s="3">
        <v>-158.27518400000005</v>
      </c>
      <c r="R156" s="6">
        <f t="shared" si="36"/>
        <v>0</v>
      </c>
      <c r="S156" s="6" t="str">
        <f t="shared" si="37"/>
        <v>OK</v>
      </c>
    </row>
    <row r="157" spans="1:19" x14ac:dyDescent="0.25">
      <c r="A157" s="3" t="str">
        <f t="shared" si="38"/>
        <v>30.06.2026</v>
      </c>
      <c r="B157" s="5">
        <v>44</v>
      </c>
      <c r="C157" s="5" t="s">
        <v>74</v>
      </c>
      <c r="D157" s="3">
        <v>13.36</v>
      </c>
      <c r="E157" s="3">
        <v>14.0372</v>
      </c>
      <c r="F157" s="6">
        <f t="shared" si="26"/>
        <v>0.67720000000000091</v>
      </c>
      <c r="G157" s="6">
        <f t="shared" si="27"/>
        <v>5.068862275449109E-2</v>
      </c>
      <c r="H157" s="6" t="str">
        <f t="shared" si="28"/>
        <v>🟢 Over-injection</v>
      </c>
      <c r="I157" s="6">
        <f t="shared" si="29"/>
        <v>-0.67720000000000091</v>
      </c>
      <c r="J157" s="3">
        <v>1.1719999999999999</v>
      </c>
      <c r="K157" s="6">
        <f t="shared" si="30"/>
        <v>2.004</v>
      </c>
      <c r="L157" s="6">
        <f t="shared" si="31"/>
        <v>2.6720000000000002</v>
      </c>
      <c r="M157" s="6">
        <f t="shared" si="32"/>
        <v>0.67720000000000091</v>
      </c>
      <c r="N157" s="6">
        <f t="shared" si="33"/>
        <v>0</v>
      </c>
      <c r="O157" s="6">
        <f t="shared" si="34"/>
        <v>0</v>
      </c>
      <c r="P157" s="6">
        <f t="shared" si="35"/>
        <v>-158.7356800000002</v>
      </c>
      <c r="Q157" s="3">
        <v>-158.73568</v>
      </c>
      <c r="R157" s="6">
        <f t="shared" si="36"/>
        <v>0</v>
      </c>
      <c r="S157" s="6" t="str">
        <f t="shared" si="37"/>
        <v>OK</v>
      </c>
    </row>
    <row r="158" spans="1:19" x14ac:dyDescent="0.25">
      <c r="A158" s="3" t="str">
        <f t="shared" si="38"/>
        <v>30.06.2026</v>
      </c>
      <c r="B158" s="5">
        <v>45</v>
      </c>
      <c r="C158" s="5" t="s">
        <v>73</v>
      </c>
      <c r="D158" s="3">
        <v>13.36</v>
      </c>
      <c r="E158" s="3">
        <v>14.048539999999999</v>
      </c>
      <c r="F158" s="6">
        <f t="shared" si="26"/>
        <v>0.68853999999999971</v>
      </c>
      <c r="G158" s="6">
        <f t="shared" si="27"/>
        <v>5.1537425149700576E-2</v>
      </c>
      <c r="H158" s="6" t="str">
        <f t="shared" si="28"/>
        <v>🟢 Over-injection</v>
      </c>
      <c r="I158" s="6">
        <f t="shared" si="29"/>
        <v>-0.68853999999999971</v>
      </c>
      <c r="J158" s="3">
        <v>1.4332</v>
      </c>
      <c r="K158" s="6">
        <f t="shared" si="30"/>
        <v>2.004</v>
      </c>
      <c r="L158" s="6">
        <f t="shared" si="31"/>
        <v>2.6720000000000002</v>
      </c>
      <c r="M158" s="6">
        <f t="shared" si="32"/>
        <v>0.68853999999999971</v>
      </c>
      <c r="N158" s="6">
        <f t="shared" si="33"/>
        <v>0</v>
      </c>
      <c r="O158" s="6">
        <f t="shared" si="34"/>
        <v>0</v>
      </c>
      <c r="P158" s="6">
        <f t="shared" si="35"/>
        <v>-197.36310559999993</v>
      </c>
      <c r="Q158" s="3">
        <v>-197.36310560000001</v>
      </c>
      <c r="R158" s="6">
        <f t="shared" si="36"/>
        <v>0</v>
      </c>
      <c r="S158" s="6" t="str">
        <f t="shared" si="37"/>
        <v>OK</v>
      </c>
    </row>
    <row r="159" spans="1:19" x14ac:dyDescent="0.25">
      <c r="A159" s="3" t="str">
        <f t="shared" si="38"/>
        <v>30.06.2026</v>
      </c>
      <c r="B159" s="5">
        <v>46</v>
      </c>
      <c r="C159" s="5" t="s">
        <v>72</v>
      </c>
      <c r="D159" s="3">
        <v>13.36</v>
      </c>
      <c r="E159" s="3">
        <v>14.0372</v>
      </c>
      <c r="F159" s="6">
        <f t="shared" si="26"/>
        <v>0.67720000000000091</v>
      </c>
      <c r="G159" s="6">
        <f t="shared" si="27"/>
        <v>5.068862275449109E-2</v>
      </c>
      <c r="H159" s="6" t="str">
        <f t="shared" si="28"/>
        <v>🟢 Over-injection</v>
      </c>
      <c r="I159" s="6">
        <f t="shared" si="29"/>
        <v>-0.67720000000000091</v>
      </c>
      <c r="J159" s="3">
        <v>1.5249000000000001</v>
      </c>
      <c r="K159" s="6">
        <f t="shared" si="30"/>
        <v>2.004</v>
      </c>
      <c r="L159" s="6">
        <f t="shared" si="31"/>
        <v>2.6720000000000002</v>
      </c>
      <c r="M159" s="6">
        <f t="shared" si="32"/>
        <v>0.67720000000000091</v>
      </c>
      <c r="N159" s="6">
        <f t="shared" si="33"/>
        <v>0</v>
      </c>
      <c r="O159" s="6">
        <f t="shared" si="34"/>
        <v>0</v>
      </c>
      <c r="P159" s="6">
        <f t="shared" si="35"/>
        <v>-206.53245600000034</v>
      </c>
      <c r="Q159" s="3">
        <v>-206.53245600000002</v>
      </c>
      <c r="R159" s="6">
        <f t="shared" si="36"/>
        <v>-3.1263880373444408E-13</v>
      </c>
      <c r="S159" s="6" t="str">
        <f t="shared" si="37"/>
        <v>OK</v>
      </c>
    </row>
    <row r="160" spans="1:19" x14ac:dyDescent="0.25">
      <c r="A160" s="3" t="str">
        <f t="shared" si="38"/>
        <v>30.06.2026</v>
      </c>
      <c r="B160" s="5">
        <v>47</v>
      </c>
      <c r="C160" s="5" t="s">
        <v>71</v>
      </c>
      <c r="D160" s="3">
        <v>14.059999999999999</v>
      </c>
      <c r="E160" s="3">
        <v>14.048539999999999</v>
      </c>
      <c r="F160" s="6">
        <f t="shared" si="26"/>
        <v>-1.1459999999999582E-2</v>
      </c>
      <c r="G160" s="6">
        <f t="shared" si="27"/>
        <v>-8.1507823613083798E-4</v>
      </c>
      <c r="H160" s="6" t="str">
        <f t="shared" si="28"/>
        <v>🔴 Under-injection</v>
      </c>
      <c r="I160" s="6">
        <f t="shared" si="29"/>
        <v>1.1459999999999582E-2</v>
      </c>
      <c r="J160" s="3">
        <v>1.3285</v>
      </c>
      <c r="K160" s="6">
        <f t="shared" si="30"/>
        <v>2.1089999999999995</v>
      </c>
      <c r="L160" s="6">
        <f t="shared" si="31"/>
        <v>2.8119999999999998</v>
      </c>
      <c r="M160" s="6">
        <f t="shared" si="32"/>
        <v>1.1459999999999582E-2</v>
      </c>
      <c r="N160" s="6">
        <f t="shared" si="33"/>
        <v>0</v>
      </c>
      <c r="O160" s="6">
        <f t="shared" si="34"/>
        <v>0</v>
      </c>
      <c r="P160" s="6">
        <f t="shared" si="35"/>
        <v>3.9964601249998544</v>
      </c>
      <c r="Q160" s="3">
        <v>3.996460125</v>
      </c>
      <c r="R160" s="6">
        <f t="shared" si="36"/>
        <v>-1.4566126083082054E-13</v>
      </c>
      <c r="S160" s="6" t="str">
        <f t="shared" si="37"/>
        <v>OK</v>
      </c>
    </row>
    <row r="161" spans="1:19" x14ac:dyDescent="0.25">
      <c r="A161" s="3" t="str">
        <f t="shared" si="38"/>
        <v>30.06.2026</v>
      </c>
      <c r="B161" s="5">
        <v>48</v>
      </c>
      <c r="C161" s="5" t="s">
        <v>70</v>
      </c>
      <c r="D161" s="3">
        <v>13.36</v>
      </c>
      <c r="E161" s="3">
        <v>14.0372</v>
      </c>
      <c r="F161" s="6">
        <f t="shared" si="26"/>
        <v>0.67720000000000091</v>
      </c>
      <c r="G161" s="6">
        <f t="shared" si="27"/>
        <v>5.068862275449109E-2</v>
      </c>
      <c r="H161" s="6" t="str">
        <f t="shared" si="28"/>
        <v>🟢 Over-injection</v>
      </c>
      <c r="I161" s="6">
        <f t="shared" si="29"/>
        <v>-0.67720000000000091</v>
      </c>
      <c r="J161" s="3">
        <v>1.4824000000000002</v>
      </c>
      <c r="K161" s="6">
        <f t="shared" si="30"/>
        <v>2.004</v>
      </c>
      <c r="L161" s="6">
        <f t="shared" si="31"/>
        <v>2.6720000000000002</v>
      </c>
      <c r="M161" s="6">
        <f t="shared" si="32"/>
        <v>0.67720000000000091</v>
      </c>
      <c r="N161" s="6">
        <f t="shared" si="33"/>
        <v>0</v>
      </c>
      <c r="O161" s="6">
        <f t="shared" si="34"/>
        <v>0</v>
      </c>
      <c r="P161" s="6">
        <f t="shared" si="35"/>
        <v>-200.77625600000033</v>
      </c>
      <c r="Q161" s="3">
        <v>-200.77625600000002</v>
      </c>
      <c r="R161" s="6">
        <f t="shared" si="36"/>
        <v>-3.1263880373444408E-13</v>
      </c>
      <c r="S161" s="6" t="str">
        <f t="shared" si="37"/>
        <v>OK</v>
      </c>
    </row>
    <row r="162" spans="1:19" x14ac:dyDescent="0.25">
      <c r="A162" s="3" t="str">
        <f t="shared" si="38"/>
        <v>30.06.2026</v>
      </c>
      <c r="B162" s="5">
        <v>49</v>
      </c>
      <c r="C162" s="5" t="s">
        <v>69</v>
      </c>
      <c r="D162" s="3">
        <v>13.36</v>
      </c>
      <c r="E162" s="3">
        <v>14.048539999999999</v>
      </c>
      <c r="F162" s="6">
        <f t="shared" si="26"/>
        <v>0.68853999999999971</v>
      </c>
      <c r="G162" s="6">
        <f t="shared" si="27"/>
        <v>5.1537425149700576E-2</v>
      </c>
      <c r="H162" s="6" t="str">
        <f t="shared" si="28"/>
        <v>🟢 Over-injection</v>
      </c>
      <c r="I162" s="6">
        <f t="shared" si="29"/>
        <v>-0.68853999999999971</v>
      </c>
      <c r="J162" s="3">
        <v>1.5741999999999998</v>
      </c>
      <c r="K162" s="6">
        <f t="shared" si="30"/>
        <v>2.004</v>
      </c>
      <c r="L162" s="6">
        <f t="shared" si="31"/>
        <v>2.6720000000000002</v>
      </c>
      <c r="M162" s="6">
        <f t="shared" si="32"/>
        <v>0.68853999999999971</v>
      </c>
      <c r="N162" s="6">
        <f t="shared" si="33"/>
        <v>0</v>
      </c>
      <c r="O162" s="6">
        <f t="shared" si="34"/>
        <v>0</v>
      </c>
      <c r="P162" s="6">
        <f t="shared" si="35"/>
        <v>-216.77993359999988</v>
      </c>
      <c r="Q162" s="3">
        <v>-216.77993360000002</v>
      </c>
      <c r="R162" s="6">
        <f t="shared" si="36"/>
        <v>0</v>
      </c>
      <c r="S162" s="6" t="str">
        <f t="shared" si="37"/>
        <v>OK</v>
      </c>
    </row>
    <row r="163" spans="1:19" x14ac:dyDescent="0.25">
      <c r="A163" s="3" t="str">
        <f t="shared" si="38"/>
        <v>30.06.2026</v>
      </c>
      <c r="B163" s="5">
        <v>50</v>
      </c>
      <c r="C163" s="5" t="s">
        <v>68</v>
      </c>
      <c r="D163" s="3">
        <v>13.36</v>
      </c>
      <c r="E163" s="3">
        <v>14.048539999999999</v>
      </c>
      <c r="F163" s="6">
        <f t="shared" si="26"/>
        <v>0.68853999999999971</v>
      </c>
      <c r="G163" s="6">
        <f t="shared" si="27"/>
        <v>5.1537425149700576E-2</v>
      </c>
      <c r="H163" s="6" t="str">
        <f t="shared" si="28"/>
        <v>🟢 Over-injection</v>
      </c>
      <c r="I163" s="6">
        <f t="shared" si="29"/>
        <v>-0.68853999999999971</v>
      </c>
      <c r="J163" s="3">
        <v>1.6181000000000001</v>
      </c>
      <c r="K163" s="6">
        <f t="shared" si="30"/>
        <v>2.004</v>
      </c>
      <c r="L163" s="6">
        <f t="shared" si="31"/>
        <v>2.6720000000000002</v>
      </c>
      <c r="M163" s="6">
        <f t="shared" si="32"/>
        <v>0.68853999999999971</v>
      </c>
      <c r="N163" s="6">
        <f t="shared" si="33"/>
        <v>0</v>
      </c>
      <c r="O163" s="6">
        <f t="shared" si="34"/>
        <v>0</v>
      </c>
      <c r="P163" s="6">
        <f t="shared" si="35"/>
        <v>-222.82531479999992</v>
      </c>
      <c r="Q163" s="3">
        <v>-222.82531480000003</v>
      </c>
      <c r="R163" s="6">
        <f t="shared" si="36"/>
        <v>0</v>
      </c>
      <c r="S163" s="6" t="str">
        <f t="shared" si="37"/>
        <v>OK</v>
      </c>
    </row>
    <row r="164" spans="1:19" x14ac:dyDescent="0.25">
      <c r="A164" s="3" t="str">
        <f t="shared" si="38"/>
        <v>30.06.2026</v>
      </c>
      <c r="B164" s="5">
        <v>51</v>
      </c>
      <c r="C164" s="5" t="s">
        <v>67</v>
      </c>
      <c r="D164" s="3">
        <v>13.36</v>
      </c>
      <c r="E164" s="3">
        <v>14.048539999999999</v>
      </c>
      <c r="F164" s="6">
        <f t="shared" si="26"/>
        <v>0.68853999999999971</v>
      </c>
      <c r="G164" s="6">
        <f t="shared" si="27"/>
        <v>5.1537425149700576E-2</v>
      </c>
      <c r="H164" s="6" t="str">
        <f t="shared" si="28"/>
        <v>🟢 Over-injection</v>
      </c>
      <c r="I164" s="6">
        <f t="shared" si="29"/>
        <v>-0.68853999999999971</v>
      </c>
      <c r="J164" s="3">
        <v>1.6402000000000001</v>
      </c>
      <c r="K164" s="6">
        <f t="shared" si="30"/>
        <v>2.004</v>
      </c>
      <c r="L164" s="6">
        <f t="shared" si="31"/>
        <v>2.6720000000000002</v>
      </c>
      <c r="M164" s="6">
        <f t="shared" si="32"/>
        <v>0.68853999999999971</v>
      </c>
      <c r="N164" s="6">
        <f t="shared" si="33"/>
        <v>0</v>
      </c>
      <c r="O164" s="6">
        <f t="shared" si="34"/>
        <v>0</v>
      </c>
      <c r="P164" s="6">
        <f t="shared" si="35"/>
        <v>-225.86866159999991</v>
      </c>
      <c r="Q164" s="3">
        <v>-225.86866160000005</v>
      </c>
      <c r="R164" s="6">
        <f t="shared" si="36"/>
        <v>0</v>
      </c>
      <c r="S164" s="6" t="str">
        <f t="shared" si="37"/>
        <v>OK</v>
      </c>
    </row>
    <row r="165" spans="1:19" x14ac:dyDescent="0.25">
      <c r="A165" s="3" t="str">
        <f t="shared" si="38"/>
        <v>30.06.2026</v>
      </c>
      <c r="B165" s="5">
        <v>52</v>
      </c>
      <c r="C165" s="5" t="s">
        <v>66</v>
      </c>
      <c r="D165" s="3">
        <v>13.36</v>
      </c>
      <c r="E165" s="3">
        <v>14.048539999999999</v>
      </c>
      <c r="F165" s="6">
        <f t="shared" si="26"/>
        <v>0.68853999999999971</v>
      </c>
      <c r="G165" s="6">
        <f t="shared" si="27"/>
        <v>5.1537425149700576E-2</v>
      </c>
      <c r="H165" s="6" t="str">
        <f t="shared" si="28"/>
        <v>🟢 Over-injection</v>
      </c>
      <c r="I165" s="6">
        <f t="shared" si="29"/>
        <v>-0.68853999999999971</v>
      </c>
      <c r="J165" s="3">
        <v>1.6556</v>
      </c>
      <c r="K165" s="6">
        <f t="shared" si="30"/>
        <v>2.004</v>
      </c>
      <c r="L165" s="6">
        <f t="shared" si="31"/>
        <v>2.6720000000000002</v>
      </c>
      <c r="M165" s="6">
        <f t="shared" si="32"/>
        <v>0.68853999999999971</v>
      </c>
      <c r="N165" s="6">
        <f t="shared" si="33"/>
        <v>0</v>
      </c>
      <c r="O165" s="6">
        <f t="shared" si="34"/>
        <v>0</v>
      </c>
      <c r="P165" s="6">
        <f t="shared" si="35"/>
        <v>-227.98936479999989</v>
      </c>
      <c r="Q165" s="3">
        <v>-227.98936480000003</v>
      </c>
      <c r="R165" s="6">
        <f t="shared" si="36"/>
        <v>0</v>
      </c>
      <c r="S165" s="6" t="str">
        <f t="shared" si="37"/>
        <v>OK</v>
      </c>
    </row>
    <row r="166" spans="1:19" x14ac:dyDescent="0.25">
      <c r="A166" s="3" t="str">
        <f t="shared" si="38"/>
        <v>30.06.2026</v>
      </c>
      <c r="B166" s="5">
        <v>53</v>
      </c>
      <c r="C166" s="5" t="s">
        <v>65</v>
      </c>
      <c r="D166" s="3">
        <v>13.36</v>
      </c>
      <c r="E166" s="3">
        <v>14.048539999999999</v>
      </c>
      <c r="F166" s="6">
        <f t="shared" si="26"/>
        <v>0.68853999999999971</v>
      </c>
      <c r="G166" s="6">
        <f t="shared" si="27"/>
        <v>5.1537425149700576E-2</v>
      </c>
      <c r="H166" s="6" t="str">
        <f t="shared" si="28"/>
        <v>🟢 Over-injection</v>
      </c>
      <c r="I166" s="6">
        <f t="shared" si="29"/>
        <v>-0.68853999999999971</v>
      </c>
      <c r="J166" s="3">
        <v>1.5740000000000001</v>
      </c>
      <c r="K166" s="6">
        <f t="shared" si="30"/>
        <v>2.004</v>
      </c>
      <c r="L166" s="6">
        <f t="shared" si="31"/>
        <v>2.6720000000000002</v>
      </c>
      <c r="M166" s="6">
        <f t="shared" si="32"/>
        <v>0.68853999999999971</v>
      </c>
      <c r="N166" s="6">
        <f t="shared" si="33"/>
        <v>0</v>
      </c>
      <c r="O166" s="6">
        <f t="shared" si="34"/>
        <v>0</v>
      </c>
      <c r="P166" s="6">
        <f t="shared" si="35"/>
        <v>-216.7523919999999</v>
      </c>
      <c r="Q166" s="3">
        <v>-216.75239200000001</v>
      </c>
      <c r="R166" s="6">
        <f t="shared" si="36"/>
        <v>0</v>
      </c>
      <c r="S166" s="6" t="str">
        <f t="shared" si="37"/>
        <v>OK</v>
      </c>
    </row>
    <row r="167" spans="1:19" x14ac:dyDescent="0.25">
      <c r="A167" s="3" t="str">
        <f t="shared" si="38"/>
        <v>30.06.2026</v>
      </c>
      <c r="B167" s="5">
        <v>54</v>
      </c>
      <c r="C167" s="5" t="s">
        <v>64</v>
      </c>
      <c r="D167" s="3">
        <v>14.059999999999999</v>
      </c>
      <c r="E167" s="3">
        <v>14.059900000000001</v>
      </c>
      <c r="F167" s="6">
        <f t="shared" si="26"/>
        <v>-9.9999999997990585E-5</v>
      </c>
      <c r="G167" s="6">
        <f t="shared" si="27"/>
        <v>-7.1123755332852485E-6</v>
      </c>
      <c r="H167" s="6" t="str">
        <f t="shared" si="28"/>
        <v>🔴 Under-injection</v>
      </c>
      <c r="I167" s="6">
        <f t="shared" si="29"/>
        <v>9.9999999997990585E-5</v>
      </c>
      <c r="J167" s="3">
        <v>1.6505000000000001</v>
      </c>
      <c r="K167" s="6">
        <f t="shared" si="30"/>
        <v>2.1089999999999995</v>
      </c>
      <c r="L167" s="6">
        <f t="shared" si="31"/>
        <v>2.8119999999999998</v>
      </c>
      <c r="M167" s="6">
        <f t="shared" si="32"/>
        <v>9.9999999997990585E-5</v>
      </c>
      <c r="N167" s="6">
        <f t="shared" si="33"/>
        <v>0</v>
      </c>
      <c r="O167" s="6">
        <f t="shared" si="34"/>
        <v>0</v>
      </c>
      <c r="P167" s="6">
        <f t="shared" si="35"/>
        <v>4.3325624999129411E-2</v>
      </c>
      <c r="Q167" s="3">
        <v>4.3325625000000006E-2</v>
      </c>
      <c r="R167" s="6">
        <f t="shared" si="36"/>
        <v>-8.7059526254762432E-13</v>
      </c>
      <c r="S167" s="6" t="str">
        <f t="shared" si="37"/>
        <v>OK</v>
      </c>
    </row>
    <row r="168" spans="1:19" x14ac:dyDescent="0.25">
      <c r="A168" s="3" t="str">
        <f t="shared" si="38"/>
        <v>30.06.2026</v>
      </c>
      <c r="B168" s="5">
        <v>55</v>
      </c>
      <c r="C168" s="5" t="s">
        <v>63</v>
      </c>
      <c r="D168" s="3">
        <v>14.059999999999999</v>
      </c>
      <c r="E168" s="3">
        <v>14.07124</v>
      </c>
      <c r="F168" s="6">
        <f t="shared" si="26"/>
        <v>1.1240000000000805E-2</v>
      </c>
      <c r="G168" s="6">
        <f t="shared" si="27"/>
        <v>7.9943100995738309E-4</v>
      </c>
      <c r="H168" s="6" t="str">
        <f t="shared" si="28"/>
        <v>🟢 Over-injection</v>
      </c>
      <c r="I168" s="6">
        <f t="shared" si="29"/>
        <v>-1.1240000000000805E-2</v>
      </c>
      <c r="J168" s="3">
        <v>1.6594</v>
      </c>
      <c r="K168" s="6">
        <f t="shared" si="30"/>
        <v>2.1089999999999995</v>
      </c>
      <c r="L168" s="6">
        <f t="shared" si="31"/>
        <v>2.8119999999999998</v>
      </c>
      <c r="M168" s="6">
        <f t="shared" si="32"/>
        <v>1.1240000000000805E-2</v>
      </c>
      <c r="N168" s="6">
        <f t="shared" si="33"/>
        <v>0</v>
      </c>
      <c r="O168" s="6">
        <f t="shared" si="34"/>
        <v>0</v>
      </c>
      <c r="P168" s="6">
        <f t="shared" si="35"/>
        <v>-3.7303312000002671</v>
      </c>
      <c r="Q168" s="3">
        <v>-3.7303312000000002</v>
      </c>
      <c r="R168" s="6">
        <f t="shared" si="36"/>
        <v>-2.6689761511988763E-13</v>
      </c>
      <c r="S168" s="6" t="str">
        <f t="shared" si="37"/>
        <v>OK</v>
      </c>
    </row>
    <row r="169" spans="1:19" x14ac:dyDescent="0.25">
      <c r="A169" s="3" t="str">
        <f t="shared" si="38"/>
        <v>30.06.2026</v>
      </c>
      <c r="B169" s="5">
        <v>56</v>
      </c>
      <c r="C169" s="5" t="s">
        <v>62</v>
      </c>
      <c r="D169" s="3">
        <v>14.059999999999999</v>
      </c>
      <c r="E169" s="3">
        <v>14.08259</v>
      </c>
      <c r="F169" s="6">
        <f t="shared" si="26"/>
        <v>2.2590000000000998E-2</v>
      </c>
      <c r="G169" s="6">
        <f t="shared" si="27"/>
        <v>1.6066856330014935E-3</v>
      </c>
      <c r="H169" s="6" t="str">
        <f t="shared" si="28"/>
        <v>🟢 Over-injection</v>
      </c>
      <c r="I169" s="6">
        <f t="shared" si="29"/>
        <v>-2.2590000000000998E-2</v>
      </c>
      <c r="J169" s="3">
        <v>1.8207</v>
      </c>
      <c r="K169" s="6">
        <f t="shared" si="30"/>
        <v>2.1089999999999995</v>
      </c>
      <c r="L169" s="6">
        <f t="shared" si="31"/>
        <v>2.8119999999999998</v>
      </c>
      <c r="M169" s="6">
        <f t="shared" si="32"/>
        <v>2.2590000000000998E-2</v>
      </c>
      <c r="N169" s="6">
        <f t="shared" si="33"/>
        <v>0</v>
      </c>
      <c r="O169" s="6">
        <f t="shared" si="34"/>
        <v>0</v>
      </c>
      <c r="P169" s="6">
        <f t="shared" si="35"/>
        <v>-8.2259226000003629</v>
      </c>
      <c r="Q169" s="3">
        <v>-8.2259225999999988</v>
      </c>
      <c r="R169" s="6">
        <f t="shared" si="36"/>
        <v>-3.6415315207705135E-13</v>
      </c>
      <c r="S169" s="6" t="str">
        <f t="shared" si="37"/>
        <v>OK</v>
      </c>
    </row>
    <row r="170" spans="1:19" x14ac:dyDescent="0.25">
      <c r="A170" s="3" t="str">
        <f t="shared" si="38"/>
        <v>30.06.2026</v>
      </c>
      <c r="B170" s="5">
        <v>57</v>
      </c>
      <c r="C170" s="5" t="s">
        <v>61</v>
      </c>
      <c r="D170" s="3">
        <v>14.059999999999999</v>
      </c>
      <c r="E170" s="3">
        <v>14.10529</v>
      </c>
      <c r="F170" s="6">
        <f t="shared" si="26"/>
        <v>4.5290000000001385E-2</v>
      </c>
      <c r="G170" s="6">
        <f t="shared" si="27"/>
        <v>3.2211948790897148E-3</v>
      </c>
      <c r="H170" s="6" t="str">
        <f t="shared" si="28"/>
        <v>🟢 Over-injection</v>
      </c>
      <c r="I170" s="6">
        <f t="shared" si="29"/>
        <v>-4.5290000000001385E-2</v>
      </c>
      <c r="J170" s="3">
        <v>1.9122999999999999</v>
      </c>
      <c r="K170" s="6">
        <f t="shared" si="30"/>
        <v>2.1089999999999995</v>
      </c>
      <c r="L170" s="6">
        <f t="shared" si="31"/>
        <v>2.8119999999999998</v>
      </c>
      <c r="M170" s="6">
        <f t="shared" si="32"/>
        <v>4.5290000000001385E-2</v>
      </c>
      <c r="N170" s="6">
        <f t="shared" si="33"/>
        <v>0</v>
      </c>
      <c r="O170" s="6">
        <f t="shared" si="34"/>
        <v>0</v>
      </c>
      <c r="P170" s="6">
        <f t="shared" si="35"/>
        <v>-17.32161340000053</v>
      </c>
      <c r="Q170" s="3">
        <v>-17.3216134</v>
      </c>
      <c r="R170" s="6">
        <f t="shared" si="36"/>
        <v>-5.2935433814127464E-13</v>
      </c>
      <c r="S170" s="6" t="str">
        <f t="shared" si="37"/>
        <v>OK</v>
      </c>
    </row>
    <row r="171" spans="1:19" x14ac:dyDescent="0.25">
      <c r="A171" s="3" t="str">
        <f t="shared" si="38"/>
        <v>30.06.2026</v>
      </c>
      <c r="B171" s="5">
        <v>58</v>
      </c>
      <c r="C171" s="5" t="s">
        <v>60</v>
      </c>
      <c r="D171" s="3">
        <v>14.059999999999999</v>
      </c>
      <c r="E171" s="3">
        <v>14.12799</v>
      </c>
      <c r="F171" s="6">
        <f t="shared" si="26"/>
        <v>6.7990000000001771E-2</v>
      </c>
      <c r="G171" s="6">
        <f t="shared" si="27"/>
        <v>4.8357041251779354E-3</v>
      </c>
      <c r="H171" s="6" t="str">
        <f t="shared" si="28"/>
        <v>🟢 Over-injection</v>
      </c>
      <c r="I171" s="6">
        <f t="shared" si="29"/>
        <v>-6.7990000000001771E-2</v>
      </c>
      <c r="J171" s="3">
        <v>2.1053999999999999</v>
      </c>
      <c r="K171" s="6">
        <f t="shared" si="30"/>
        <v>2.1089999999999995</v>
      </c>
      <c r="L171" s="6">
        <f t="shared" si="31"/>
        <v>2.8119999999999998</v>
      </c>
      <c r="M171" s="6">
        <f t="shared" si="32"/>
        <v>6.7990000000001771E-2</v>
      </c>
      <c r="N171" s="6">
        <f t="shared" si="33"/>
        <v>0</v>
      </c>
      <c r="O171" s="6">
        <f t="shared" si="34"/>
        <v>0</v>
      </c>
      <c r="P171" s="6">
        <f t="shared" si="35"/>
        <v>-28.629229200000744</v>
      </c>
      <c r="Q171" s="3">
        <v>-28.629229199999997</v>
      </c>
      <c r="R171" s="6">
        <f t="shared" si="36"/>
        <v>-7.460698725481052E-13</v>
      </c>
      <c r="S171" s="6" t="str">
        <f t="shared" si="37"/>
        <v>OK</v>
      </c>
    </row>
    <row r="172" spans="1:19" x14ac:dyDescent="0.25">
      <c r="A172" s="3" t="str">
        <f t="shared" si="38"/>
        <v>30.06.2026</v>
      </c>
      <c r="B172" s="5">
        <v>59</v>
      </c>
      <c r="C172" s="5" t="s">
        <v>59</v>
      </c>
      <c r="D172" s="3">
        <v>14.059999999999999</v>
      </c>
      <c r="E172" s="3">
        <v>14.116630000000001</v>
      </c>
      <c r="F172" s="6">
        <f t="shared" si="26"/>
        <v>5.6630000000001957E-2</v>
      </c>
      <c r="G172" s="6">
        <f t="shared" si="27"/>
        <v>4.0277382645805097E-3</v>
      </c>
      <c r="H172" s="6" t="str">
        <f t="shared" si="28"/>
        <v>🟢 Over-injection</v>
      </c>
      <c r="I172" s="6">
        <f t="shared" si="29"/>
        <v>-5.6630000000001957E-2</v>
      </c>
      <c r="J172" s="3">
        <v>2.2706999999999997</v>
      </c>
      <c r="K172" s="6">
        <f t="shared" si="30"/>
        <v>2.1089999999999995</v>
      </c>
      <c r="L172" s="6">
        <f t="shared" si="31"/>
        <v>2.8119999999999998</v>
      </c>
      <c r="M172" s="6">
        <f t="shared" si="32"/>
        <v>5.6630000000001957E-2</v>
      </c>
      <c r="N172" s="6">
        <f t="shared" si="33"/>
        <v>0</v>
      </c>
      <c r="O172" s="6">
        <f t="shared" si="34"/>
        <v>0</v>
      </c>
      <c r="P172" s="6">
        <f t="shared" si="35"/>
        <v>-25.717948200000883</v>
      </c>
      <c r="Q172" s="3">
        <v>-25.717948199999999</v>
      </c>
      <c r="R172" s="6">
        <f t="shared" si="36"/>
        <v>-8.8462570602132473E-13</v>
      </c>
      <c r="S172" s="6" t="str">
        <f t="shared" si="37"/>
        <v>OK</v>
      </c>
    </row>
    <row r="173" spans="1:19" x14ac:dyDescent="0.25">
      <c r="A173" s="3" t="str">
        <f t="shared" si="38"/>
        <v>30.06.2026</v>
      </c>
      <c r="B173" s="5">
        <v>60</v>
      </c>
      <c r="C173" s="5" t="s">
        <v>58</v>
      </c>
      <c r="D173" s="3">
        <v>14.059999999999999</v>
      </c>
      <c r="E173" s="3">
        <v>14.12799</v>
      </c>
      <c r="F173" s="6">
        <f t="shared" si="26"/>
        <v>6.7990000000001771E-2</v>
      </c>
      <c r="G173" s="6">
        <f t="shared" si="27"/>
        <v>4.8357041251779354E-3</v>
      </c>
      <c r="H173" s="6" t="str">
        <f t="shared" si="28"/>
        <v>🟢 Over-injection</v>
      </c>
      <c r="I173" s="6">
        <f t="shared" si="29"/>
        <v>-6.7990000000001771E-2</v>
      </c>
      <c r="J173" s="3">
        <v>2.3026</v>
      </c>
      <c r="K173" s="6">
        <f t="shared" si="30"/>
        <v>2.1089999999999995</v>
      </c>
      <c r="L173" s="6">
        <f t="shared" si="31"/>
        <v>2.8119999999999998</v>
      </c>
      <c r="M173" s="6">
        <f t="shared" si="32"/>
        <v>6.7990000000001771E-2</v>
      </c>
      <c r="N173" s="6">
        <f t="shared" si="33"/>
        <v>0</v>
      </c>
      <c r="O173" s="6">
        <f t="shared" si="34"/>
        <v>0</v>
      </c>
      <c r="P173" s="6">
        <f t="shared" si="35"/>
        <v>-31.310754800000819</v>
      </c>
      <c r="Q173" s="3">
        <v>-31.310754800000002</v>
      </c>
      <c r="R173" s="6">
        <f t="shared" si="36"/>
        <v>-8.1712414612411521E-13</v>
      </c>
      <c r="S173" s="6" t="str">
        <f t="shared" si="37"/>
        <v>OK</v>
      </c>
    </row>
    <row r="174" spans="1:19" x14ac:dyDescent="0.25">
      <c r="A174" s="3" t="str">
        <f t="shared" si="38"/>
        <v>30.06.2026</v>
      </c>
      <c r="B174" s="5">
        <v>61</v>
      </c>
      <c r="C174" s="5" t="s">
        <v>57</v>
      </c>
      <c r="D174" s="3">
        <v>18.059999999999999</v>
      </c>
      <c r="E174" s="3">
        <v>17.112449999999999</v>
      </c>
      <c r="F174" s="6">
        <f t="shared" si="26"/>
        <v>-0.94754999999999967</v>
      </c>
      <c r="G174" s="6">
        <f t="shared" si="27"/>
        <v>-5.2466777408637859E-2</v>
      </c>
      <c r="H174" s="6" t="str">
        <f t="shared" si="28"/>
        <v>🔴 Under-injection</v>
      </c>
      <c r="I174" s="6">
        <f t="shared" si="29"/>
        <v>0.94754999999999967</v>
      </c>
      <c r="J174" s="3">
        <v>2.6022000000000003</v>
      </c>
      <c r="K174" s="6">
        <f t="shared" si="30"/>
        <v>2.7089999999999996</v>
      </c>
      <c r="L174" s="6">
        <f t="shared" si="31"/>
        <v>3.6120000000000001</v>
      </c>
      <c r="M174" s="6">
        <f t="shared" si="32"/>
        <v>0.94754999999999967</v>
      </c>
      <c r="N174" s="6">
        <f t="shared" si="33"/>
        <v>0</v>
      </c>
      <c r="O174" s="6">
        <f t="shared" si="34"/>
        <v>0</v>
      </c>
      <c r="P174" s="6">
        <f t="shared" si="35"/>
        <v>647.25008512499994</v>
      </c>
      <c r="Q174" s="3">
        <v>647.25008512500017</v>
      </c>
      <c r="R174" s="6">
        <f t="shared" si="36"/>
        <v>0</v>
      </c>
      <c r="S174" s="6" t="str">
        <f t="shared" si="37"/>
        <v>OK</v>
      </c>
    </row>
    <row r="175" spans="1:19" x14ac:dyDescent="0.25">
      <c r="A175" s="3" t="str">
        <f t="shared" si="38"/>
        <v>30.06.2026</v>
      </c>
      <c r="B175" s="5">
        <v>62</v>
      </c>
      <c r="C175" s="5" t="s">
        <v>56</v>
      </c>
      <c r="D175" s="3">
        <v>18.059999999999999</v>
      </c>
      <c r="E175" s="3">
        <v>18.224530000000001</v>
      </c>
      <c r="F175" s="6">
        <f t="shared" si="26"/>
        <v>0.16453000000000273</v>
      </c>
      <c r="G175" s="6">
        <f t="shared" si="27"/>
        <v>9.1101882613512045E-3</v>
      </c>
      <c r="H175" s="6" t="str">
        <f t="shared" si="28"/>
        <v>🟢 Over-injection</v>
      </c>
      <c r="I175" s="6">
        <f t="shared" si="29"/>
        <v>-0.16453000000000273</v>
      </c>
      <c r="J175" s="3">
        <v>2.7726999999999999</v>
      </c>
      <c r="K175" s="6">
        <f t="shared" si="30"/>
        <v>2.7089999999999996</v>
      </c>
      <c r="L175" s="6">
        <f t="shared" si="31"/>
        <v>3.6120000000000001</v>
      </c>
      <c r="M175" s="6">
        <f t="shared" si="32"/>
        <v>0.16453000000000273</v>
      </c>
      <c r="N175" s="6">
        <f t="shared" si="33"/>
        <v>0</v>
      </c>
      <c r="O175" s="6">
        <f t="shared" si="34"/>
        <v>0</v>
      </c>
      <c r="P175" s="6">
        <f t="shared" si="35"/>
        <v>-91.238466200001511</v>
      </c>
      <c r="Q175" s="3">
        <v>-91.238466200000005</v>
      </c>
      <c r="R175" s="6">
        <f t="shared" si="36"/>
        <v>-1.5063505998114124E-12</v>
      </c>
      <c r="S175" s="6" t="str">
        <f t="shared" si="37"/>
        <v>OK</v>
      </c>
    </row>
    <row r="176" spans="1:19" x14ac:dyDescent="0.25">
      <c r="A176" s="3" t="str">
        <f t="shared" si="38"/>
        <v>30.06.2026</v>
      </c>
      <c r="B176" s="5">
        <v>63</v>
      </c>
      <c r="C176" s="5" t="s">
        <v>55</v>
      </c>
      <c r="D176" s="3">
        <v>18.059999999999999</v>
      </c>
      <c r="E176" s="3">
        <v>18.224530000000001</v>
      </c>
      <c r="F176" s="6">
        <f t="shared" si="26"/>
        <v>0.16453000000000273</v>
      </c>
      <c r="G176" s="6">
        <f t="shared" si="27"/>
        <v>9.1101882613512045E-3</v>
      </c>
      <c r="H176" s="6" t="str">
        <f t="shared" si="28"/>
        <v>🟢 Over-injection</v>
      </c>
      <c r="I176" s="6">
        <f t="shared" si="29"/>
        <v>-0.16453000000000273</v>
      </c>
      <c r="J176" s="3">
        <v>2.8136000000000001</v>
      </c>
      <c r="K176" s="6">
        <f t="shared" si="30"/>
        <v>2.7089999999999996</v>
      </c>
      <c r="L176" s="6">
        <f t="shared" si="31"/>
        <v>3.6120000000000001</v>
      </c>
      <c r="M176" s="6">
        <f t="shared" si="32"/>
        <v>0.16453000000000273</v>
      </c>
      <c r="N176" s="6">
        <f t="shared" si="33"/>
        <v>0</v>
      </c>
      <c r="O176" s="6">
        <f t="shared" si="34"/>
        <v>0</v>
      </c>
      <c r="P176" s="6">
        <f t="shared" si="35"/>
        <v>-92.584321600001545</v>
      </c>
      <c r="Q176" s="3">
        <v>-92.58432160000001</v>
      </c>
      <c r="R176" s="6">
        <f t="shared" si="36"/>
        <v>-1.5347723092418164E-12</v>
      </c>
      <c r="S176" s="6" t="str">
        <f t="shared" si="37"/>
        <v>OK</v>
      </c>
    </row>
    <row r="177" spans="1:19" x14ac:dyDescent="0.25">
      <c r="A177" s="3" t="str">
        <f t="shared" si="38"/>
        <v>30.06.2026</v>
      </c>
      <c r="B177" s="5">
        <v>64</v>
      </c>
      <c r="C177" s="5" t="s">
        <v>54</v>
      </c>
      <c r="D177" s="3">
        <v>18.059999999999999</v>
      </c>
      <c r="E177" s="3">
        <v>18.224530000000001</v>
      </c>
      <c r="F177" s="6">
        <f t="shared" si="26"/>
        <v>0.16453000000000273</v>
      </c>
      <c r="G177" s="6">
        <f t="shared" si="27"/>
        <v>9.1101882613512045E-3</v>
      </c>
      <c r="H177" s="6" t="str">
        <f t="shared" si="28"/>
        <v>🟢 Over-injection</v>
      </c>
      <c r="I177" s="6">
        <f t="shared" si="29"/>
        <v>-0.16453000000000273</v>
      </c>
      <c r="J177" s="3">
        <v>2.7772000000000001</v>
      </c>
      <c r="K177" s="6">
        <f t="shared" si="30"/>
        <v>2.7089999999999996</v>
      </c>
      <c r="L177" s="6">
        <f t="shared" si="31"/>
        <v>3.6120000000000001</v>
      </c>
      <c r="M177" s="6">
        <f t="shared" si="32"/>
        <v>0.16453000000000273</v>
      </c>
      <c r="N177" s="6">
        <f t="shared" si="33"/>
        <v>0</v>
      </c>
      <c r="O177" s="6">
        <f t="shared" si="34"/>
        <v>0</v>
      </c>
      <c r="P177" s="6">
        <f t="shared" si="35"/>
        <v>-91.386543200001512</v>
      </c>
      <c r="Q177" s="3">
        <v>-91.38654320000002</v>
      </c>
      <c r="R177" s="6">
        <f t="shared" si="36"/>
        <v>-1.4921397450962104E-12</v>
      </c>
      <c r="S177" s="6" t="str">
        <f t="shared" si="37"/>
        <v>OK</v>
      </c>
    </row>
    <row r="178" spans="1:19" x14ac:dyDescent="0.25">
      <c r="A178" s="3" t="str">
        <f t="shared" si="38"/>
        <v>30.06.2026</v>
      </c>
      <c r="B178" s="5">
        <v>65</v>
      </c>
      <c r="C178" s="5" t="s">
        <v>53</v>
      </c>
      <c r="D178" s="3">
        <v>20.059999999999999</v>
      </c>
      <c r="E178" s="3">
        <v>19.563569999999999</v>
      </c>
      <c r="F178" s="6">
        <f t="shared" si="26"/>
        <v>-0.49643000000000015</v>
      </c>
      <c r="G178" s="6">
        <f t="shared" si="27"/>
        <v>-2.4747258225324038E-2</v>
      </c>
      <c r="H178" s="6" t="str">
        <f t="shared" si="28"/>
        <v>🔴 Under-injection</v>
      </c>
      <c r="I178" s="6">
        <f t="shared" si="29"/>
        <v>0.49643000000000015</v>
      </c>
      <c r="J178" s="3">
        <v>2.7674000000000003</v>
      </c>
      <c r="K178" s="6">
        <f t="shared" si="30"/>
        <v>3.0089999999999999</v>
      </c>
      <c r="L178" s="6">
        <f t="shared" si="31"/>
        <v>4.0119999999999996</v>
      </c>
      <c r="M178" s="6">
        <f t="shared" si="32"/>
        <v>0.49643000000000015</v>
      </c>
      <c r="N178" s="6">
        <f t="shared" si="33"/>
        <v>0</v>
      </c>
      <c r="O178" s="6">
        <f t="shared" si="34"/>
        <v>0</v>
      </c>
      <c r="P178" s="6">
        <f t="shared" si="35"/>
        <v>360.62785027500018</v>
      </c>
      <c r="Q178" s="3">
        <v>360.62785027500007</v>
      </c>
      <c r="R178" s="6">
        <f t="shared" si="36"/>
        <v>0</v>
      </c>
      <c r="S178" s="6" t="str">
        <f t="shared" si="37"/>
        <v>OK</v>
      </c>
    </row>
    <row r="179" spans="1:19" x14ac:dyDescent="0.25">
      <c r="A179" s="3" t="str">
        <f t="shared" si="38"/>
        <v>30.06.2026</v>
      </c>
      <c r="B179" s="5">
        <v>66</v>
      </c>
      <c r="C179" s="5" t="s">
        <v>52</v>
      </c>
      <c r="D179" s="3">
        <v>20.059999999999999</v>
      </c>
      <c r="E179" s="3">
        <v>20.153649999999999</v>
      </c>
      <c r="F179" s="6">
        <f t="shared" si="26"/>
        <v>9.3650000000000233E-2</v>
      </c>
      <c r="G179" s="6">
        <f t="shared" si="27"/>
        <v>4.6684945164506596E-3</v>
      </c>
      <c r="H179" s="6" t="str">
        <f t="shared" si="28"/>
        <v>🟢 Over-injection</v>
      </c>
      <c r="I179" s="6">
        <f t="shared" si="29"/>
        <v>-9.3650000000000233E-2</v>
      </c>
      <c r="J179" s="3">
        <v>2.7991000000000001</v>
      </c>
      <c r="K179" s="6">
        <f t="shared" si="30"/>
        <v>3.0089999999999999</v>
      </c>
      <c r="L179" s="6">
        <f t="shared" si="31"/>
        <v>4.0119999999999996</v>
      </c>
      <c r="M179" s="6">
        <f t="shared" si="32"/>
        <v>9.3650000000000233E-2</v>
      </c>
      <c r="N179" s="6">
        <f t="shared" si="33"/>
        <v>0</v>
      </c>
      <c r="O179" s="6">
        <f t="shared" si="34"/>
        <v>0</v>
      </c>
      <c r="P179" s="6">
        <f t="shared" si="35"/>
        <v>-52.427143000000143</v>
      </c>
      <c r="Q179" s="3">
        <v>-52.427143000000008</v>
      </c>
      <c r="R179" s="6">
        <f t="shared" si="36"/>
        <v>-1.3500311979441904E-13</v>
      </c>
      <c r="S179" s="6" t="str">
        <f t="shared" si="37"/>
        <v>OK</v>
      </c>
    </row>
    <row r="180" spans="1:19" x14ac:dyDescent="0.25">
      <c r="A180" s="3" t="str">
        <f t="shared" si="38"/>
        <v>30.06.2026</v>
      </c>
      <c r="B180" s="5">
        <v>67</v>
      </c>
      <c r="C180" s="5" t="s">
        <v>51</v>
      </c>
      <c r="D180" s="3">
        <v>22.06</v>
      </c>
      <c r="E180" s="3">
        <v>21.538080000000001</v>
      </c>
      <c r="F180" s="6">
        <f t="shared" si="26"/>
        <v>-0.52191999999999794</v>
      </c>
      <c r="G180" s="6">
        <f t="shared" si="27"/>
        <v>-2.3659111514052492E-2</v>
      </c>
      <c r="H180" s="6" t="str">
        <f t="shared" si="28"/>
        <v>🔴 Under-injection</v>
      </c>
      <c r="I180" s="6">
        <f t="shared" si="29"/>
        <v>0.52191999999999794</v>
      </c>
      <c r="J180" s="3">
        <v>2.9301999999999997</v>
      </c>
      <c r="K180" s="6">
        <f t="shared" si="30"/>
        <v>3.3089999999999997</v>
      </c>
      <c r="L180" s="6">
        <f t="shared" si="31"/>
        <v>4.4119999999999999</v>
      </c>
      <c r="M180" s="6">
        <f t="shared" si="32"/>
        <v>0.52191999999999794</v>
      </c>
      <c r="N180" s="6">
        <f t="shared" si="33"/>
        <v>0</v>
      </c>
      <c r="O180" s="6">
        <f t="shared" si="34"/>
        <v>0</v>
      </c>
      <c r="P180" s="6">
        <f t="shared" si="35"/>
        <v>401.44912079999841</v>
      </c>
      <c r="Q180" s="3">
        <v>401.4491208</v>
      </c>
      <c r="R180" s="6">
        <f t="shared" si="36"/>
        <v>-1.5916157281026244E-12</v>
      </c>
      <c r="S180" s="6" t="str">
        <f t="shared" si="37"/>
        <v>OK</v>
      </c>
    </row>
    <row r="181" spans="1:19" x14ac:dyDescent="0.25">
      <c r="A181" s="3" t="str">
        <f t="shared" si="38"/>
        <v>30.06.2026</v>
      </c>
      <c r="B181" s="5">
        <v>68</v>
      </c>
      <c r="C181" s="5" t="s">
        <v>50</v>
      </c>
      <c r="D181" s="3">
        <v>22.06</v>
      </c>
      <c r="E181" s="3">
        <v>22.116820000000001</v>
      </c>
      <c r="F181" s="6">
        <f t="shared" si="26"/>
        <v>5.6820000000001869E-2</v>
      </c>
      <c r="G181" s="6">
        <f t="shared" si="27"/>
        <v>2.5757026291931945E-3</v>
      </c>
      <c r="H181" s="6" t="str">
        <f t="shared" si="28"/>
        <v>🟢 Over-injection</v>
      </c>
      <c r="I181" s="6">
        <f t="shared" si="29"/>
        <v>-5.6820000000001869E-2</v>
      </c>
      <c r="J181" s="3">
        <v>3.0836000000000001</v>
      </c>
      <c r="K181" s="6">
        <f t="shared" si="30"/>
        <v>3.3089999999999997</v>
      </c>
      <c r="L181" s="6">
        <f t="shared" si="31"/>
        <v>4.4119999999999999</v>
      </c>
      <c r="M181" s="6">
        <f t="shared" si="32"/>
        <v>5.6820000000001869E-2</v>
      </c>
      <c r="N181" s="6">
        <f t="shared" si="33"/>
        <v>0</v>
      </c>
      <c r="O181" s="6">
        <f t="shared" si="34"/>
        <v>0</v>
      </c>
      <c r="P181" s="6">
        <f t="shared" si="35"/>
        <v>-35.042030400001153</v>
      </c>
      <c r="Q181" s="3">
        <v>-35.042030400000009</v>
      </c>
      <c r="R181" s="6">
        <f t="shared" si="36"/>
        <v>-1.1439738045737613E-12</v>
      </c>
      <c r="S181" s="6" t="str">
        <f t="shared" si="37"/>
        <v>OK</v>
      </c>
    </row>
    <row r="182" spans="1:19" x14ac:dyDescent="0.25">
      <c r="A182" s="3" t="str">
        <f t="shared" si="38"/>
        <v>30.06.2026</v>
      </c>
      <c r="B182" s="5">
        <v>69</v>
      </c>
      <c r="C182" s="5" t="s">
        <v>49</v>
      </c>
      <c r="D182" s="3">
        <v>22.06</v>
      </c>
      <c r="E182" s="3">
        <v>22.116820000000001</v>
      </c>
      <c r="F182" s="6">
        <f t="shared" si="26"/>
        <v>5.6820000000001869E-2</v>
      </c>
      <c r="G182" s="6">
        <f t="shared" si="27"/>
        <v>2.5757026291931945E-3</v>
      </c>
      <c r="H182" s="6" t="str">
        <f t="shared" si="28"/>
        <v>🟢 Over-injection</v>
      </c>
      <c r="I182" s="6">
        <f t="shared" si="29"/>
        <v>-5.6820000000001869E-2</v>
      </c>
      <c r="J182" s="3">
        <v>3.2752999999999997</v>
      </c>
      <c r="K182" s="6">
        <f t="shared" si="30"/>
        <v>3.3089999999999997</v>
      </c>
      <c r="L182" s="6">
        <f t="shared" si="31"/>
        <v>4.4119999999999999</v>
      </c>
      <c r="M182" s="6">
        <f t="shared" si="32"/>
        <v>5.6820000000001869E-2</v>
      </c>
      <c r="N182" s="6">
        <f t="shared" si="33"/>
        <v>0</v>
      </c>
      <c r="O182" s="6">
        <f t="shared" si="34"/>
        <v>0</v>
      </c>
      <c r="P182" s="6">
        <f t="shared" si="35"/>
        <v>-37.220509200001224</v>
      </c>
      <c r="Q182" s="3">
        <v>-37.220509200000002</v>
      </c>
      <c r="R182" s="6">
        <f t="shared" si="36"/>
        <v>-1.2221335055073723E-12</v>
      </c>
      <c r="S182" s="6" t="str">
        <f t="shared" si="37"/>
        <v>OK</v>
      </c>
    </row>
    <row r="183" spans="1:19" x14ac:dyDescent="0.25">
      <c r="A183" s="3" t="str">
        <f t="shared" si="38"/>
        <v>30.06.2026</v>
      </c>
      <c r="B183" s="5">
        <v>70</v>
      </c>
      <c r="C183" s="5" t="s">
        <v>48</v>
      </c>
      <c r="D183" s="3">
        <v>22.06</v>
      </c>
      <c r="E183" s="3">
        <v>22.10547</v>
      </c>
      <c r="F183" s="6">
        <f t="shared" si="26"/>
        <v>4.5470000000001676E-2</v>
      </c>
      <c r="G183" s="6">
        <f t="shared" si="27"/>
        <v>2.0611967361741468E-3</v>
      </c>
      <c r="H183" s="6" t="str">
        <f t="shared" si="28"/>
        <v>🟢 Over-injection</v>
      </c>
      <c r="I183" s="6">
        <f t="shared" si="29"/>
        <v>-4.5470000000001676E-2</v>
      </c>
      <c r="J183" s="3">
        <v>3.3852999999999995</v>
      </c>
      <c r="K183" s="6">
        <f t="shared" si="30"/>
        <v>3.3089999999999997</v>
      </c>
      <c r="L183" s="6">
        <f t="shared" si="31"/>
        <v>4.4119999999999999</v>
      </c>
      <c r="M183" s="6">
        <f t="shared" si="32"/>
        <v>4.5470000000001676E-2</v>
      </c>
      <c r="N183" s="6">
        <f t="shared" si="33"/>
        <v>0</v>
      </c>
      <c r="O183" s="6">
        <f t="shared" si="34"/>
        <v>0</v>
      </c>
      <c r="P183" s="6">
        <f t="shared" si="35"/>
        <v>-30.785918200001131</v>
      </c>
      <c r="Q183" s="3">
        <v>-30.785918199999998</v>
      </c>
      <c r="R183" s="6">
        <f t="shared" si="36"/>
        <v>-1.1333156635373598E-12</v>
      </c>
      <c r="S183" s="6" t="str">
        <f t="shared" si="37"/>
        <v>OK</v>
      </c>
    </row>
    <row r="184" spans="1:19" x14ac:dyDescent="0.25">
      <c r="A184" s="3" t="str">
        <f t="shared" si="38"/>
        <v>30.06.2026</v>
      </c>
      <c r="B184" s="5">
        <v>71</v>
      </c>
      <c r="C184" s="5" t="s">
        <v>47</v>
      </c>
      <c r="D184" s="3">
        <v>23.56</v>
      </c>
      <c r="E184" s="3">
        <v>23.160810000000001</v>
      </c>
      <c r="F184" s="6">
        <f t="shared" si="26"/>
        <v>-0.39918999999999727</v>
      </c>
      <c r="G184" s="6">
        <f t="shared" si="27"/>
        <v>-1.694354838709666E-2</v>
      </c>
      <c r="H184" s="6" t="str">
        <f t="shared" si="28"/>
        <v>🔴 Under-injection</v>
      </c>
      <c r="I184" s="6">
        <f t="shared" si="29"/>
        <v>0.39918999999999727</v>
      </c>
      <c r="J184" s="3">
        <v>3.4125000000000001</v>
      </c>
      <c r="K184" s="6">
        <f t="shared" si="30"/>
        <v>3.5339999999999998</v>
      </c>
      <c r="L184" s="6">
        <f t="shared" si="31"/>
        <v>4.7119999999999997</v>
      </c>
      <c r="M184" s="6">
        <f t="shared" si="32"/>
        <v>0.39918999999999727</v>
      </c>
      <c r="N184" s="6">
        <f t="shared" si="33"/>
        <v>0</v>
      </c>
      <c r="O184" s="6">
        <f t="shared" si="34"/>
        <v>0</v>
      </c>
      <c r="P184" s="6">
        <f t="shared" si="35"/>
        <v>357.58691718749759</v>
      </c>
      <c r="Q184" s="3">
        <v>357.58691718750003</v>
      </c>
      <c r="R184" s="6">
        <f t="shared" si="36"/>
        <v>-2.4442670110147446E-12</v>
      </c>
      <c r="S184" s="6" t="str">
        <f t="shared" si="37"/>
        <v>OK</v>
      </c>
    </row>
    <row r="185" spans="1:19" x14ac:dyDescent="0.25">
      <c r="A185" s="3" t="str">
        <f t="shared" si="38"/>
        <v>30.06.2026</v>
      </c>
      <c r="B185" s="5">
        <v>72</v>
      </c>
      <c r="C185" s="5" t="s">
        <v>46</v>
      </c>
      <c r="D185" s="3">
        <v>23.56</v>
      </c>
      <c r="E185" s="3">
        <v>23.66011</v>
      </c>
      <c r="F185" s="6">
        <f t="shared" si="26"/>
        <v>0.10011000000000081</v>
      </c>
      <c r="G185" s="6">
        <f t="shared" si="27"/>
        <v>4.2491511035653998E-3</v>
      </c>
      <c r="H185" s="6" t="str">
        <f t="shared" si="28"/>
        <v>🟢 Over-injection</v>
      </c>
      <c r="I185" s="6">
        <f t="shared" si="29"/>
        <v>-0.10011000000000081</v>
      </c>
      <c r="J185" s="3">
        <v>3.6075999999999997</v>
      </c>
      <c r="K185" s="6">
        <f t="shared" si="30"/>
        <v>3.5339999999999998</v>
      </c>
      <c r="L185" s="6">
        <f t="shared" si="31"/>
        <v>4.7119999999999997</v>
      </c>
      <c r="M185" s="6">
        <f t="shared" si="32"/>
        <v>0.10011000000000081</v>
      </c>
      <c r="N185" s="6">
        <f t="shared" si="33"/>
        <v>0</v>
      </c>
      <c r="O185" s="6">
        <f t="shared" si="34"/>
        <v>0</v>
      </c>
      <c r="P185" s="6">
        <f t="shared" si="35"/>
        <v>-72.231367200000591</v>
      </c>
      <c r="Q185" s="3">
        <v>-72.231367199999994</v>
      </c>
      <c r="R185" s="6">
        <f t="shared" si="36"/>
        <v>-5.9685589803848416E-13</v>
      </c>
      <c r="S185" s="6" t="str">
        <f t="shared" si="37"/>
        <v>OK</v>
      </c>
    </row>
    <row r="186" spans="1:19" x14ac:dyDescent="0.25">
      <c r="A186" s="3" t="str">
        <f t="shared" si="38"/>
        <v>30.06.2026</v>
      </c>
      <c r="B186" s="5">
        <v>73</v>
      </c>
      <c r="C186" s="5" t="s">
        <v>45</v>
      </c>
      <c r="D186" s="3">
        <v>23.56</v>
      </c>
      <c r="E186" s="3">
        <v>23.67146</v>
      </c>
      <c r="F186" s="6">
        <f t="shared" si="26"/>
        <v>0.111460000000001</v>
      </c>
      <c r="G186" s="6">
        <f t="shared" si="27"/>
        <v>4.7308998302207561E-3</v>
      </c>
      <c r="H186" s="6" t="str">
        <f t="shared" si="28"/>
        <v>🟢 Over-injection</v>
      </c>
      <c r="I186" s="6">
        <f t="shared" si="29"/>
        <v>-0.111460000000001</v>
      </c>
      <c r="J186" s="3">
        <v>3.6552999999999995</v>
      </c>
      <c r="K186" s="6">
        <f t="shared" si="30"/>
        <v>3.5339999999999998</v>
      </c>
      <c r="L186" s="6">
        <f t="shared" si="31"/>
        <v>4.7119999999999997</v>
      </c>
      <c r="M186" s="6">
        <f t="shared" si="32"/>
        <v>0.111460000000001</v>
      </c>
      <c r="N186" s="6">
        <f t="shared" si="33"/>
        <v>0</v>
      </c>
      <c r="O186" s="6">
        <f t="shared" si="34"/>
        <v>0</v>
      </c>
      <c r="P186" s="6">
        <f t="shared" si="35"/>
        <v>-81.483947600000718</v>
      </c>
      <c r="Q186" s="3">
        <v>-81.483947599999993</v>
      </c>
      <c r="R186" s="6">
        <f t="shared" si="36"/>
        <v>-7.2475359047530219E-13</v>
      </c>
      <c r="S186" s="6" t="str">
        <f t="shared" si="37"/>
        <v>OK</v>
      </c>
    </row>
    <row r="187" spans="1:19" x14ac:dyDescent="0.25">
      <c r="A187" s="3" t="str">
        <f t="shared" si="38"/>
        <v>30.06.2026</v>
      </c>
      <c r="B187" s="5">
        <v>74</v>
      </c>
      <c r="C187" s="5" t="s">
        <v>44</v>
      </c>
      <c r="D187" s="3">
        <v>23.56</v>
      </c>
      <c r="E187" s="3">
        <v>23.66011</v>
      </c>
      <c r="F187" s="6">
        <f t="shared" si="26"/>
        <v>0.10011000000000081</v>
      </c>
      <c r="G187" s="6">
        <f t="shared" si="27"/>
        <v>4.2491511035653998E-3</v>
      </c>
      <c r="H187" s="6" t="str">
        <f t="shared" si="28"/>
        <v>🟢 Over-injection</v>
      </c>
      <c r="I187" s="6">
        <f t="shared" si="29"/>
        <v>-0.10011000000000081</v>
      </c>
      <c r="J187" s="3">
        <v>3.6901999999999999</v>
      </c>
      <c r="K187" s="6">
        <f t="shared" si="30"/>
        <v>3.5339999999999998</v>
      </c>
      <c r="L187" s="6">
        <f t="shared" si="31"/>
        <v>4.7119999999999997</v>
      </c>
      <c r="M187" s="6">
        <f t="shared" si="32"/>
        <v>0.10011000000000081</v>
      </c>
      <c r="N187" s="6">
        <f t="shared" si="33"/>
        <v>0</v>
      </c>
      <c r="O187" s="6">
        <f t="shared" si="34"/>
        <v>0</v>
      </c>
      <c r="P187" s="6">
        <f t="shared" si="35"/>
        <v>-73.885184400000611</v>
      </c>
      <c r="Q187" s="3">
        <v>-73.885184400000014</v>
      </c>
      <c r="R187" s="6">
        <f t="shared" si="36"/>
        <v>-5.9685589803848416E-13</v>
      </c>
      <c r="S187" s="6" t="str">
        <f t="shared" si="37"/>
        <v>OK</v>
      </c>
    </row>
    <row r="188" spans="1:19" x14ac:dyDescent="0.25">
      <c r="A188" s="3" t="str">
        <f t="shared" si="38"/>
        <v>30.06.2026</v>
      </c>
      <c r="B188" s="5">
        <v>75</v>
      </c>
      <c r="C188" s="5" t="s">
        <v>43</v>
      </c>
      <c r="D188" s="3">
        <v>23.56</v>
      </c>
      <c r="E188" s="3">
        <v>23.66011</v>
      </c>
      <c r="F188" s="6">
        <f t="shared" si="26"/>
        <v>0.10011000000000081</v>
      </c>
      <c r="G188" s="6">
        <f t="shared" si="27"/>
        <v>4.2491511035653998E-3</v>
      </c>
      <c r="H188" s="6" t="str">
        <f t="shared" si="28"/>
        <v>🟢 Over-injection</v>
      </c>
      <c r="I188" s="6">
        <f t="shared" si="29"/>
        <v>-0.10011000000000081</v>
      </c>
      <c r="J188" s="3">
        <v>4.1018999999999997</v>
      </c>
      <c r="K188" s="6">
        <f t="shared" si="30"/>
        <v>3.5339999999999998</v>
      </c>
      <c r="L188" s="6">
        <f t="shared" si="31"/>
        <v>4.7119999999999997</v>
      </c>
      <c r="M188" s="6">
        <f t="shared" si="32"/>
        <v>0.10011000000000081</v>
      </c>
      <c r="N188" s="6">
        <f t="shared" si="33"/>
        <v>0</v>
      </c>
      <c r="O188" s="6">
        <f t="shared" si="34"/>
        <v>0</v>
      </c>
      <c r="P188" s="6">
        <f t="shared" si="35"/>
        <v>-82.128241800000666</v>
      </c>
      <c r="Q188" s="3">
        <v>-82.128241799999998</v>
      </c>
      <c r="R188" s="6">
        <f t="shared" si="36"/>
        <v>-6.6791017161449417E-13</v>
      </c>
      <c r="S188" s="6" t="str">
        <f t="shared" si="37"/>
        <v>OK</v>
      </c>
    </row>
    <row r="189" spans="1:19" x14ac:dyDescent="0.25">
      <c r="A189" s="3" t="str">
        <f t="shared" si="38"/>
        <v>30.06.2026</v>
      </c>
      <c r="B189" s="5">
        <v>76</v>
      </c>
      <c r="C189" s="5" t="s">
        <v>42</v>
      </c>
      <c r="D189" s="3">
        <v>23.56</v>
      </c>
      <c r="E189" s="3">
        <v>23.66011</v>
      </c>
      <c r="F189" s="6">
        <f t="shared" si="26"/>
        <v>0.10011000000000081</v>
      </c>
      <c r="G189" s="6">
        <f t="shared" si="27"/>
        <v>4.2491511035653998E-3</v>
      </c>
      <c r="H189" s="6" t="str">
        <f t="shared" si="28"/>
        <v>🟢 Over-injection</v>
      </c>
      <c r="I189" s="6">
        <f t="shared" si="29"/>
        <v>-0.10011000000000081</v>
      </c>
      <c r="J189" s="3">
        <v>4.4276</v>
      </c>
      <c r="K189" s="6">
        <f t="shared" si="30"/>
        <v>3.5339999999999998</v>
      </c>
      <c r="L189" s="6">
        <f t="shared" si="31"/>
        <v>4.7119999999999997</v>
      </c>
      <c r="M189" s="6">
        <f t="shared" si="32"/>
        <v>0.10011000000000081</v>
      </c>
      <c r="N189" s="6">
        <f t="shared" si="33"/>
        <v>0</v>
      </c>
      <c r="O189" s="6">
        <f t="shared" si="34"/>
        <v>0</v>
      </c>
      <c r="P189" s="6">
        <f t="shared" si="35"/>
        <v>-88.649407200000724</v>
      </c>
      <c r="Q189" s="3">
        <v>-88.649407200000013</v>
      </c>
      <c r="R189" s="6">
        <f t="shared" si="36"/>
        <v>-7.1054273576010019E-13</v>
      </c>
      <c r="S189" s="6" t="str">
        <f t="shared" si="37"/>
        <v>OK</v>
      </c>
    </row>
    <row r="190" spans="1:19" x14ac:dyDescent="0.25">
      <c r="A190" s="3" t="str">
        <f t="shared" si="38"/>
        <v>30.06.2026</v>
      </c>
      <c r="B190" s="5">
        <v>77</v>
      </c>
      <c r="C190" s="5" t="s">
        <v>41</v>
      </c>
      <c r="D190" s="3">
        <v>23.56</v>
      </c>
      <c r="E190" s="3">
        <v>23.648759999999999</v>
      </c>
      <c r="F190" s="6">
        <f t="shared" si="26"/>
        <v>8.8760000000000616E-2</v>
      </c>
      <c r="G190" s="6">
        <f t="shared" si="27"/>
        <v>3.7674023769100435E-3</v>
      </c>
      <c r="H190" s="6" t="str">
        <f t="shared" si="28"/>
        <v>🟢 Over-injection</v>
      </c>
      <c r="I190" s="6">
        <f t="shared" si="29"/>
        <v>-8.8760000000000616E-2</v>
      </c>
      <c r="J190" s="3">
        <v>5.5422000000000002</v>
      </c>
      <c r="K190" s="6">
        <f t="shared" si="30"/>
        <v>3.5339999999999998</v>
      </c>
      <c r="L190" s="6">
        <f t="shared" si="31"/>
        <v>4.7119999999999997</v>
      </c>
      <c r="M190" s="6">
        <f t="shared" si="32"/>
        <v>8.8760000000000616E-2</v>
      </c>
      <c r="N190" s="6">
        <f t="shared" si="33"/>
        <v>0</v>
      </c>
      <c r="O190" s="6">
        <f t="shared" si="34"/>
        <v>0</v>
      </c>
      <c r="P190" s="6">
        <f t="shared" si="35"/>
        <v>-98.385134400000695</v>
      </c>
      <c r="Q190" s="3">
        <v>-98.385134400000013</v>
      </c>
      <c r="R190" s="6">
        <f t="shared" si="36"/>
        <v>-6.8212102632969618E-13</v>
      </c>
      <c r="S190" s="6" t="str">
        <f t="shared" si="37"/>
        <v>OK</v>
      </c>
    </row>
    <row r="191" spans="1:19" x14ac:dyDescent="0.25">
      <c r="A191" s="3" t="str">
        <f t="shared" si="38"/>
        <v>30.06.2026</v>
      </c>
      <c r="B191" s="5">
        <v>78</v>
      </c>
      <c r="C191" s="5" t="s">
        <v>40</v>
      </c>
      <c r="D191" s="3">
        <v>23.6</v>
      </c>
      <c r="E191" s="3">
        <v>23.70551</v>
      </c>
      <c r="F191" s="6">
        <f t="shared" si="26"/>
        <v>0.10550999999999888</v>
      </c>
      <c r="G191" s="6">
        <f t="shared" si="27"/>
        <v>4.4707627118643588E-3</v>
      </c>
      <c r="H191" s="6" t="str">
        <f t="shared" si="28"/>
        <v>🟢 Over-injection</v>
      </c>
      <c r="I191" s="6">
        <f t="shared" si="29"/>
        <v>-0.10550999999999888</v>
      </c>
      <c r="J191" s="3">
        <v>10</v>
      </c>
      <c r="K191" s="6">
        <f t="shared" si="30"/>
        <v>3.54</v>
      </c>
      <c r="L191" s="6">
        <f t="shared" si="31"/>
        <v>4.7200000000000006</v>
      </c>
      <c r="M191" s="6">
        <f t="shared" si="32"/>
        <v>0.10550999999999888</v>
      </c>
      <c r="N191" s="6">
        <f t="shared" si="33"/>
        <v>0</v>
      </c>
      <c r="O191" s="6">
        <f t="shared" si="34"/>
        <v>0</v>
      </c>
      <c r="P191" s="6">
        <f t="shared" si="35"/>
        <v>-211.01999999999776</v>
      </c>
      <c r="Q191" s="3">
        <v>-211.02</v>
      </c>
      <c r="R191" s="6">
        <f t="shared" si="36"/>
        <v>2.2453150450019166E-12</v>
      </c>
      <c r="S191" s="6" t="str">
        <f t="shared" si="37"/>
        <v>OK</v>
      </c>
    </row>
    <row r="192" spans="1:19" x14ac:dyDescent="0.25">
      <c r="A192" s="3" t="str">
        <f t="shared" si="38"/>
        <v>30.06.2026</v>
      </c>
      <c r="B192" s="5">
        <v>79</v>
      </c>
      <c r="C192" s="5" t="s">
        <v>39</v>
      </c>
      <c r="D192" s="3">
        <v>23.48</v>
      </c>
      <c r="E192" s="3">
        <v>23.716850000000001</v>
      </c>
      <c r="F192" s="6">
        <f t="shared" si="26"/>
        <v>0.23685000000000045</v>
      </c>
      <c r="G192" s="6">
        <f t="shared" si="27"/>
        <v>1.0087308347529831E-2</v>
      </c>
      <c r="H192" s="6" t="str">
        <f t="shared" si="28"/>
        <v>🟢 Over-injection</v>
      </c>
      <c r="I192" s="6">
        <f t="shared" si="29"/>
        <v>-0.23685000000000045</v>
      </c>
      <c r="J192" s="3">
        <v>10</v>
      </c>
      <c r="K192" s="6">
        <f t="shared" si="30"/>
        <v>3.5219999999999998</v>
      </c>
      <c r="L192" s="6">
        <f t="shared" si="31"/>
        <v>4.6960000000000006</v>
      </c>
      <c r="M192" s="6">
        <f t="shared" si="32"/>
        <v>0.23685000000000045</v>
      </c>
      <c r="N192" s="6">
        <f t="shared" si="33"/>
        <v>0</v>
      </c>
      <c r="O192" s="6">
        <f t="shared" si="34"/>
        <v>0</v>
      </c>
      <c r="P192" s="6">
        <f t="shared" si="35"/>
        <v>-473.7000000000009</v>
      </c>
      <c r="Q192" s="3">
        <v>-473.7</v>
      </c>
      <c r="R192" s="6">
        <f t="shared" si="36"/>
        <v>-9.0949470177292824E-13</v>
      </c>
      <c r="S192" s="6" t="str">
        <f t="shared" si="37"/>
        <v>OK</v>
      </c>
    </row>
    <row r="193" spans="1:19" x14ac:dyDescent="0.25">
      <c r="A193" s="3" t="str">
        <f t="shared" si="38"/>
        <v>30.06.2026</v>
      </c>
      <c r="B193" s="5">
        <v>80</v>
      </c>
      <c r="C193" s="5" t="s">
        <v>38</v>
      </c>
      <c r="D193" s="3">
        <v>23.509999999999998</v>
      </c>
      <c r="E193" s="3">
        <v>23.69415</v>
      </c>
      <c r="F193" s="6">
        <f t="shared" si="26"/>
        <v>0.18415000000000248</v>
      </c>
      <c r="G193" s="6">
        <f t="shared" si="27"/>
        <v>7.832837090599851E-3</v>
      </c>
      <c r="H193" s="6" t="str">
        <f t="shared" si="28"/>
        <v>🟢 Over-injection</v>
      </c>
      <c r="I193" s="6">
        <f t="shared" si="29"/>
        <v>-0.18415000000000248</v>
      </c>
      <c r="J193" s="3">
        <v>10</v>
      </c>
      <c r="K193" s="6">
        <f t="shared" si="30"/>
        <v>3.5264999999999995</v>
      </c>
      <c r="L193" s="6">
        <f t="shared" si="31"/>
        <v>4.702</v>
      </c>
      <c r="M193" s="6">
        <f t="shared" si="32"/>
        <v>0.18415000000000248</v>
      </c>
      <c r="N193" s="6">
        <f t="shared" si="33"/>
        <v>0</v>
      </c>
      <c r="O193" s="6">
        <f t="shared" si="34"/>
        <v>0</v>
      </c>
      <c r="P193" s="6">
        <f t="shared" si="35"/>
        <v>-368.30000000000496</v>
      </c>
      <c r="Q193" s="3">
        <v>-368.3</v>
      </c>
      <c r="R193" s="6">
        <f t="shared" si="36"/>
        <v>-4.9453774408902973E-12</v>
      </c>
      <c r="S193" s="6" t="str">
        <f t="shared" si="37"/>
        <v>OK</v>
      </c>
    </row>
    <row r="194" spans="1:19" x14ac:dyDescent="0.25">
      <c r="A194" s="3" t="str">
        <f t="shared" si="38"/>
        <v>30.06.2026</v>
      </c>
      <c r="B194" s="5">
        <v>81</v>
      </c>
      <c r="C194" s="5" t="s">
        <v>37</v>
      </c>
      <c r="D194" s="3">
        <v>22.009999999999998</v>
      </c>
      <c r="E194" s="3">
        <v>22.65016</v>
      </c>
      <c r="F194" s="6">
        <f t="shared" si="26"/>
        <v>0.64016000000000162</v>
      </c>
      <c r="G194" s="6">
        <f t="shared" si="27"/>
        <v>2.9084961381190443E-2</v>
      </c>
      <c r="H194" s="6" t="str">
        <f t="shared" si="28"/>
        <v>🟢 Over-injection</v>
      </c>
      <c r="I194" s="6">
        <f t="shared" si="29"/>
        <v>-0.64016000000000162</v>
      </c>
      <c r="J194" s="3">
        <v>10</v>
      </c>
      <c r="K194" s="6">
        <f t="shared" si="30"/>
        <v>3.3014999999999994</v>
      </c>
      <c r="L194" s="6">
        <f t="shared" si="31"/>
        <v>4.4020000000000001</v>
      </c>
      <c r="M194" s="6">
        <f t="shared" si="32"/>
        <v>0.64016000000000162</v>
      </c>
      <c r="N194" s="6">
        <f t="shared" si="33"/>
        <v>0</v>
      </c>
      <c r="O194" s="6">
        <f t="shared" si="34"/>
        <v>0</v>
      </c>
      <c r="P194" s="6">
        <f t="shared" si="35"/>
        <v>-1280.3200000000033</v>
      </c>
      <c r="Q194" s="3">
        <v>-1280.32</v>
      </c>
      <c r="R194" s="6">
        <f t="shared" si="36"/>
        <v>-3.4106051316484809E-12</v>
      </c>
      <c r="S194" s="6" t="str">
        <f t="shared" si="37"/>
        <v>OK</v>
      </c>
    </row>
    <row r="195" spans="1:19" x14ac:dyDescent="0.25">
      <c r="A195" s="3" t="str">
        <f t="shared" si="38"/>
        <v>30.06.2026</v>
      </c>
      <c r="B195" s="5">
        <v>82</v>
      </c>
      <c r="C195" s="5" t="s">
        <v>36</v>
      </c>
      <c r="D195" s="3">
        <v>22.05</v>
      </c>
      <c r="E195" s="3">
        <v>22.173559999999998</v>
      </c>
      <c r="F195" s="6">
        <f t="shared" si="26"/>
        <v>0.12355999999999767</v>
      </c>
      <c r="G195" s="6">
        <f t="shared" si="27"/>
        <v>5.6036281179137268E-3</v>
      </c>
      <c r="H195" s="6" t="str">
        <f t="shared" si="28"/>
        <v>🟢 Over-injection</v>
      </c>
      <c r="I195" s="6">
        <f t="shared" si="29"/>
        <v>-0.12355999999999767</v>
      </c>
      <c r="J195" s="3">
        <v>10</v>
      </c>
      <c r="K195" s="6">
        <f t="shared" si="30"/>
        <v>3.3075000000000001</v>
      </c>
      <c r="L195" s="6">
        <f t="shared" si="31"/>
        <v>4.41</v>
      </c>
      <c r="M195" s="6">
        <f t="shared" si="32"/>
        <v>0.12355999999999767</v>
      </c>
      <c r="N195" s="6">
        <f t="shared" si="33"/>
        <v>0</v>
      </c>
      <c r="O195" s="6">
        <f t="shared" si="34"/>
        <v>0</v>
      </c>
      <c r="P195" s="6">
        <f t="shared" si="35"/>
        <v>-247.11999999999537</v>
      </c>
      <c r="Q195" s="3">
        <v>-247.12</v>
      </c>
      <c r="R195" s="6">
        <f t="shared" si="36"/>
        <v>4.6327386371558532E-12</v>
      </c>
      <c r="S195" s="6" t="str">
        <f t="shared" si="37"/>
        <v>OK</v>
      </c>
    </row>
    <row r="196" spans="1:19" x14ac:dyDescent="0.25">
      <c r="A196" s="3" t="str">
        <f t="shared" si="38"/>
        <v>30.06.2026</v>
      </c>
      <c r="B196" s="5">
        <v>83</v>
      </c>
      <c r="C196" s="5" t="s">
        <v>35</v>
      </c>
      <c r="D196" s="3">
        <v>22.01</v>
      </c>
      <c r="E196" s="3">
        <v>22.184899999999999</v>
      </c>
      <c r="F196" s="6">
        <f t="shared" si="26"/>
        <v>0.17489999999999739</v>
      </c>
      <c r="G196" s="6">
        <f t="shared" si="27"/>
        <v>7.9463880054519483E-3</v>
      </c>
      <c r="H196" s="6" t="str">
        <f t="shared" si="28"/>
        <v>🟢 Over-injection</v>
      </c>
      <c r="I196" s="6">
        <f t="shared" si="29"/>
        <v>-0.17489999999999739</v>
      </c>
      <c r="J196" s="3">
        <v>10</v>
      </c>
      <c r="K196" s="6">
        <f t="shared" si="30"/>
        <v>3.3015000000000003</v>
      </c>
      <c r="L196" s="6">
        <f t="shared" si="31"/>
        <v>4.4020000000000001</v>
      </c>
      <c r="M196" s="6">
        <f t="shared" si="32"/>
        <v>0.17489999999999739</v>
      </c>
      <c r="N196" s="6">
        <f t="shared" si="33"/>
        <v>0</v>
      </c>
      <c r="O196" s="6">
        <f t="shared" si="34"/>
        <v>0</v>
      </c>
      <c r="P196" s="6">
        <f t="shared" si="35"/>
        <v>-349.79999999999478</v>
      </c>
      <c r="Q196" s="3">
        <v>-349.8</v>
      </c>
      <c r="R196" s="6">
        <f t="shared" si="36"/>
        <v>5.2295945351943374E-12</v>
      </c>
      <c r="S196" s="6" t="str">
        <f t="shared" si="37"/>
        <v>OK</v>
      </c>
    </row>
    <row r="197" spans="1:19" x14ac:dyDescent="0.25">
      <c r="A197" s="3" t="str">
        <f t="shared" si="38"/>
        <v>30.06.2026</v>
      </c>
      <c r="B197" s="5">
        <v>84</v>
      </c>
      <c r="C197" s="5" t="s">
        <v>34</v>
      </c>
      <c r="D197" s="3">
        <v>22.02</v>
      </c>
      <c r="E197" s="3">
        <v>22.184899999999999</v>
      </c>
      <c r="F197" s="6">
        <f t="shared" si="26"/>
        <v>0.16489999999999938</v>
      </c>
      <c r="G197" s="6">
        <f t="shared" si="27"/>
        <v>7.4886466848319427E-3</v>
      </c>
      <c r="H197" s="6" t="str">
        <f t="shared" si="28"/>
        <v>🟢 Over-injection</v>
      </c>
      <c r="I197" s="6">
        <f t="shared" si="29"/>
        <v>-0.16489999999999938</v>
      </c>
      <c r="J197" s="3">
        <v>10</v>
      </c>
      <c r="K197" s="6">
        <f t="shared" si="30"/>
        <v>3.3029999999999999</v>
      </c>
      <c r="L197" s="6">
        <f t="shared" si="31"/>
        <v>4.4039999999999999</v>
      </c>
      <c r="M197" s="6">
        <f t="shared" si="32"/>
        <v>0.16489999999999938</v>
      </c>
      <c r="N197" s="6">
        <f t="shared" si="33"/>
        <v>0</v>
      </c>
      <c r="O197" s="6">
        <f t="shared" si="34"/>
        <v>0</v>
      </c>
      <c r="P197" s="6">
        <f t="shared" si="35"/>
        <v>-329.79999999999876</v>
      </c>
      <c r="Q197" s="3">
        <v>-329.79999999999995</v>
      </c>
      <c r="R197" s="6">
        <f t="shared" si="36"/>
        <v>1.1937117960769683E-12</v>
      </c>
      <c r="S197" s="6" t="str">
        <f t="shared" si="37"/>
        <v>OK</v>
      </c>
    </row>
    <row r="198" spans="1:19" x14ac:dyDescent="0.25">
      <c r="A198" s="3" t="str">
        <f t="shared" si="38"/>
        <v>30.06.2026</v>
      </c>
      <c r="B198" s="5">
        <v>85</v>
      </c>
      <c r="C198" s="5" t="s">
        <v>33</v>
      </c>
      <c r="D198" s="3">
        <v>22.04</v>
      </c>
      <c r="E198" s="3">
        <v>22.196249999999999</v>
      </c>
      <c r="F198" s="6">
        <f t="shared" si="26"/>
        <v>0.15625</v>
      </c>
      <c r="G198" s="6">
        <f t="shared" si="27"/>
        <v>7.0893829401088935E-3</v>
      </c>
      <c r="H198" s="6" t="str">
        <f t="shared" si="28"/>
        <v>🟢 Over-injection</v>
      </c>
      <c r="I198" s="6">
        <f t="shared" si="29"/>
        <v>-0.15625</v>
      </c>
      <c r="J198" s="3">
        <v>10</v>
      </c>
      <c r="K198" s="6">
        <f t="shared" si="30"/>
        <v>3.3059999999999996</v>
      </c>
      <c r="L198" s="6">
        <f t="shared" si="31"/>
        <v>4.4080000000000004</v>
      </c>
      <c r="M198" s="6">
        <f t="shared" si="32"/>
        <v>0.15625</v>
      </c>
      <c r="N198" s="6">
        <f t="shared" si="33"/>
        <v>0</v>
      </c>
      <c r="O198" s="6">
        <f t="shared" si="34"/>
        <v>0</v>
      </c>
      <c r="P198" s="6">
        <f t="shared" si="35"/>
        <v>-312.5</v>
      </c>
      <c r="Q198" s="3">
        <v>-312.5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tr">
        <f t="shared" si="38"/>
        <v>30.06.2026</v>
      </c>
      <c r="B199" s="5">
        <v>86</v>
      </c>
      <c r="C199" s="5" t="s">
        <v>32</v>
      </c>
      <c r="D199" s="3">
        <v>22.05</v>
      </c>
      <c r="E199" s="3">
        <v>22.196249999999999</v>
      </c>
      <c r="F199" s="6">
        <f t="shared" si="26"/>
        <v>0.14624999999999844</v>
      </c>
      <c r="G199" s="6">
        <f t="shared" si="27"/>
        <v>6.6326530612244184E-3</v>
      </c>
      <c r="H199" s="6" t="str">
        <f t="shared" si="28"/>
        <v>🟢 Over-injection</v>
      </c>
      <c r="I199" s="6">
        <f t="shared" si="29"/>
        <v>-0.14624999999999844</v>
      </c>
      <c r="J199" s="3">
        <v>10</v>
      </c>
      <c r="K199" s="6">
        <f t="shared" si="30"/>
        <v>3.3075000000000001</v>
      </c>
      <c r="L199" s="6">
        <f t="shared" si="31"/>
        <v>4.41</v>
      </c>
      <c r="M199" s="6">
        <f t="shared" si="32"/>
        <v>0.14624999999999844</v>
      </c>
      <c r="N199" s="6">
        <f t="shared" si="33"/>
        <v>0</v>
      </c>
      <c r="O199" s="6">
        <f t="shared" si="34"/>
        <v>0</v>
      </c>
      <c r="P199" s="6">
        <f t="shared" si="35"/>
        <v>-292.49999999999687</v>
      </c>
      <c r="Q199" s="3">
        <v>-292.5</v>
      </c>
      <c r="R199" s="6">
        <f t="shared" si="36"/>
        <v>3.1263880373444408E-12</v>
      </c>
      <c r="S199" s="6" t="str">
        <f t="shared" si="37"/>
        <v>OK</v>
      </c>
    </row>
    <row r="200" spans="1:19" x14ac:dyDescent="0.25">
      <c r="A200" s="3" t="str">
        <f t="shared" si="38"/>
        <v>30.06.2026</v>
      </c>
      <c r="B200" s="5">
        <v>87</v>
      </c>
      <c r="C200" s="5" t="s">
        <v>31</v>
      </c>
      <c r="D200" s="3">
        <v>21.97</v>
      </c>
      <c r="E200" s="3">
        <v>22.184899999999999</v>
      </c>
      <c r="F200" s="6">
        <f t="shared" si="26"/>
        <v>0.21490000000000009</v>
      </c>
      <c r="G200" s="6">
        <f t="shared" si="27"/>
        <v>9.7815202548930408E-3</v>
      </c>
      <c r="H200" s="6" t="str">
        <f t="shared" si="28"/>
        <v>🟢 Over-injection</v>
      </c>
      <c r="I200" s="6">
        <f t="shared" si="29"/>
        <v>-0.21490000000000009</v>
      </c>
      <c r="J200" s="3">
        <v>10</v>
      </c>
      <c r="K200" s="6">
        <f t="shared" si="30"/>
        <v>3.2954999999999997</v>
      </c>
      <c r="L200" s="6">
        <f t="shared" si="31"/>
        <v>4.3940000000000001</v>
      </c>
      <c r="M200" s="6">
        <f t="shared" si="32"/>
        <v>0.21490000000000009</v>
      </c>
      <c r="N200" s="6">
        <f t="shared" si="33"/>
        <v>0</v>
      </c>
      <c r="O200" s="6">
        <f t="shared" si="34"/>
        <v>0</v>
      </c>
      <c r="P200" s="6">
        <f t="shared" si="35"/>
        <v>-429.80000000000018</v>
      </c>
      <c r="Q200" s="3">
        <v>-429.8</v>
      </c>
      <c r="R200" s="6">
        <f t="shared" si="36"/>
        <v>0</v>
      </c>
      <c r="S200" s="6" t="str">
        <f t="shared" si="37"/>
        <v>OK</v>
      </c>
    </row>
    <row r="201" spans="1:19" x14ac:dyDescent="0.25">
      <c r="A201" s="3" t="str">
        <f t="shared" si="38"/>
        <v>30.06.2026</v>
      </c>
      <c r="B201" s="5">
        <v>88</v>
      </c>
      <c r="C201" s="5" t="s">
        <v>30</v>
      </c>
      <c r="D201" s="3">
        <v>21.98</v>
      </c>
      <c r="E201" s="3">
        <v>22.184899999999999</v>
      </c>
      <c r="F201" s="6">
        <f t="shared" si="26"/>
        <v>0.20489999999999853</v>
      </c>
      <c r="G201" s="6">
        <f t="shared" si="27"/>
        <v>9.3221110100090328E-3</v>
      </c>
      <c r="H201" s="6" t="str">
        <f t="shared" si="28"/>
        <v>🟢 Over-injection</v>
      </c>
      <c r="I201" s="6">
        <f t="shared" si="29"/>
        <v>-0.20489999999999853</v>
      </c>
      <c r="J201" s="3">
        <v>10</v>
      </c>
      <c r="K201" s="6">
        <f t="shared" si="30"/>
        <v>3.2970000000000002</v>
      </c>
      <c r="L201" s="6">
        <f t="shared" si="31"/>
        <v>4.3959999999999999</v>
      </c>
      <c r="M201" s="6">
        <f t="shared" si="32"/>
        <v>0.20489999999999853</v>
      </c>
      <c r="N201" s="6">
        <f t="shared" si="33"/>
        <v>0</v>
      </c>
      <c r="O201" s="6">
        <f t="shared" si="34"/>
        <v>0</v>
      </c>
      <c r="P201" s="6">
        <f t="shared" si="35"/>
        <v>-409.79999999999711</v>
      </c>
      <c r="Q201" s="3">
        <v>-409.8</v>
      </c>
      <c r="R201" s="6">
        <f t="shared" si="36"/>
        <v>2.8990143619012088E-12</v>
      </c>
      <c r="S201" s="6" t="str">
        <f t="shared" si="37"/>
        <v>OK</v>
      </c>
    </row>
    <row r="202" spans="1:19" x14ac:dyDescent="0.25">
      <c r="A202" s="3" t="str">
        <f t="shared" si="38"/>
        <v>30.06.2026</v>
      </c>
      <c r="B202" s="5">
        <v>89</v>
      </c>
      <c r="C202" s="5" t="s">
        <v>29</v>
      </c>
      <c r="D202" s="3">
        <v>22.02</v>
      </c>
      <c r="E202" s="3">
        <v>22.184899999999999</v>
      </c>
      <c r="F202" s="6">
        <f t="shared" si="26"/>
        <v>0.16489999999999938</v>
      </c>
      <c r="G202" s="6">
        <f t="shared" si="27"/>
        <v>7.4886466848319427E-3</v>
      </c>
      <c r="H202" s="6" t="str">
        <f t="shared" si="28"/>
        <v>🟢 Over-injection</v>
      </c>
      <c r="I202" s="6">
        <f t="shared" si="29"/>
        <v>-0.16489999999999938</v>
      </c>
      <c r="J202" s="3">
        <v>10</v>
      </c>
      <c r="K202" s="6">
        <f t="shared" si="30"/>
        <v>3.3029999999999999</v>
      </c>
      <c r="L202" s="6">
        <f t="shared" si="31"/>
        <v>4.4039999999999999</v>
      </c>
      <c r="M202" s="6">
        <f t="shared" si="32"/>
        <v>0.16489999999999938</v>
      </c>
      <c r="N202" s="6">
        <f t="shared" si="33"/>
        <v>0</v>
      </c>
      <c r="O202" s="6">
        <f t="shared" si="34"/>
        <v>0</v>
      </c>
      <c r="P202" s="6">
        <f t="shared" si="35"/>
        <v>-329.79999999999876</v>
      </c>
      <c r="Q202" s="3">
        <v>-329.79999999999995</v>
      </c>
      <c r="R202" s="6">
        <f t="shared" si="36"/>
        <v>1.1937117960769683E-12</v>
      </c>
      <c r="S202" s="6" t="str">
        <f t="shared" si="37"/>
        <v>OK</v>
      </c>
    </row>
    <row r="203" spans="1:19" x14ac:dyDescent="0.25">
      <c r="A203" s="3" t="str">
        <f t="shared" si="38"/>
        <v>30.06.2026</v>
      </c>
      <c r="B203" s="5">
        <v>90</v>
      </c>
      <c r="C203" s="5" t="s">
        <v>28</v>
      </c>
      <c r="D203" s="3">
        <v>21.96</v>
      </c>
      <c r="E203" s="3">
        <v>22.173559999999998</v>
      </c>
      <c r="F203" s="6">
        <f t="shared" si="26"/>
        <v>0.21355999999999753</v>
      </c>
      <c r="G203" s="6">
        <f t="shared" si="27"/>
        <v>9.7249544626592677E-3</v>
      </c>
      <c r="H203" s="6" t="str">
        <f t="shared" si="28"/>
        <v>🟢 Over-injection</v>
      </c>
      <c r="I203" s="6">
        <f t="shared" si="29"/>
        <v>-0.21355999999999753</v>
      </c>
      <c r="J203" s="3">
        <v>10</v>
      </c>
      <c r="K203" s="6">
        <f t="shared" si="30"/>
        <v>3.294</v>
      </c>
      <c r="L203" s="6">
        <f t="shared" si="31"/>
        <v>4.3920000000000003</v>
      </c>
      <c r="M203" s="6">
        <f t="shared" si="32"/>
        <v>0.21355999999999753</v>
      </c>
      <c r="N203" s="6">
        <f t="shared" si="33"/>
        <v>0</v>
      </c>
      <c r="O203" s="6">
        <f t="shared" si="34"/>
        <v>0</v>
      </c>
      <c r="P203" s="6">
        <f t="shared" si="35"/>
        <v>-427.11999999999506</v>
      </c>
      <c r="Q203" s="3">
        <v>-427.12</v>
      </c>
      <c r="R203" s="6">
        <f t="shared" si="36"/>
        <v>4.9453774408902973E-12</v>
      </c>
      <c r="S203" s="6" t="str">
        <f t="shared" si="37"/>
        <v>OK</v>
      </c>
    </row>
    <row r="204" spans="1:19" x14ac:dyDescent="0.25">
      <c r="A204" s="3" t="str">
        <f t="shared" si="38"/>
        <v>30.06.2026</v>
      </c>
      <c r="B204" s="5">
        <v>91</v>
      </c>
      <c r="C204" s="5" t="s">
        <v>27</v>
      </c>
      <c r="D204" s="3">
        <v>21.97</v>
      </c>
      <c r="E204" s="3">
        <v>22.173559999999998</v>
      </c>
      <c r="F204" s="6">
        <f t="shared" si="26"/>
        <v>0.20355999999999952</v>
      </c>
      <c r="G204" s="6">
        <f t="shared" si="27"/>
        <v>9.2653618570778112E-3</v>
      </c>
      <c r="H204" s="6" t="str">
        <f t="shared" si="28"/>
        <v>🟢 Over-injection</v>
      </c>
      <c r="I204" s="6">
        <f t="shared" si="29"/>
        <v>-0.20355999999999952</v>
      </c>
      <c r="J204" s="3">
        <v>10</v>
      </c>
      <c r="K204" s="6">
        <f t="shared" si="30"/>
        <v>3.2954999999999997</v>
      </c>
      <c r="L204" s="6">
        <f t="shared" si="31"/>
        <v>4.3940000000000001</v>
      </c>
      <c r="M204" s="6">
        <f t="shared" si="32"/>
        <v>0.20355999999999952</v>
      </c>
      <c r="N204" s="6">
        <f t="shared" si="33"/>
        <v>0</v>
      </c>
      <c r="O204" s="6">
        <f t="shared" si="34"/>
        <v>0</v>
      </c>
      <c r="P204" s="6">
        <f t="shared" si="35"/>
        <v>-407.1199999999991</v>
      </c>
      <c r="Q204" s="3">
        <v>-407.12</v>
      </c>
      <c r="R204" s="6">
        <f t="shared" si="36"/>
        <v>9.0949470177292824E-13</v>
      </c>
      <c r="S204" s="6" t="str">
        <f t="shared" si="37"/>
        <v>OK</v>
      </c>
    </row>
    <row r="205" spans="1:19" x14ac:dyDescent="0.25">
      <c r="A205" s="3" t="str">
        <f t="shared" si="38"/>
        <v>30.06.2026</v>
      </c>
      <c r="B205" s="5">
        <v>92</v>
      </c>
      <c r="C205" s="5" t="s">
        <v>26</v>
      </c>
      <c r="D205" s="3">
        <v>22</v>
      </c>
      <c r="E205" s="3">
        <v>22.173559999999998</v>
      </c>
      <c r="F205" s="6">
        <f t="shared" si="26"/>
        <v>0.17355999999999838</v>
      </c>
      <c r="G205" s="6">
        <f t="shared" si="27"/>
        <v>7.8890909090908352E-3</v>
      </c>
      <c r="H205" s="6" t="str">
        <f t="shared" si="28"/>
        <v>🟢 Over-injection</v>
      </c>
      <c r="I205" s="6">
        <f t="shared" si="29"/>
        <v>-0.17355999999999838</v>
      </c>
      <c r="J205" s="3">
        <v>10</v>
      </c>
      <c r="K205" s="6">
        <f t="shared" si="30"/>
        <v>3.3</v>
      </c>
      <c r="L205" s="6">
        <f t="shared" si="31"/>
        <v>4.4000000000000004</v>
      </c>
      <c r="M205" s="6">
        <f t="shared" si="32"/>
        <v>0.17355999999999838</v>
      </c>
      <c r="N205" s="6">
        <f t="shared" si="33"/>
        <v>0</v>
      </c>
      <c r="O205" s="6">
        <f t="shared" si="34"/>
        <v>0</v>
      </c>
      <c r="P205" s="6">
        <f t="shared" si="35"/>
        <v>-347.11999999999682</v>
      </c>
      <c r="Q205" s="3">
        <v>-347.12</v>
      </c>
      <c r="R205" s="6">
        <f t="shared" si="36"/>
        <v>3.1832314562052488E-12</v>
      </c>
      <c r="S205" s="6" t="str">
        <f t="shared" si="37"/>
        <v>OK</v>
      </c>
    </row>
    <row r="206" spans="1:19" x14ac:dyDescent="0.25">
      <c r="A206" s="3" t="str">
        <f t="shared" si="38"/>
        <v>30.06.2026</v>
      </c>
      <c r="B206" s="5">
        <v>93</v>
      </c>
      <c r="C206" s="5" t="s">
        <v>25</v>
      </c>
      <c r="D206" s="3">
        <v>22.69</v>
      </c>
      <c r="E206" s="3">
        <v>22.50264</v>
      </c>
      <c r="F206" s="6">
        <f t="shared" si="26"/>
        <v>-0.18736000000000175</v>
      </c>
      <c r="G206" s="6">
        <f t="shared" si="27"/>
        <v>-8.257382106654991E-3</v>
      </c>
      <c r="H206" s="6" t="str">
        <f t="shared" si="28"/>
        <v>🔴 Under-injection</v>
      </c>
      <c r="I206" s="6">
        <f t="shared" si="29"/>
        <v>0.18736000000000175</v>
      </c>
      <c r="J206" s="3">
        <v>10</v>
      </c>
      <c r="K206" s="6">
        <f t="shared" si="30"/>
        <v>3.4035000000000002</v>
      </c>
      <c r="L206" s="6">
        <f t="shared" si="31"/>
        <v>4.5380000000000003</v>
      </c>
      <c r="M206" s="6">
        <f t="shared" si="32"/>
        <v>0.18736000000000175</v>
      </c>
      <c r="N206" s="6">
        <f t="shared" si="33"/>
        <v>0</v>
      </c>
      <c r="O206" s="6">
        <f t="shared" si="34"/>
        <v>0</v>
      </c>
      <c r="P206" s="6">
        <f t="shared" si="35"/>
        <v>491.8200000000046</v>
      </c>
      <c r="Q206" s="3">
        <v>491.82</v>
      </c>
      <c r="R206" s="6">
        <f t="shared" si="36"/>
        <v>4.6043169277254492E-12</v>
      </c>
      <c r="S206" s="6" t="str">
        <f t="shared" si="37"/>
        <v>OK</v>
      </c>
    </row>
    <row r="207" spans="1:19" x14ac:dyDescent="0.25">
      <c r="A207" s="3" t="str">
        <f t="shared" si="38"/>
        <v>30.06.2026</v>
      </c>
      <c r="B207" s="5">
        <v>94</v>
      </c>
      <c r="C207" s="5" t="s">
        <v>24</v>
      </c>
      <c r="D207" s="3">
        <v>22.7</v>
      </c>
      <c r="E207" s="3">
        <v>22.718250000000001</v>
      </c>
      <c r="F207" s="6">
        <f t="shared" si="26"/>
        <v>1.8250000000001876E-2</v>
      </c>
      <c r="G207" s="6">
        <f t="shared" si="27"/>
        <v>8.0396475770933376E-4</v>
      </c>
      <c r="H207" s="6" t="str">
        <f t="shared" si="28"/>
        <v>🟢 Over-injection</v>
      </c>
      <c r="I207" s="6">
        <f t="shared" si="29"/>
        <v>-1.8250000000001876E-2</v>
      </c>
      <c r="J207" s="3">
        <v>10</v>
      </c>
      <c r="K207" s="6">
        <f t="shared" si="30"/>
        <v>3.4049999999999998</v>
      </c>
      <c r="L207" s="6">
        <f t="shared" si="31"/>
        <v>4.54</v>
      </c>
      <c r="M207" s="6">
        <f t="shared" si="32"/>
        <v>1.8250000000001876E-2</v>
      </c>
      <c r="N207" s="6">
        <f t="shared" si="33"/>
        <v>0</v>
      </c>
      <c r="O207" s="6">
        <f t="shared" si="34"/>
        <v>0</v>
      </c>
      <c r="P207" s="6">
        <f t="shared" si="35"/>
        <v>-36.500000000003752</v>
      </c>
      <c r="Q207" s="3">
        <v>-36.5</v>
      </c>
      <c r="R207" s="6">
        <f t="shared" si="36"/>
        <v>-3.751665644813329E-12</v>
      </c>
      <c r="S207" s="6" t="str">
        <f t="shared" si="37"/>
        <v>OK</v>
      </c>
    </row>
    <row r="208" spans="1:19" x14ac:dyDescent="0.25">
      <c r="A208" s="3" t="str">
        <f t="shared" si="38"/>
        <v>30.06.2026</v>
      </c>
      <c r="B208" s="5">
        <v>95</v>
      </c>
      <c r="C208" s="5" t="s">
        <v>23</v>
      </c>
      <c r="D208" s="3">
        <v>22.69</v>
      </c>
      <c r="E208" s="3">
        <v>22.706900000000001</v>
      </c>
      <c r="F208" s="6">
        <f t="shared" si="26"/>
        <v>1.6899999999999693E-2</v>
      </c>
      <c r="G208" s="6">
        <f t="shared" si="27"/>
        <v>7.4482150727191241E-4</v>
      </c>
      <c r="H208" s="6" t="str">
        <f t="shared" si="28"/>
        <v>🟢 Over-injection</v>
      </c>
      <c r="I208" s="6">
        <f t="shared" si="29"/>
        <v>-1.6899999999999693E-2</v>
      </c>
      <c r="J208" s="3">
        <v>10</v>
      </c>
      <c r="K208" s="6">
        <f t="shared" si="30"/>
        <v>3.4035000000000002</v>
      </c>
      <c r="L208" s="6">
        <f t="shared" si="31"/>
        <v>4.5380000000000003</v>
      </c>
      <c r="M208" s="6">
        <f t="shared" si="32"/>
        <v>1.6899999999999693E-2</v>
      </c>
      <c r="N208" s="6">
        <f t="shared" si="33"/>
        <v>0</v>
      </c>
      <c r="O208" s="6">
        <f t="shared" si="34"/>
        <v>0</v>
      </c>
      <c r="P208" s="6">
        <f t="shared" si="35"/>
        <v>-33.799999999999386</v>
      </c>
      <c r="Q208" s="3">
        <v>-33.799999999999997</v>
      </c>
      <c r="R208" s="6">
        <f t="shared" si="36"/>
        <v>6.1106675275368616E-13</v>
      </c>
      <c r="S208" s="6" t="str">
        <f t="shared" si="37"/>
        <v>OK</v>
      </c>
    </row>
    <row r="209" spans="1:19" x14ac:dyDescent="0.25">
      <c r="A209" s="3" t="str">
        <f t="shared" si="38"/>
        <v>30.06.2026</v>
      </c>
      <c r="B209" s="5">
        <v>96</v>
      </c>
      <c r="C209" s="5" t="s">
        <v>22</v>
      </c>
      <c r="D209" s="3">
        <v>22.67</v>
      </c>
      <c r="E209" s="3">
        <v>22.695550000000001</v>
      </c>
      <c r="F209" s="6">
        <f t="shared" si="26"/>
        <v>2.5549999999999073E-2</v>
      </c>
      <c r="G209" s="6">
        <f t="shared" si="27"/>
        <v>1.1270401411556715E-3</v>
      </c>
      <c r="H209" s="6" t="str">
        <f t="shared" si="28"/>
        <v>🟢 Over-injection</v>
      </c>
      <c r="I209" s="6">
        <f t="shared" si="29"/>
        <v>-2.5549999999999073E-2</v>
      </c>
      <c r="J209" s="3">
        <v>10</v>
      </c>
      <c r="K209" s="6">
        <f t="shared" si="30"/>
        <v>3.4005000000000001</v>
      </c>
      <c r="L209" s="6">
        <f t="shared" si="31"/>
        <v>4.5340000000000007</v>
      </c>
      <c r="M209" s="6">
        <f t="shared" si="32"/>
        <v>2.5549999999999073E-2</v>
      </c>
      <c r="N209" s="6">
        <f t="shared" si="33"/>
        <v>0</v>
      </c>
      <c r="O209" s="6">
        <f t="shared" si="34"/>
        <v>0</v>
      </c>
      <c r="P209" s="6">
        <f t="shared" si="35"/>
        <v>-51.099999999998154</v>
      </c>
      <c r="Q209" s="3">
        <v>-51.1</v>
      </c>
      <c r="R209" s="6">
        <f t="shared" si="36"/>
        <v>1.8474111129762605E-12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21.3</v>
      </c>
      <c r="E210" s="3">
        <v>21.78773</v>
      </c>
      <c r="F210" s="6">
        <f t="shared" ref="F210:F273" si="39">E210-D210</f>
        <v>0.48772999999999911</v>
      </c>
      <c r="G210" s="6">
        <f t="shared" ref="G210:G273" si="40">IF(D210=0,0,F210/D210)</f>
        <v>2.2898122065727656E-2</v>
      </c>
      <c r="H210" s="6" t="str">
        <f t="shared" ref="H210:H273" si="41">IF(E210&gt;D210,"🟢 Over-injection",IF(E210&lt;D210,"🔴 Under-injection","⚪ Nil"))</f>
        <v>🟢 Over-injection</v>
      </c>
      <c r="I210" s="6">
        <f t="shared" ref="I210:I273" si="42">-F210</f>
        <v>-0.48772999999999911</v>
      </c>
      <c r="J210" s="3">
        <v>10</v>
      </c>
      <c r="K210" s="6">
        <f t="shared" ref="K210:K273" si="43">MIN(ABS(D210)*$B$7,$B$8)</f>
        <v>3.1949999999999998</v>
      </c>
      <c r="L210" s="6">
        <f t="shared" ref="L210:L273" si="44">MIN(ABS(D210)*$B$9,$B$10)</f>
        <v>4.2600000000000007</v>
      </c>
      <c r="M210" s="6">
        <f t="shared" ref="M210:M273" si="45">MIN(ABS(F210),K210)</f>
        <v>0.48772999999999911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-975.45999999999822</v>
      </c>
      <c r="Q210" s="3">
        <v>-975.46</v>
      </c>
      <c r="R210" s="6">
        <f t="shared" ref="R210:R273" si="49">P210-Q210</f>
        <v>1.8189894035458565E-12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01.07.2026</v>
      </c>
      <c r="B211" s="5">
        <v>2</v>
      </c>
      <c r="C211" s="5" t="s">
        <v>116</v>
      </c>
      <c r="D211" s="3">
        <v>21.3</v>
      </c>
      <c r="E211" s="3">
        <v>21.311119999999999</v>
      </c>
      <c r="F211" s="6">
        <f t="shared" si="39"/>
        <v>1.1119999999998242E-2</v>
      </c>
      <c r="G211" s="6">
        <f t="shared" si="40"/>
        <v>5.2206572769944795E-4</v>
      </c>
      <c r="H211" s="6" t="str">
        <f t="shared" si="41"/>
        <v>🟢 Over-injection</v>
      </c>
      <c r="I211" s="6">
        <f t="shared" si="42"/>
        <v>-1.1119999999998242E-2</v>
      </c>
      <c r="J211" s="3">
        <v>10</v>
      </c>
      <c r="K211" s="6">
        <f t="shared" si="43"/>
        <v>3.1949999999999998</v>
      </c>
      <c r="L211" s="6">
        <f t="shared" si="44"/>
        <v>4.2600000000000007</v>
      </c>
      <c r="M211" s="6">
        <f t="shared" si="45"/>
        <v>1.1119999999998242E-2</v>
      </c>
      <c r="N211" s="6">
        <f t="shared" si="46"/>
        <v>0</v>
      </c>
      <c r="O211" s="6">
        <f t="shared" si="47"/>
        <v>0</v>
      </c>
      <c r="P211" s="6">
        <f t="shared" si="48"/>
        <v>-22.239999999996485</v>
      </c>
      <c r="Q211" s="3">
        <v>-22.24</v>
      </c>
      <c r="R211" s="6">
        <f t="shared" si="49"/>
        <v>3.5136338283336954E-12</v>
      </c>
      <c r="S211" s="6" t="str">
        <f t="shared" si="50"/>
        <v>OK</v>
      </c>
    </row>
    <row r="212" spans="1:19" x14ac:dyDescent="0.25">
      <c r="A212" s="3" t="str">
        <f t="shared" ref="A212:A275" si="51">A211</f>
        <v>01.07.2026</v>
      </c>
      <c r="B212" s="5">
        <v>3</v>
      </c>
      <c r="C212" s="5" t="s">
        <v>115</v>
      </c>
      <c r="D212" s="3">
        <v>21.3</v>
      </c>
      <c r="E212" s="3">
        <v>21.311119999999999</v>
      </c>
      <c r="F212" s="6">
        <f t="shared" si="39"/>
        <v>1.1119999999998242E-2</v>
      </c>
      <c r="G212" s="6">
        <f t="shared" si="40"/>
        <v>5.2206572769944795E-4</v>
      </c>
      <c r="H212" s="6" t="str">
        <f t="shared" si="41"/>
        <v>🟢 Over-injection</v>
      </c>
      <c r="I212" s="6">
        <f t="shared" si="42"/>
        <v>-1.1119999999998242E-2</v>
      </c>
      <c r="J212" s="3">
        <v>10</v>
      </c>
      <c r="K212" s="6">
        <f t="shared" si="43"/>
        <v>3.1949999999999998</v>
      </c>
      <c r="L212" s="6">
        <f t="shared" si="44"/>
        <v>4.2600000000000007</v>
      </c>
      <c r="M212" s="6">
        <f t="shared" si="45"/>
        <v>1.1119999999998242E-2</v>
      </c>
      <c r="N212" s="6">
        <f t="shared" si="46"/>
        <v>0</v>
      </c>
      <c r="O212" s="6">
        <f t="shared" si="47"/>
        <v>0</v>
      </c>
      <c r="P212" s="6">
        <f t="shared" si="48"/>
        <v>-22.239999999996485</v>
      </c>
      <c r="Q212" s="3">
        <v>-22.24</v>
      </c>
      <c r="R212" s="6">
        <f t="shared" si="49"/>
        <v>3.5136338283336954E-12</v>
      </c>
      <c r="S212" s="6" t="str">
        <f t="shared" si="50"/>
        <v>OK</v>
      </c>
    </row>
    <row r="213" spans="1:19" x14ac:dyDescent="0.25">
      <c r="A213" s="3" t="str">
        <f t="shared" si="51"/>
        <v>01.07.2026</v>
      </c>
      <c r="B213" s="5">
        <v>4</v>
      </c>
      <c r="C213" s="5" t="s">
        <v>114</v>
      </c>
      <c r="D213" s="3">
        <v>21.3</v>
      </c>
      <c r="E213" s="3">
        <v>21.311119999999999</v>
      </c>
      <c r="F213" s="6">
        <f t="shared" si="39"/>
        <v>1.1119999999998242E-2</v>
      </c>
      <c r="G213" s="6">
        <f t="shared" si="40"/>
        <v>5.2206572769944795E-4</v>
      </c>
      <c r="H213" s="6" t="str">
        <f t="shared" si="41"/>
        <v>🟢 Over-injection</v>
      </c>
      <c r="I213" s="6">
        <f t="shared" si="42"/>
        <v>-1.1119999999998242E-2</v>
      </c>
      <c r="J213" s="3">
        <v>10</v>
      </c>
      <c r="K213" s="6">
        <f t="shared" si="43"/>
        <v>3.1949999999999998</v>
      </c>
      <c r="L213" s="6">
        <f t="shared" si="44"/>
        <v>4.2600000000000007</v>
      </c>
      <c r="M213" s="6">
        <f t="shared" si="45"/>
        <v>1.1119999999998242E-2</v>
      </c>
      <c r="N213" s="6">
        <f t="shared" si="46"/>
        <v>0</v>
      </c>
      <c r="O213" s="6">
        <f t="shared" si="47"/>
        <v>0</v>
      </c>
      <c r="P213" s="6">
        <f t="shared" si="48"/>
        <v>-22.239999999996485</v>
      </c>
      <c r="Q213" s="3">
        <v>-22.24</v>
      </c>
      <c r="R213" s="6">
        <f t="shared" si="49"/>
        <v>3.5136338283336954E-12</v>
      </c>
      <c r="S213" s="6" t="str">
        <f t="shared" si="50"/>
        <v>OK</v>
      </c>
    </row>
    <row r="214" spans="1:19" x14ac:dyDescent="0.25">
      <c r="A214" s="3" t="str">
        <f t="shared" si="51"/>
        <v>01.07.2026</v>
      </c>
      <c r="B214" s="5">
        <v>5</v>
      </c>
      <c r="C214" s="5" t="s">
        <v>113</v>
      </c>
      <c r="D214" s="3">
        <v>20.3</v>
      </c>
      <c r="E214" s="3">
        <v>21.311119999999999</v>
      </c>
      <c r="F214" s="6">
        <f t="shared" si="39"/>
        <v>1.0111199999999982</v>
      </c>
      <c r="G214" s="6">
        <f t="shared" si="40"/>
        <v>4.9808866995073801E-2</v>
      </c>
      <c r="H214" s="6" t="str">
        <f t="shared" si="41"/>
        <v>🟢 Over-injection</v>
      </c>
      <c r="I214" s="6">
        <f t="shared" si="42"/>
        <v>-1.0111199999999982</v>
      </c>
      <c r="J214" s="3">
        <v>10</v>
      </c>
      <c r="K214" s="6">
        <f t="shared" si="43"/>
        <v>3.0449999999999999</v>
      </c>
      <c r="L214" s="6">
        <f t="shared" si="44"/>
        <v>4.0600000000000005</v>
      </c>
      <c r="M214" s="6">
        <f t="shared" si="45"/>
        <v>1.0111199999999982</v>
      </c>
      <c r="N214" s="6">
        <f t="shared" si="46"/>
        <v>0</v>
      </c>
      <c r="O214" s="6">
        <f t="shared" si="47"/>
        <v>0</v>
      </c>
      <c r="P214" s="6">
        <f t="shared" si="48"/>
        <v>-2022.2399999999966</v>
      </c>
      <c r="Q214" s="3">
        <v>-2022.24</v>
      </c>
      <c r="R214" s="6">
        <f t="shared" si="49"/>
        <v>3.4106051316484809E-12</v>
      </c>
      <c r="S214" s="6" t="str">
        <f t="shared" si="50"/>
        <v>OK</v>
      </c>
    </row>
    <row r="215" spans="1:19" x14ac:dyDescent="0.25">
      <c r="A215" s="3" t="str">
        <f t="shared" si="51"/>
        <v>01.07.2026</v>
      </c>
      <c r="B215" s="5">
        <v>6</v>
      </c>
      <c r="C215" s="5" t="s">
        <v>112</v>
      </c>
      <c r="D215" s="3">
        <v>20.3</v>
      </c>
      <c r="E215" s="3">
        <v>21.197649999999999</v>
      </c>
      <c r="F215" s="6">
        <f t="shared" si="39"/>
        <v>0.89764999999999873</v>
      </c>
      <c r="G215" s="6">
        <f t="shared" si="40"/>
        <v>4.4219211822660032E-2</v>
      </c>
      <c r="H215" s="6" t="str">
        <f t="shared" si="41"/>
        <v>🟢 Over-injection</v>
      </c>
      <c r="I215" s="6">
        <f t="shared" si="42"/>
        <v>-0.89764999999999873</v>
      </c>
      <c r="J215" s="3">
        <v>10</v>
      </c>
      <c r="K215" s="6">
        <f t="shared" si="43"/>
        <v>3.0449999999999999</v>
      </c>
      <c r="L215" s="6">
        <f t="shared" si="44"/>
        <v>4.0600000000000005</v>
      </c>
      <c r="M215" s="6">
        <f t="shared" si="45"/>
        <v>0.89764999999999873</v>
      </c>
      <c r="N215" s="6">
        <f t="shared" si="46"/>
        <v>0</v>
      </c>
      <c r="O215" s="6">
        <f t="shared" si="47"/>
        <v>0</v>
      </c>
      <c r="P215" s="6">
        <f t="shared" si="48"/>
        <v>-1795.2999999999975</v>
      </c>
      <c r="Q215" s="3">
        <v>-1795.3</v>
      </c>
      <c r="R215" s="6">
        <f t="shared" si="49"/>
        <v>2.5011104298755527E-12</v>
      </c>
      <c r="S215" s="6" t="str">
        <f t="shared" si="50"/>
        <v>OK</v>
      </c>
    </row>
    <row r="216" spans="1:19" x14ac:dyDescent="0.25">
      <c r="A216" s="3" t="str">
        <f t="shared" si="51"/>
        <v>01.07.2026</v>
      </c>
      <c r="B216" s="5">
        <v>7</v>
      </c>
      <c r="C216" s="5" t="s">
        <v>111</v>
      </c>
      <c r="D216" s="3">
        <v>20.3</v>
      </c>
      <c r="E216" s="3">
        <v>20.391960000000001</v>
      </c>
      <c r="F216" s="6">
        <f t="shared" si="39"/>
        <v>9.1960000000000264E-2</v>
      </c>
      <c r="G216" s="6">
        <f t="shared" si="40"/>
        <v>4.5300492610837566E-3</v>
      </c>
      <c r="H216" s="6" t="str">
        <f t="shared" si="41"/>
        <v>🟢 Over-injection</v>
      </c>
      <c r="I216" s="6">
        <f t="shared" si="42"/>
        <v>-9.1960000000000264E-2</v>
      </c>
      <c r="J216" s="3">
        <v>10</v>
      </c>
      <c r="K216" s="6">
        <f t="shared" si="43"/>
        <v>3.0449999999999999</v>
      </c>
      <c r="L216" s="6">
        <f t="shared" si="44"/>
        <v>4.0600000000000005</v>
      </c>
      <c r="M216" s="6">
        <f t="shared" si="45"/>
        <v>9.1960000000000264E-2</v>
      </c>
      <c r="N216" s="6">
        <f t="shared" si="46"/>
        <v>0</v>
      </c>
      <c r="O216" s="6">
        <f t="shared" si="47"/>
        <v>0</v>
      </c>
      <c r="P216" s="6">
        <f t="shared" si="48"/>
        <v>-183.92000000000053</v>
      </c>
      <c r="Q216" s="3">
        <v>-183.92</v>
      </c>
      <c r="R216" s="6">
        <f t="shared" si="49"/>
        <v>-5.4001247917767614E-13</v>
      </c>
      <c r="S216" s="6" t="str">
        <f t="shared" si="50"/>
        <v>OK</v>
      </c>
    </row>
    <row r="217" spans="1:19" x14ac:dyDescent="0.25">
      <c r="A217" s="3" t="str">
        <f t="shared" si="51"/>
        <v>01.07.2026</v>
      </c>
      <c r="B217" s="5">
        <v>8</v>
      </c>
      <c r="C217" s="5" t="s">
        <v>110</v>
      </c>
      <c r="D217" s="3">
        <v>20.3</v>
      </c>
      <c r="E217" s="3">
        <v>20.414650000000002</v>
      </c>
      <c r="F217" s="6">
        <f t="shared" si="39"/>
        <v>0.11465000000000103</v>
      </c>
      <c r="G217" s="6">
        <f t="shared" si="40"/>
        <v>5.6477832512315772E-3</v>
      </c>
      <c r="H217" s="6" t="str">
        <f t="shared" si="41"/>
        <v>🟢 Over-injection</v>
      </c>
      <c r="I217" s="6">
        <f t="shared" si="42"/>
        <v>-0.11465000000000103</v>
      </c>
      <c r="J217" s="3">
        <v>10</v>
      </c>
      <c r="K217" s="6">
        <f t="shared" si="43"/>
        <v>3.0449999999999999</v>
      </c>
      <c r="L217" s="6">
        <f t="shared" si="44"/>
        <v>4.0600000000000005</v>
      </c>
      <c r="M217" s="6">
        <f t="shared" si="45"/>
        <v>0.11465000000000103</v>
      </c>
      <c r="N217" s="6">
        <f t="shared" si="46"/>
        <v>0</v>
      </c>
      <c r="O217" s="6">
        <f t="shared" si="47"/>
        <v>0</v>
      </c>
      <c r="P217" s="6">
        <f t="shared" si="48"/>
        <v>-229.30000000000206</v>
      </c>
      <c r="Q217" s="3">
        <v>-229.3</v>
      </c>
      <c r="R217" s="6">
        <f t="shared" si="49"/>
        <v>-2.0463630789890885E-12</v>
      </c>
      <c r="S217" s="6" t="str">
        <f t="shared" si="50"/>
        <v>OK</v>
      </c>
    </row>
    <row r="218" spans="1:19" x14ac:dyDescent="0.25">
      <c r="A218" s="3" t="str">
        <f t="shared" si="51"/>
        <v>01.07.2026</v>
      </c>
      <c r="B218" s="5">
        <v>9</v>
      </c>
      <c r="C218" s="5" t="s">
        <v>109</v>
      </c>
      <c r="D218" s="3">
        <v>20.3</v>
      </c>
      <c r="E218" s="3">
        <v>20.403300000000002</v>
      </c>
      <c r="F218" s="6">
        <f t="shared" si="39"/>
        <v>0.10330000000000084</v>
      </c>
      <c r="G218" s="6">
        <f t="shared" si="40"/>
        <v>5.0886699507389568E-3</v>
      </c>
      <c r="H218" s="6" t="str">
        <f t="shared" si="41"/>
        <v>🟢 Over-injection</v>
      </c>
      <c r="I218" s="6">
        <f t="shared" si="42"/>
        <v>-0.10330000000000084</v>
      </c>
      <c r="J218" s="3">
        <v>7.8145000000000007</v>
      </c>
      <c r="K218" s="6">
        <f t="shared" si="43"/>
        <v>3.0449999999999999</v>
      </c>
      <c r="L218" s="6">
        <f t="shared" si="44"/>
        <v>4.0600000000000005</v>
      </c>
      <c r="M218" s="6">
        <f t="shared" si="45"/>
        <v>0.10330000000000084</v>
      </c>
      <c r="N218" s="6">
        <f t="shared" si="46"/>
        <v>0</v>
      </c>
      <c r="O218" s="6">
        <f t="shared" si="47"/>
        <v>0</v>
      </c>
      <c r="P218" s="6">
        <f t="shared" si="48"/>
        <v>-161.44757000000132</v>
      </c>
      <c r="Q218" s="3">
        <v>-161.44757000000001</v>
      </c>
      <c r="R218" s="6">
        <f t="shared" si="49"/>
        <v>-1.3073986337985843E-12</v>
      </c>
      <c r="S218" s="6" t="str">
        <f t="shared" si="50"/>
        <v>OK</v>
      </c>
    </row>
    <row r="219" spans="1:19" x14ac:dyDescent="0.25">
      <c r="A219" s="3" t="str">
        <f t="shared" si="51"/>
        <v>01.07.2026</v>
      </c>
      <c r="B219" s="5">
        <v>10</v>
      </c>
      <c r="C219" s="5" t="s">
        <v>108</v>
      </c>
      <c r="D219" s="3">
        <v>20.3</v>
      </c>
      <c r="E219" s="3">
        <v>20.403300000000002</v>
      </c>
      <c r="F219" s="6">
        <f t="shared" si="39"/>
        <v>0.10330000000000084</v>
      </c>
      <c r="G219" s="6">
        <f t="shared" si="40"/>
        <v>5.0886699507389568E-3</v>
      </c>
      <c r="H219" s="6" t="str">
        <f t="shared" si="41"/>
        <v>🟢 Over-injection</v>
      </c>
      <c r="I219" s="6">
        <f t="shared" si="42"/>
        <v>-0.10330000000000084</v>
      </c>
      <c r="J219" s="3">
        <v>7.8769000000000009</v>
      </c>
      <c r="K219" s="6">
        <f t="shared" si="43"/>
        <v>3.0449999999999999</v>
      </c>
      <c r="L219" s="6">
        <f t="shared" si="44"/>
        <v>4.0600000000000005</v>
      </c>
      <c r="M219" s="6">
        <f t="shared" si="45"/>
        <v>0.10330000000000084</v>
      </c>
      <c r="N219" s="6">
        <f t="shared" si="46"/>
        <v>0</v>
      </c>
      <c r="O219" s="6">
        <f t="shared" si="47"/>
        <v>0</v>
      </c>
      <c r="P219" s="6">
        <f t="shared" si="48"/>
        <v>-162.73675400000135</v>
      </c>
      <c r="Q219" s="3">
        <v>-162.73675400000005</v>
      </c>
      <c r="R219" s="6">
        <f t="shared" si="49"/>
        <v>-1.3073986337985843E-12</v>
      </c>
      <c r="S219" s="6" t="str">
        <f t="shared" si="50"/>
        <v>OK</v>
      </c>
    </row>
    <row r="220" spans="1:19" x14ac:dyDescent="0.25">
      <c r="A220" s="3" t="str">
        <f t="shared" si="51"/>
        <v>01.07.2026</v>
      </c>
      <c r="B220" s="5">
        <v>11</v>
      </c>
      <c r="C220" s="5" t="s">
        <v>107</v>
      </c>
      <c r="D220" s="3">
        <v>20.3</v>
      </c>
      <c r="E220" s="3">
        <v>20.403300000000002</v>
      </c>
      <c r="F220" s="6">
        <f t="shared" si="39"/>
        <v>0.10330000000000084</v>
      </c>
      <c r="G220" s="6">
        <f t="shared" si="40"/>
        <v>5.0886699507389568E-3</v>
      </c>
      <c r="H220" s="6" t="str">
        <f t="shared" si="41"/>
        <v>🟢 Over-injection</v>
      </c>
      <c r="I220" s="6">
        <f t="shared" si="42"/>
        <v>-0.10330000000000084</v>
      </c>
      <c r="J220" s="3">
        <v>10</v>
      </c>
      <c r="K220" s="6">
        <f t="shared" si="43"/>
        <v>3.0449999999999999</v>
      </c>
      <c r="L220" s="6">
        <f t="shared" si="44"/>
        <v>4.0600000000000005</v>
      </c>
      <c r="M220" s="6">
        <f t="shared" si="45"/>
        <v>0.10330000000000084</v>
      </c>
      <c r="N220" s="6">
        <f t="shared" si="46"/>
        <v>0</v>
      </c>
      <c r="O220" s="6">
        <f t="shared" si="47"/>
        <v>0</v>
      </c>
      <c r="P220" s="6">
        <f t="shared" si="48"/>
        <v>-206.60000000000167</v>
      </c>
      <c r="Q220" s="3">
        <v>-206.6</v>
      </c>
      <c r="R220" s="6">
        <f t="shared" si="49"/>
        <v>-1.6768808563938364E-12</v>
      </c>
      <c r="S220" s="6" t="str">
        <f t="shared" si="50"/>
        <v>OK</v>
      </c>
    </row>
    <row r="221" spans="1:19" x14ac:dyDescent="0.25">
      <c r="A221" s="3" t="str">
        <f t="shared" si="51"/>
        <v>01.07.2026</v>
      </c>
      <c r="B221" s="5">
        <v>12</v>
      </c>
      <c r="C221" s="5" t="s">
        <v>106</v>
      </c>
      <c r="D221" s="3">
        <v>20.3</v>
      </c>
      <c r="E221" s="3">
        <v>20.414650000000002</v>
      </c>
      <c r="F221" s="6">
        <f t="shared" si="39"/>
        <v>0.11465000000000103</v>
      </c>
      <c r="G221" s="6">
        <f t="shared" si="40"/>
        <v>5.6477832512315772E-3</v>
      </c>
      <c r="H221" s="6" t="str">
        <f t="shared" si="41"/>
        <v>🟢 Over-injection</v>
      </c>
      <c r="I221" s="6">
        <f t="shared" si="42"/>
        <v>-0.11465000000000103</v>
      </c>
      <c r="J221" s="3">
        <v>10</v>
      </c>
      <c r="K221" s="6">
        <f t="shared" si="43"/>
        <v>3.0449999999999999</v>
      </c>
      <c r="L221" s="6">
        <f t="shared" si="44"/>
        <v>4.0600000000000005</v>
      </c>
      <c r="M221" s="6">
        <f t="shared" si="45"/>
        <v>0.11465000000000103</v>
      </c>
      <c r="N221" s="6">
        <f t="shared" si="46"/>
        <v>0</v>
      </c>
      <c r="O221" s="6">
        <f t="shared" si="47"/>
        <v>0</v>
      </c>
      <c r="P221" s="6">
        <f t="shared" si="48"/>
        <v>-229.30000000000206</v>
      </c>
      <c r="Q221" s="3">
        <v>-229.3</v>
      </c>
      <c r="R221" s="6">
        <f t="shared" si="49"/>
        <v>-2.0463630789890885E-12</v>
      </c>
      <c r="S221" s="6" t="str">
        <f t="shared" si="50"/>
        <v>OK</v>
      </c>
    </row>
    <row r="222" spans="1:19" x14ac:dyDescent="0.25">
      <c r="A222" s="3" t="str">
        <f t="shared" si="51"/>
        <v>01.07.2026</v>
      </c>
      <c r="B222" s="5">
        <v>13</v>
      </c>
      <c r="C222" s="5" t="s">
        <v>105</v>
      </c>
      <c r="D222" s="3">
        <v>18.3</v>
      </c>
      <c r="E222" s="3">
        <v>19.711089999999999</v>
      </c>
      <c r="F222" s="6">
        <f t="shared" si="39"/>
        <v>1.411089999999998</v>
      </c>
      <c r="G222" s="6">
        <f t="shared" si="40"/>
        <v>7.7108743169398794E-2</v>
      </c>
      <c r="H222" s="6" t="str">
        <f t="shared" si="41"/>
        <v>🟢 Over-injection</v>
      </c>
      <c r="I222" s="6">
        <f t="shared" si="42"/>
        <v>-1.411089999999998</v>
      </c>
      <c r="J222" s="3">
        <v>10</v>
      </c>
      <c r="K222" s="6">
        <f t="shared" si="43"/>
        <v>2.7450000000000001</v>
      </c>
      <c r="L222" s="6">
        <f t="shared" si="44"/>
        <v>3.66</v>
      </c>
      <c r="M222" s="6">
        <f t="shared" si="45"/>
        <v>1.411089999999998</v>
      </c>
      <c r="N222" s="6">
        <f t="shared" si="46"/>
        <v>0</v>
      </c>
      <c r="O222" s="6">
        <f t="shared" si="47"/>
        <v>0</v>
      </c>
      <c r="P222" s="6">
        <f t="shared" si="48"/>
        <v>-2822.1799999999957</v>
      </c>
      <c r="Q222" s="3">
        <v>-2822.18</v>
      </c>
      <c r="R222" s="6">
        <f t="shared" si="49"/>
        <v>4.0927261579781771E-12</v>
      </c>
      <c r="S222" s="6" t="str">
        <f t="shared" si="50"/>
        <v>OK</v>
      </c>
    </row>
    <row r="223" spans="1:19" x14ac:dyDescent="0.25">
      <c r="A223" s="3" t="str">
        <f t="shared" si="51"/>
        <v>01.07.2026</v>
      </c>
      <c r="B223" s="5">
        <v>14</v>
      </c>
      <c r="C223" s="5" t="s">
        <v>104</v>
      </c>
      <c r="D223" s="3">
        <v>18.3</v>
      </c>
      <c r="E223" s="3">
        <v>18.564959999999999</v>
      </c>
      <c r="F223" s="6">
        <f t="shared" si="39"/>
        <v>0.26495999999999853</v>
      </c>
      <c r="G223" s="6">
        <f t="shared" si="40"/>
        <v>1.4478688524590083E-2</v>
      </c>
      <c r="H223" s="6" t="str">
        <f t="shared" si="41"/>
        <v>🟢 Over-injection</v>
      </c>
      <c r="I223" s="6">
        <f t="shared" si="42"/>
        <v>-0.26495999999999853</v>
      </c>
      <c r="J223" s="3">
        <v>10</v>
      </c>
      <c r="K223" s="6">
        <f t="shared" si="43"/>
        <v>2.7450000000000001</v>
      </c>
      <c r="L223" s="6">
        <f t="shared" si="44"/>
        <v>3.66</v>
      </c>
      <c r="M223" s="6">
        <f t="shared" si="45"/>
        <v>0.26495999999999853</v>
      </c>
      <c r="N223" s="6">
        <f t="shared" si="46"/>
        <v>0</v>
      </c>
      <c r="O223" s="6">
        <f t="shared" si="47"/>
        <v>0</v>
      </c>
      <c r="P223" s="6">
        <f t="shared" si="48"/>
        <v>-529.91999999999712</v>
      </c>
      <c r="Q223" s="3">
        <v>-529.91999999999996</v>
      </c>
      <c r="R223" s="6">
        <f t="shared" si="49"/>
        <v>2.8421709430404007E-12</v>
      </c>
      <c r="S223" s="6" t="str">
        <f t="shared" si="50"/>
        <v>OK</v>
      </c>
    </row>
    <row r="224" spans="1:19" x14ac:dyDescent="0.25">
      <c r="A224" s="3" t="str">
        <f t="shared" si="51"/>
        <v>01.07.2026</v>
      </c>
      <c r="B224" s="5">
        <v>15</v>
      </c>
      <c r="C224" s="5" t="s">
        <v>103</v>
      </c>
      <c r="D224" s="3">
        <v>18.3</v>
      </c>
      <c r="E224" s="3">
        <v>18.564959999999999</v>
      </c>
      <c r="F224" s="6">
        <f t="shared" si="39"/>
        <v>0.26495999999999853</v>
      </c>
      <c r="G224" s="6">
        <f t="shared" si="40"/>
        <v>1.4478688524590083E-2</v>
      </c>
      <c r="H224" s="6" t="str">
        <f t="shared" si="41"/>
        <v>🟢 Over-injection</v>
      </c>
      <c r="I224" s="6">
        <f t="shared" si="42"/>
        <v>-0.26495999999999853</v>
      </c>
      <c r="J224" s="3">
        <v>10</v>
      </c>
      <c r="K224" s="6">
        <f t="shared" si="43"/>
        <v>2.7450000000000001</v>
      </c>
      <c r="L224" s="6">
        <f t="shared" si="44"/>
        <v>3.66</v>
      </c>
      <c r="M224" s="6">
        <f t="shared" si="45"/>
        <v>0.26495999999999853</v>
      </c>
      <c r="N224" s="6">
        <f t="shared" si="46"/>
        <v>0</v>
      </c>
      <c r="O224" s="6">
        <f t="shared" si="47"/>
        <v>0</v>
      </c>
      <c r="P224" s="6">
        <f t="shared" si="48"/>
        <v>-529.91999999999712</v>
      </c>
      <c r="Q224" s="3">
        <v>-529.91999999999996</v>
      </c>
      <c r="R224" s="6">
        <f t="shared" si="49"/>
        <v>2.8421709430404007E-12</v>
      </c>
      <c r="S224" s="6" t="str">
        <f t="shared" si="50"/>
        <v>OK</v>
      </c>
    </row>
    <row r="225" spans="1:19" x14ac:dyDescent="0.25">
      <c r="A225" s="3" t="str">
        <f t="shared" si="51"/>
        <v>01.07.2026</v>
      </c>
      <c r="B225" s="5">
        <v>16</v>
      </c>
      <c r="C225" s="5" t="s">
        <v>102</v>
      </c>
      <c r="D225" s="3">
        <v>18.3</v>
      </c>
      <c r="E225" s="3">
        <v>18.564959999999999</v>
      </c>
      <c r="F225" s="6">
        <f t="shared" si="39"/>
        <v>0.26495999999999853</v>
      </c>
      <c r="G225" s="6">
        <f t="shared" si="40"/>
        <v>1.4478688524590083E-2</v>
      </c>
      <c r="H225" s="6" t="str">
        <f t="shared" si="41"/>
        <v>🟢 Over-injection</v>
      </c>
      <c r="I225" s="6">
        <f t="shared" si="42"/>
        <v>-0.26495999999999853</v>
      </c>
      <c r="J225" s="3">
        <v>10</v>
      </c>
      <c r="K225" s="6">
        <f t="shared" si="43"/>
        <v>2.7450000000000001</v>
      </c>
      <c r="L225" s="6">
        <f t="shared" si="44"/>
        <v>3.66</v>
      </c>
      <c r="M225" s="6">
        <f t="shared" si="45"/>
        <v>0.26495999999999853</v>
      </c>
      <c r="N225" s="6">
        <f t="shared" si="46"/>
        <v>0</v>
      </c>
      <c r="O225" s="6">
        <f t="shared" si="47"/>
        <v>0</v>
      </c>
      <c r="P225" s="6">
        <f t="shared" si="48"/>
        <v>-529.91999999999712</v>
      </c>
      <c r="Q225" s="3">
        <v>-529.91999999999996</v>
      </c>
      <c r="R225" s="6">
        <f t="shared" si="49"/>
        <v>2.8421709430404007E-12</v>
      </c>
      <c r="S225" s="6" t="str">
        <f t="shared" si="50"/>
        <v>OK</v>
      </c>
    </row>
    <row r="226" spans="1:19" x14ac:dyDescent="0.25">
      <c r="A226" s="3" t="str">
        <f t="shared" si="51"/>
        <v>01.07.2026</v>
      </c>
      <c r="B226" s="5">
        <v>17</v>
      </c>
      <c r="C226" s="5" t="s">
        <v>101</v>
      </c>
      <c r="D226" s="3">
        <v>18.3</v>
      </c>
      <c r="E226" s="3">
        <v>18.564959999999999</v>
      </c>
      <c r="F226" s="6">
        <f t="shared" si="39"/>
        <v>0.26495999999999853</v>
      </c>
      <c r="G226" s="6">
        <f t="shared" si="40"/>
        <v>1.4478688524590083E-2</v>
      </c>
      <c r="H226" s="6" t="str">
        <f t="shared" si="41"/>
        <v>🟢 Over-injection</v>
      </c>
      <c r="I226" s="6">
        <f t="shared" si="42"/>
        <v>-0.26495999999999853</v>
      </c>
      <c r="J226" s="3">
        <v>10</v>
      </c>
      <c r="K226" s="6">
        <f t="shared" si="43"/>
        <v>2.7450000000000001</v>
      </c>
      <c r="L226" s="6">
        <f t="shared" si="44"/>
        <v>3.66</v>
      </c>
      <c r="M226" s="6">
        <f t="shared" si="45"/>
        <v>0.26495999999999853</v>
      </c>
      <c r="N226" s="6">
        <f t="shared" si="46"/>
        <v>0</v>
      </c>
      <c r="O226" s="6">
        <f t="shared" si="47"/>
        <v>0</v>
      </c>
      <c r="P226" s="6">
        <f t="shared" si="48"/>
        <v>-529.91999999999712</v>
      </c>
      <c r="Q226" s="3">
        <v>-529.91999999999996</v>
      </c>
      <c r="R226" s="6">
        <f t="shared" si="49"/>
        <v>2.8421709430404007E-12</v>
      </c>
      <c r="S226" s="6" t="str">
        <f t="shared" si="50"/>
        <v>OK</v>
      </c>
    </row>
    <row r="227" spans="1:19" x14ac:dyDescent="0.25">
      <c r="A227" s="3" t="str">
        <f t="shared" si="51"/>
        <v>01.07.2026</v>
      </c>
      <c r="B227" s="5">
        <v>18</v>
      </c>
      <c r="C227" s="5" t="s">
        <v>100</v>
      </c>
      <c r="D227" s="3">
        <v>18.3</v>
      </c>
      <c r="E227" s="3">
        <v>18.564959999999999</v>
      </c>
      <c r="F227" s="6">
        <f t="shared" si="39"/>
        <v>0.26495999999999853</v>
      </c>
      <c r="G227" s="6">
        <f t="shared" si="40"/>
        <v>1.4478688524590083E-2</v>
      </c>
      <c r="H227" s="6" t="str">
        <f t="shared" si="41"/>
        <v>🟢 Over-injection</v>
      </c>
      <c r="I227" s="6">
        <f t="shared" si="42"/>
        <v>-0.26495999999999853</v>
      </c>
      <c r="J227" s="3">
        <v>10</v>
      </c>
      <c r="K227" s="6">
        <f t="shared" si="43"/>
        <v>2.7450000000000001</v>
      </c>
      <c r="L227" s="6">
        <f t="shared" si="44"/>
        <v>3.66</v>
      </c>
      <c r="M227" s="6">
        <f t="shared" si="45"/>
        <v>0.26495999999999853</v>
      </c>
      <c r="N227" s="6">
        <f t="shared" si="46"/>
        <v>0</v>
      </c>
      <c r="O227" s="6">
        <f t="shared" si="47"/>
        <v>0</v>
      </c>
      <c r="P227" s="6">
        <f t="shared" si="48"/>
        <v>-529.91999999999712</v>
      </c>
      <c r="Q227" s="3">
        <v>-529.91999999999996</v>
      </c>
      <c r="R227" s="6">
        <f t="shared" si="49"/>
        <v>2.8421709430404007E-12</v>
      </c>
      <c r="S227" s="6" t="str">
        <f t="shared" si="50"/>
        <v>OK</v>
      </c>
    </row>
    <row r="228" spans="1:19" x14ac:dyDescent="0.25">
      <c r="A228" s="3" t="str">
        <f t="shared" si="51"/>
        <v>01.07.2026</v>
      </c>
      <c r="B228" s="5">
        <v>19</v>
      </c>
      <c r="C228" s="5" t="s">
        <v>99</v>
      </c>
      <c r="D228" s="3">
        <v>16</v>
      </c>
      <c r="E228" s="3">
        <v>16.806059999999999</v>
      </c>
      <c r="F228" s="6">
        <f t="shared" si="39"/>
        <v>0.80605999999999867</v>
      </c>
      <c r="G228" s="6">
        <f t="shared" si="40"/>
        <v>5.0378749999999917E-2</v>
      </c>
      <c r="H228" s="6" t="str">
        <f t="shared" si="41"/>
        <v>🟢 Over-injection</v>
      </c>
      <c r="I228" s="6">
        <f t="shared" si="42"/>
        <v>-0.80605999999999867</v>
      </c>
      <c r="J228" s="3">
        <v>10</v>
      </c>
      <c r="K228" s="6">
        <f t="shared" si="43"/>
        <v>2.4</v>
      </c>
      <c r="L228" s="6">
        <f t="shared" si="44"/>
        <v>3.2</v>
      </c>
      <c r="M228" s="6">
        <f t="shared" si="45"/>
        <v>0.80605999999999867</v>
      </c>
      <c r="N228" s="6">
        <f t="shared" si="46"/>
        <v>0</v>
      </c>
      <c r="O228" s="6">
        <f t="shared" si="47"/>
        <v>0</v>
      </c>
      <c r="P228" s="6">
        <f t="shared" si="48"/>
        <v>-1612.1199999999974</v>
      </c>
      <c r="Q228" s="3">
        <v>-1612.12</v>
      </c>
      <c r="R228" s="6">
        <f t="shared" si="49"/>
        <v>2.5011104298755527E-12</v>
      </c>
      <c r="S228" s="6" t="str">
        <f t="shared" si="50"/>
        <v>OK</v>
      </c>
    </row>
    <row r="229" spans="1:19" x14ac:dyDescent="0.25">
      <c r="A229" s="3" t="str">
        <f t="shared" si="51"/>
        <v>01.07.2026</v>
      </c>
      <c r="B229" s="5">
        <v>20</v>
      </c>
      <c r="C229" s="5" t="s">
        <v>98</v>
      </c>
      <c r="D229" s="3">
        <v>16</v>
      </c>
      <c r="E229" s="3">
        <v>16.306760000000001</v>
      </c>
      <c r="F229" s="6">
        <f t="shared" si="39"/>
        <v>0.30676000000000059</v>
      </c>
      <c r="G229" s="6">
        <f t="shared" si="40"/>
        <v>1.9172500000000037E-2</v>
      </c>
      <c r="H229" s="6" t="str">
        <f t="shared" si="41"/>
        <v>🟢 Over-injection</v>
      </c>
      <c r="I229" s="6">
        <f t="shared" si="42"/>
        <v>-0.30676000000000059</v>
      </c>
      <c r="J229" s="3">
        <v>10</v>
      </c>
      <c r="K229" s="6">
        <f t="shared" si="43"/>
        <v>2.4</v>
      </c>
      <c r="L229" s="6">
        <f t="shared" si="44"/>
        <v>3.2</v>
      </c>
      <c r="M229" s="6">
        <f t="shared" si="45"/>
        <v>0.30676000000000059</v>
      </c>
      <c r="N229" s="6">
        <f t="shared" si="46"/>
        <v>0</v>
      </c>
      <c r="O229" s="6">
        <f t="shared" si="47"/>
        <v>0</v>
      </c>
      <c r="P229" s="6">
        <f t="shared" si="48"/>
        <v>-613.52000000000112</v>
      </c>
      <c r="Q229" s="3">
        <v>-613.52</v>
      </c>
      <c r="R229" s="6">
        <f t="shared" si="49"/>
        <v>-1.1368683772161603E-12</v>
      </c>
      <c r="S229" s="6" t="str">
        <f t="shared" si="50"/>
        <v>OK</v>
      </c>
    </row>
    <row r="230" spans="1:19" x14ac:dyDescent="0.25">
      <c r="A230" s="3" t="str">
        <f t="shared" si="51"/>
        <v>01.07.2026</v>
      </c>
      <c r="B230" s="5">
        <v>21</v>
      </c>
      <c r="C230" s="5" t="s">
        <v>97</v>
      </c>
      <c r="D230" s="3">
        <v>15</v>
      </c>
      <c r="E230" s="3">
        <v>15.54646</v>
      </c>
      <c r="F230" s="6">
        <f t="shared" si="39"/>
        <v>0.54645999999999972</v>
      </c>
      <c r="G230" s="6">
        <f t="shared" si="40"/>
        <v>3.6430666666666646E-2</v>
      </c>
      <c r="H230" s="6" t="str">
        <f t="shared" si="41"/>
        <v>🟢 Over-injection</v>
      </c>
      <c r="I230" s="6">
        <f t="shared" si="42"/>
        <v>-0.54645999999999972</v>
      </c>
      <c r="J230" s="3">
        <v>10</v>
      </c>
      <c r="K230" s="6">
        <f t="shared" si="43"/>
        <v>2.25</v>
      </c>
      <c r="L230" s="6">
        <f t="shared" si="44"/>
        <v>3</v>
      </c>
      <c r="M230" s="6">
        <f t="shared" si="45"/>
        <v>0.54645999999999972</v>
      </c>
      <c r="N230" s="6">
        <f t="shared" si="46"/>
        <v>0</v>
      </c>
      <c r="O230" s="6">
        <f t="shared" si="47"/>
        <v>0</v>
      </c>
      <c r="P230" s="6">
        <f t="shared" si="48"/>
        <v>-1092.9199999999994</v>
      </c>
      <c r="Q230" s="3">
        <v>-1092.9199999999998</v>
      </c>
      <c r="R230" s="6">
        <f t="shared" si="49"/>
        <v>0</v>
      </c>
      <c r="S230" s="6" t="str">
        <f t="shared" si="50"/>
        <v>OK</v>
      </c>
    </row>
    <row r="231" spans="1:19" x14ac:dyDescent="0.25">
      <c r="A231" s="3" t="str">
        <f t="shared" si="51"/>
        <v>01.07.2026</v>
      </c>
      <c r="B231" s="5">
        <v>22</v>
      </c>
      <c r="C231" s="5" t="s">
        <v>96</v>
      </c>
      <c r="D231" s="3">
        <v>15</v>
      </c>
      <c r="E231" s="3">
        <v>15.387589999999999</v>
      </c>
      <c r="F231" s="6">
        <f t="shared" si="39"/>
        <v>0.38758999999999943</v>
      </c>
      <c r="G231" s="6">
        <f t="shared" si="40"/>
        <v>2.5839333333333294E-2</v>
      </c>
      <c r="H231" s="6" t="str">
        <f t="shared" si="41"/>
        <v>🟢 Over-injection</v>
      </c>
      <c r="I231" s="6">
        <f t="shared" si="42"/>
        <v>-0.38758999999999943</v>
      </c>
      <c r="J231" s="3">
        <v>10</v>
      </c>
      <c r="K231" s="6">
        <f t="shared" si="43"/>
        <v>2.25</v>
      </c>
      <c r="L231" s="6">
        <f t="shared" si="44"/>
        <v>3</v>
      </c>
      <c r="M231" s="6">
        <f t="shared" si="45"/>
        <v>0.38758999999999943</v>
      </c>
      <c r="N231" s="6">
        <f t="shared" si="46"/>
        <v>0</v>
      </c>
      <c r="O231" s="6">
        <f t="shared" si="47"/>
        <v>0</v>
      </c>
      <c r="P231" s="6">
        <f t="shared" si="48"/>
        <v>-775.17999999999893</v>
      </c>
      <c r="Q231" s="3">
        <v>-775.18</v>
      </c>
      <c r="R231" s="6">
        <f t="shared" si="49"/>
        <v>1.0231815394945443E-12</v>
      </c>
      <c r="S231" s="6" t="str">
        <f t="shared" si="50"/>
        <v>OK</v>
      </c>
    </row>
    <row r="232" spans="1:19" x14ac:dyDescent="0.25">
      <c r="A232" s="3" t="str">
        <f t="shared" si="51"/>
        <v>01.07.2026</v>
      </c>
      <c r="B232" s="5">
        <v>23</v>
      </c>
      <c r="C232" s="5" t="s">
        <v>95</v>
      </c>
      <c r="D232" s="3">
        <v>15</v>
      </c>
      <c r="E232" s="3">
        <v>15.39893</v>
      </c>
      <c r="F232" s="6">
        <f t="shared" si="39"/>
        <v>0.39893000000000001</v>
      </c>
      <c r="G232" s="6">
        <f t="shared" si="40"/>
        <v>2.6595333333333335E-2</v>
      </c>
      <c r="H232" s="6" t="str">
        <f t="shared" si="41"/>
        <v>🟢 Over-injection</v>
      </c>
      <c r="I232" s="6">
        <f t="shared" si="42"/>
        <v>-0.39893000000000001</v>
      </c>
      <c r="J232" s="3">
        <v>10</v>
      </c>
      <c r="K232" s="6">
        <f t="shared" si="43"/>
        <v>2.25</v>
      </c>
      <c r="L232" s="6">
        <f t="shared" si="44"/>
        <v>3</v>
      </c>
      <c r="M232" s="6">
        <f t="shared" si="45"/>
        <v>0.39893000000000001</v>
      </c>
      <c r="N232" s="6">
        <f t="shared" si="46"/>
        <v>0</v>
      </c>
      <c r="O232" s="6">
        <f t="shared" si="47"/>
        <v>0</v>
      </c>
      <c r="P232" s="6">
        <f t="shared" si="48"/>
        <v>-797.86000000000013</v>
      </c>
      <c r="Q232" s="3">
        <v>-797.86</v>
      </c>
      <c r="R232" s="6">
        <f t="shared" si="49"/>
        <v>0</v>
      </c>
      <c r="S232" s="6" t="str">
        <f t="shared" si="50"/>
        <v>OK</v>
      </c>
    </row>
    <row r="233" spans="1:19" x14ac:dyDescent="0.25">
      <c r="A233" s="3" t="str">
        <f t="shared" si="51"/>
        <v>01.07.2026</v>
      </c>
      <c r="B233" s="5">
        <v>24</v>
      </c>
      <c r="C233" s="5" t="s">
        <v>94</v>
      </c>
      <c r="D233" s="3">
        <v>15</v>
      </c>
      <c r="E233" s="3">
        <v>15.41028</v>
      </c>
      <c r="F233" s="6">
        <f t="shared" si="39"/>
        <v>0.4102800000000002</v>
      </c>
      <c r="G233" s="6">
        <f t="shared" si="40"/>
        <v>2.7352000000000012E-2</v>
      </c>
      <c r="H233" s="6" t="str">
        <f t="shared" si="41"/>
        <v>🟢 Over-injection</v>
      </c>
      <c r="I233" s="6">
        <f t="shared" si="42"/>
        <v>-0.4102800000000002</v>
      </c>
      <c r="J233" s="3">
        <v>9.6527999999999992</v>
      </c>
      <c r="K233" s="6">
        <f t="shared" si="43"/>
        <v>2.25</v>
      </c>
      <c r="L233" s="6">
        <f t="shared" si="44"/>
        <v>3</v>
      </c>
      <c r="M233" s="6">
        <f t="shared" si="45"/>
        <v>0.4102800000000002</v>
      </c>
      <c r="N233" s="6">
        <f t="shared" si="46"/>
        <v>0</v>
      </c>
      <c r="O233" s="6">
        <f t="shared" si="47"/>
        <v>0</v>
      </c>
      <c r="P233" s="6">
        <f t="shared" si="48"/>
        <v>-792.0701568000004</v>
      </c>
      <c r="Q233" s="3">
        <v>-792.07015679999995</v>
      </c>
      <c r="R233" s="6">
        <f t="shared" si="49"/>
        <v>0</v>
      </c>
      <c r="S233" s="6" t="str">
        <f t="shared" si="50"/>
        <v>OK</v>
      </c>
    </row>
    <row r="234" spans="1:19" x14ac:dyDescent="0.25">
      <c r="A234" s="3" t="str">
        <f t="shared" si="51"/>
        <v>01.07.2026</v>
      </c>
      <c r="B234" s="5">
        <v>25</v>
      </c>
      <c r="C234" s="5" t="s">
        <v>93</v>
      </c>
      <c r="D234" s="3">
        <v>14.04</v>
      </c>
      <c r="E234" s="3">
        <v>14.615930000000001</v>
      </c>
      <c r="F234" s="6">
        <f t="shared" si="39"/>
        <v>0.57593000000000139</v>
      </c>
      <c r="G234" s="6">
        <f t="shared" si="40"/>
        <v>4.1020655270655369E-2</v>
      </c>
      <c r="H234" s="6" t="str">
        <f t="shared" si="41"/>
        <v>🟢 Over-injection</v>
      </c>
      <c r="I234" s="6">
        <f t="shared" si="42"/>
        <v>-0.57593000000000139</v>
      </c>
      <c r="J234" s="3">
        <v>6.2134999999999998</v>
      </c>
      <c r="K234" s="6">
        <f t="shared" si="43"/>
        <v>2.1059999999999999</v>
      </c>
      <c r="L234" s="6">
        <f t="shared" si="44"/>
        <v>2.8079999999999998</v>
      </c>
      <c r="M234" s="6">
        <f t="shared" si="45"/>
        <v>0.57593000000000139</v>
      </c>
      <c r="N234" s="6">
        <f t="shared" si="46"/>
        <v>0</v>
      </c>
      <c r="O234" s="6">
        <f t="shared" si="47"/>
        <v>0</v>
      </c>
      <c r="P234" s="6">
        <f t="shared" si="48"/>
        <v>-715.70821100000182</v>
      </c>
      <c r="Q234" s="3">
        <v>-715.70821100000012</v>
      </c>
      <c r="R234" s="6">
        <f t="shared" si="49"/>
        <v>-1.7053025658242404E-12</v>
      </c>
      <c r="S234" s="6" t="str">
        <f t="shared" si="50"/>
        <v>OK</v>
      </c>
    </row>
    <row r="235" spans="1:19" x14ac:dyDescent="0.25">
      <c r="A235" s="3" t="str">
        <f t="shared" si="51"/>
        <v>01.07.2026</v>
      </c>
      <c r="B235" s="5">
        <v>26</v>
      </c>
      <c r="C235" s="5" t="s">
        <v>92</v>
      </c>
      <c r="D235" s="3">
        <v>14.04</v>
      </c>
      <c r="E235" s="3">
        <v>14.37763</v>
      </c>
      <c r="F235" s="6">
        <f t="shared" si="39"/>
        <v>0.33763000000000076</v>
      </c>
      <c r="G235" s="6">
        <f t="shared" si="40"/>
        <v>2.4047720797720853E-2</v>
      </c>
      <c r="H235" s="6" t="str">
        <f t="shared" si="41"/>
        <v>🟢 Over-injection</v>
      </c>
      <c r="I235" s="6">
        <f t="shared" si="42"/>
        <v>-0.33763000000000076</v>
      </c>
      <c r="J235" s="3">
        <v>5.7622999999999998</v>
      </c>
      <c r="K235" s="6">
        <f t="shared" si="43"/>
        <v>2.1059999999999999</v>
      </c>
      <c r="L235" s="6">
        <f t="shared" si="44"/>
        <v>2.8079999999999998</v>
      </c>
      <c r="M235" s="6">
        <f t="shared" si="45"/>
        <v>0.33763000000000076</v>
      </c>
      <c r="N235" s="6">
        <f t="shared" si="46"/>
        <v>0</v>
      </c>
      <c r="O235" s="6">
        <f t="shared" si="47"/>
        <v>0</v>
      </c>
      <c r="P235" s="6">
        <f t="shared" si="48"/>
        <v>-389.10506980000088</v>
      </c>
      <c r="Q235" s="3">
        <v>-389.10506979999997</v>
      </c>
      <c r="R235" s="6">
        <f t="shared" si="49"/>
        <v>-9.0949470177292824E-13</v>
      </c>
      <c r="S235" s="6" t="str">
        <f t="shared" si="50"/>
        <v>OK</v>
      </c>
    </row>
    <row r="236" spans="1:19" x14ac:dyDescent="0.25">
      <c r="A236" s="3" t="str">
        <f t="shared" si="51"/>
        <v>01.07.2026</v>
      </c>
      <c r="B236" s="5">
        <v>27</v>
      </c>
      <c r="C236" s="5" t="s">
        <v>91</v>
      </c>
      <c r="D236" s="3">
        <v>14.04</v>
      </c>
      <c r="E236" s="3">
        <v>14.24145</v>
      </c>
      <c r="F236" s="6">
        <f t="shared" si="39"/>
        <v>0.20145000000000124</v>
      </c>
      <c r="G236" s="6">
        <f t="shared" si="40"/>
        <v>1.4348290598290687E-2</v>
      </c>
      <c r="H236" s="6" t="str">
        <f t="shared" si="41"/>
        <v>🟢 Over-injection</v>
      </c>
      <c r="I236" s="6">
        <f t="shared" si="42"/>
        <v>-0.20145000000000124</v>
      </c>
      <c r="J236" s="3">
        <v>4.8937999999999997</v>
      </c>
      <c r="K236" s="6">
        <f t="shared" si="43"/>
        <v>2.1059999999999999</v>
      </c>
      <c r="L236" s="6">
        <f t="shared" si="44"/>
        <v>2.8079999999999998</v>
      </c>
      <c r="M236" s="6">
        <f t="shared" si="45"/>
        <v>0.20145000000000124</v>
      </c>
      <c r="N236" s="6">
        <f t="shared" si="46"/>
        <v>0</v>
      </c>
      <c r="O236" s="6">
        <f t="shared" si="47"/>
        <v>0</v>
      </c>
      <c r="P236" s="6">
        <f t="shared" si="48"/>
        <v>-197.17120200000122</v>
      </c>
      <c r="Q236" s="3">
        <v>-197.17120199999999</v>
      </c>
      <c r="R236" s="6">
        <f t="shared" si="49"/>
        <v>-1.2221335055073723E-12</v>
      </c>
      <c r="S236" s="6" t="str">
        <f t="shared" si="50"/>
        <v>OK</v>
      </c>
    </row>
    <row r="237" spans="1:19" x14ac:dyDescent="0.25">
      <c r="A237" s="3" t="str">
        <f t="shared" si="51"/>
        <v>01.07.2026</v>
      </c>
      <c r="B237" s="5">
        <v>28</v>
      </c>
      <c r="C237" s="5" t="s">
        <v>90</v>
      </c>
      <c r="D237" s="3">
        <v>14.04</v>
      </c>
      <c r="E237" s="3">
        <v>14.24145</v>
      </c>
      <c r="F237" s="6">
        <f t="shared" si="39"/>
        <v>0.20145000000000124</v>
      </c>
      <c r="G237" s="6">
        <f t="shared" si="40"/>
        <v>1.4348290598290687E-2</v>
      </c>
      <c r="H237" s="6" t="str">
        <f t="shared" si="41"/>
        <v>🟢 Over-injection</v>
      </c>
      <c r="I237" s="6">
        <f t="shared" si="42"/>
        <v>-0.20145000000000124</v>
      </c>
      <c r="J237" s="3">
        <v>4.2222</v>
      </c>
      <c r="K237" s="6">
        <f t="shared" si="43"/>
        <v>2.1059999999999999</v>
      </c>
      <c r="L237" s="6">
        <f t="shared" si="44"/>
        <v>2.8079999999999998</v>
      </c>
      <c r="M237" s="6">
        <f t="shared" si="45"/>
        <v>0.20145000000000124</v>
      </c>
      <c r="N237" s="6">
        <f t="shared" si="46"/>
        <v>0</v>
      </c>
      <c r="O237" s="6">
        <f t="shared" si="47"/>
        <v>0</v>
      </c>
      <c r="P237" s="6">
        <f t="shared" si="48"/>
        <v>-170.11243800000105</v>
      </c>
      <c r="Q237" s="3">
        <v>-170.112438</v>
      </c>
      <c r="R237" s="6">
        <f t="shared" si="49"/>
        <v>-1.0516032489249483E-12</v>
      </c>
      <c r="S237" s="6" t="str">
        <f t="shared" si="50"/>
        <v>OK</v>
      </c>
    </row>
    <row r="238" spans="1:19" x14ac:dyDescent="0.25">
      <c r="A238" s="3" t="str">
        <f t="shared" si="51"/>
        <v>01.07.2026</v>
      </c>
      <c r="B238" s="5">
        <v>29</v>
      </c>
      <c r="C238" s="5" t="s">
        <v>89</v>
      </c>
      <c r="D238" s="3">
        <v>14.04</v>
      </c>
      <c r="E238" s="3">
        <v>14.24145</v>
      </c>
      <c r="F238" s="6">
        <f t="shared" si="39"/>
        <v>0.20145000000000124</v>
      </c>
      <c r="G238" s="6">
        <f t="shared" si="40"/>
        <v>1.4348290598290687E-2</v>
      </c>
      <c r="H238" s="6" t="str">
        <f t="shared" si="41"/>
        <v>🟢 Over-injection</v>
      </c>
      <c r="I238" s="6">
        <f t="shared" si="42"/>
        <v>-0.20145000000000124</v>
      </c>
      <c r="J238" s="3">
        <v>3.5901000000000001</v>
      </c>
      <c r="K238" s="6">
        <f t="shared" si="43"/>
        <v>2.1059999999999999</v>
      </c>
      <c r="L238" s="6">
        <f t="shared" si="44"/>
        <v>2.8079999999999998</v>
      </c>
      <c r="M238" s="6">
        <f t="shared" si="45"/>
        <v>0.20145000000000124</v>
      </c>
      <c r="N238" s="6">
        <f t="shared" si="46"/>
        <v>0</v>
      </c>
      <c r="O238" s="6">
        <f t="shared" si="47"/>
        <v>0</v>
      </c>
      <c r="P238" s="6">
        <f t="shared" si="48"/>
        <v>-144.64512900000091</v>
      </c>
      <c r="Q238" s="3">
        <v>-144.645129</v>
      </c>
      <c r="R238" s="6">
        <f t="shared" si="49"/>
        <v>-9.0949470177292824E-13</v>
      </c>
      <c r="S238" s="6" t="str">
        <f t="shared" si="50"/>
        <v>OK</v>
      </c>
    </row>
    <row r="239" spans="1:19" x14ac:dyDescent="0.25">
      <c r="A239" s="3" t="str">
        <f t="shared" si="51"/>
        <v>01.07.2026</v>
      </c>
      <c r="B239" s="5">
        <v>30</v>
      </c>
      <c r="C239" s="5" t="s">
        <v>88</v>
      </c>
      <c r="D239" s="3">
        <v>14.04</v>
      </c>
      <c r="E239" s="3">
        <v>14.25281</v>
      </c>
      <c r="F239" s="6">
        <f t="shared" si="39"/>
        <v>0.21281000000000105</v>
      </c>
      <c r="G239" s="6">
        <f t="shared" si="40"/>
        <v>1.5157407407407484E-2</v>
      </c>
      <c r="H239" s="6" t="str">
        <f t="shared" si="41"/>
        <v>🟢 Over-injection</v>
      </c>
      <c r="I239" s="6">
        <f t="shared" si="42"/>
        <v>-0.21281000000000105</v>
      </c>
      <c r="J239" s="3">
        <v>3.2706</v>
      </c>
      <c r="K239" s="6">
        <f t="shared" si="43"/>
        <v>2.1059999999999999</v>
      </c>
      <c r="L239" s="6">
        <f t="shared" si="44"/>
        <v>2.8079999999999998</v>
      </c>
      <c r="M239" s="6">
        <f t="shared" si="45"/>
        <v>0.21281000000000105</v>
      </c>
      <c r="N239" s="6">
        <f t="shared" si="46"/>
        <v>0</v>
      </c>
      <c r="O239" s="6">
        <f t="shared" si="47"/>
        <v>0</v>
      </c>
      <c r="P239" s="6">
        <f t="shared" si="48"/>
        <v>-139.20327720000068</v>
      </c>
      <c r="Q239" s="3">
        <v>-139.2032772</v>
      </c>
      <c r="R239" s="6">
        <f t="shared" si="49"/>
        <v>-6.8212102632969618E-13</v>
      </c>
      <c r="S239" s="6" t="str">
        <f t="shared" si="50"/>
        <v>OK</v>
      </c>
    </row>
    <row r="240" spans="1:19" x14ac:dyDescent="0.25">
      <c r="A240" s="3" t="str">
        <f t="shared" si="51"/>
        <v>01.07.2026</v>
      </c>
      <c r="B240" s="5">
        <v>31</v>
      </c>
      <c r="C240" s="5" t="s">
        <v>87</v>
      </c>
      <c r="D240" s="3">
        <v>14.04</v>
      </c>
      <c r="E240" s="3">
        <v>14.25281</v>
      </c>
      <c r="F240" s="6">
        <f t="shared" si="39"/>
        <v>0.21281000000000105</v>
      </c>
      <c r="G240" s="6">
        <f t="shared" si="40"/>
        <v>1.5157407407407484E-2</v>
      </c>
      <c r="H240" s="6" t="str">
        <f t="shared" si="41"/>
        <v>🟢 Over-injection</v>
      </c>
      <c r="I240" s="6">
        <f t="shared" si="42"/>
        <v>-0.21281000000000105</v>
      </c>
      <c r="J240" s="3">
        <v>2.9511000000000003</v>
      </c>
      <c r="K240" s="6">
        <f t="shared" si="43"/>
        <v>2.1059999999999999</v>
      </c>
      <c r="L240" s="6">
        <f t="shared" si="44"/>
        <v>2.8079999999999998</v>
      </c>
      <c r="M240" s="6">
        <f t="shared" si="45"/>
        <v>0.21281000000000105</v>
      </c>
      <c r="N240" s="6">
        <f t="shared" si="46"/>
        <v>0</v>
      </c>
      <c r="O240" s="6">
        <f t="shared" si="47"/>
        <v>0</v>
      </c>
      <c r="P240" s="6">
        <f t="shared" si="48"/>
        <v>-125.60471820000063</v>
      </c>
      <c r="Q240" s="3">
        <v>-125.60471820000002</v>
      </c>
      <c r="R240" s="6">
        <f t="shared" si="49"/>
        <v>-6.1106675275368616E-13</v>
      </c>
      <c r="S240" s="6" t="str">
        <f t="shared" si="50"/>
        <v>OK</v>
      </c>
    </row>
    <row r="241" spans="1:19" x14ac:dyDescent="0.25">
      <c r="A241" s="3" t="str">
        <f t="shared" si="51"/>
        <v>01.07.2026</v>
      </c>
      <c r="B241" s="5">
        <v>32</v>
      </c>
      <c r="C241" s="5" t="s">
        <v>86</v>
      </c>
      <c r="D241" s="3">
        <v>14.04</v>
      </c>
      <c r="E241" s="3">
        <v>14.25281</v>
      </c>
      <c r="F241" s="6">
        <f t="shared" si="39"/>
        <v>0.21281000000000105</v>
      </c>
      <c r="G241" s="6">
        <f t="shared" si="40"/>
        <v>1.5157407407407484E-2</v>
      </c>
      <c r="H241" s="6" t="str">
        <f t="shared" si="41"/>
        <v>🟢 Over-injection</v>
      </c>
      <c r="I241" s="6">
        <f t="shared" si="42"/>
        <v>-0.21281000000000105</v>
      </c>
      <c r="J241" s="3">
        <v>2.6107</v>
      </c>
      <c r="K241" s="6">
        <f t="shared" si="43"/>
        <v>2.1059999999999999</v>
      </c>
      <c r="L241" s="6">
        <f t="shared" si="44"/>
        <v>2.8079999999999998</v>
      </c>
      <c r="M241" s="6">
        <f t="shared" si="45"/>
        <v>0.21281000000000105</v>
      </c>
      <c r="N241" s="6">
        <f t="shared" si="46"/>
        <v>0</v>
      </c>
      <c r="O241" s="6">
        <f t="shared" si="47"/>
        <v>0</v>
      </c>
      <c r="P241" s="6">
        <f t="shared" si="48"/>
        <v>-111.11661340000055</v>
      </c>
      <c r="Q241" s="3">
        <v>-111.11661340000001</v>
      </c>
      <c r="R241" s="6">
        <f t="shared" si="49"/>
        <v>-5.4001247917767614E-13</v>
      </c>
      <c r="S241" s="6" t="str">
        <f t="shared" si="50"/>
        <v>OK</v>
      </c>
    </row>
    <row r="242" spans="1:19" x14ac:dyDescent="0.25">
      <c r="A242" s="3" t="str">
        <f t="shared" si="51"/>
        <v>01.07.2026</v>
      </c>
      <c r="B242" s="5">
        <v>33</v>
      </c>
      <c r="C242" s="5" t="s">
        <v>85</v>
      </c>
      <c r="D242" s="3">
        <v>14.04</v>
      </c>
      <c r="E242" s="3">
        <v>14.25281</v>
      </c>
      <c r="F242" s="6">
        <f t="shared" si="39"/>
        <v>0.21281000000000105</v>
      </c>
      <c r="G242" s="6">
        <f t="shared" si="40"/>
        <v>1.5157407407407484E-2</v>
      </c>
      <c r="H242" s="6" t="str">
        <f t="shared" si="41"/>
        <v>🟢 Over-injection</v>
      </c>
      <c r="I242" s="6">
        <f t="shared" si="42"/>
        <v>-0.21281000000000105</v>
      </c>
      <c r="J242" s="3">
        <v>2.0802999999999998</v>
      </c>
      <c r="K242" s="6">
        <f t="shared" si="43"/>
        <v>2.1059999999999999</v>
      </c>
      <c r="L242" s="6">
        <f t="shared" si="44"/>
        <v>2.8079999999999998</v>
      </c>
      <c r="M242" s="6">
        <f t="shared" si="45"/>
        <v>0.21281000000000105</v>
      </c>
      <c r="N242" s="6">
        <f t="shared" si="46"/>
        <v>0</v>
      </c>
      <c r="O242" s="6">
        <f t="shared" si="47"/>
        <v>0</v>
      </c>
      <c r="P242" s="6">
        <f t="shared" si="48"/>
        <v>-88.541728600000425</v>
      </c>
      <c r="Q242" s="3">
        <v>-88.541728599999999</v>
      </c>
      <c r="R242" s="6">
        <f t="shared" si="49"/>
        <v>-4.2632564145606011E-13</v>
      </c>
      <c r="S242" s="6" t="str">
        <f t="shared" si="50"/>
        <v>OK</v>
      </c>
    </row>
    <row r="243" spans="1:19" x14ac:dyDescent="0.25">
      <c r="A243" s="3" t="str">
        <f t="shared" si="51"/>
        <v>01.07.2026</v>
      </c>
      <c r="B243" s="5">
        <v>34</v>
      </c>
      <c r="C243" s="5" t="s">
        <v>84</v>
      </c>
      <c r="D243" s="3">
        <v>14.04</v>
      </c>
      <c r="E243" s="3">
        <v>14.264150000000001</v>
      </c>
      <c r="F243" s="6">
        <f t="shared" si="39"/>
        <v>0.22415000000000163</v>
      </c>
      <c r="G243" s="6">
        <f t="shared" si="40"/>
        <v>1.5965099715099833E-2</v>
      </c>
      <c r="H243" s="6" t="str">
        <f t="shared" si="41"/>
        <v>🟢 Over-injection</v>
      </c>
      <c r="I243" s="6">
        <f t="shared" si="42"/>
        <v>-0.22415000000000163</v>
      </c>
      <c r="J243" s="3">
        <v>2.0865</v>
      </c>
      <c r="K243" s="6">
        <f t="shared" si="43"/>
        <v>2.1059999999999999</v>
      </c>
      <c r="L243" s="6">
        <f t="shared" si="44"/>
        <v>2.8079999999999998</v>
      </c>
      <c r="M243" s="6">
        <f t="shared" si="45"/>
        <v>0.22415000000000163</v>
      </c>
      <c r="N243" s="6">
        <f t="shared" si="46"/>
        <v>0</v>
      </c>
      <c r="O243" s="6">
        <f t="shared" si="47"/>
        <v>0</v>
      </c>
      <c r="P243" s="6">
        <f t="shared" si="48"/>
        <v>-93.537795000000685</v>
      </c>
      <c r="Q243" s="3">
        <v>-93.537794999999988</v>
      </c>
      <c r="R243" s="6">
        <f t="shared" si="49"/>
        <v>-6.9633188104489818E-13</v>
      </c>
      <c r="S243" s="6" t="str">
        <f t="shared" si="50"/>
        <v>OK</v>
      </c>
    </row>
    <row r="244" spans="1:19" x14ac:dyDescent="0.25">
      <c r="A244" s="3" t="str">
        <f t="shared" si="51"/>
        <v>01.07.2026</v>
      </c>
      <c r="B244" s="5">
        <v>35</v>
      </c>
      <c r="C244" s="5" t="s">
        <v>83</v>
      </c>
      <c r="D244" s="3">
        <v>14.04</v>
      </c>
      <c r="E244" s="3">
        <v>14.264150000000001</v>
      </c>
      <c r="F244" s="6">
        <f t="shared" si="39"/>
        <v>0.22415000000000163</v>
      </c>
      <c r="G244" s="6">
        <f t="shared" si="40"/>
        <v>1.5965099715099833E-2</v>
      </c>
      <c r="H244" s="6" t="str">
        <f t="shared" si="41"/>
        <v>🟢 Over-injection</v>
      </c>
      <c r="I244" s="6">
        <f t="shared" si="42"/>
        <v>-0.22415000000000163</v>
      </c>
      <c r="J244" s="3">
        <v>1.7338</v>
      </c>
      <c r="K244" s="6">
        <f t="shared" si="43"/>
        <v>2.1059999999999999</v>
      </c>
      <c r="L244" s="6">
        <f t="shared" si="44"/>
        <v>2.8079999999999998</v>
      </c>
      <c r="M244" s="6">
        <f t="shared" si="45"/>
        <v>0.22415000000000163</v>
      </c>
      <c r="N244" s="6">
        <f t="shared" si="46"/>
        <v>0</v>
      </c>
      <c r="O244" s="6">
        <f t="shared" si="47"/>
        <v>0</v>
      </c>
      <c r="P244" s="6">
        <f t="shared" si="48"/>
        <v>-77.726254000000566</v>
      </c>
      <c r="Q244" s="3">
        <v>-77.726253999999997</v>
      </c>
      <c r="R244" s="6">
        <f t="shared" si="49"/>
        <v>-5.6843418860808015E-13</v>
      </c>
      <c r="S244" s="6" t="str">
        <f t="shared" si="50"/>
        <v>OK</v>
      </c>
    </row>
    <row r="245" spans="1:19" x14ac:dyDescent="0.25">
      <c r="A245" s="3" t="str">
        <f t="shared" si="51"/>
        <v>01.07.2026</v>
      </c>
      <c r="B245" s="5">
        <v>36</v>
      </c>
      <c r="C245" s="5" t="s">
        <v>82</v>
      </c>
      <c r="D245" s="3">
        <v>14.04</v>
      </c>
      <c r="E245" s="3">
        <v>14.264150000000001</v>
      </c>
      <c r="F245" s="6">
        <f t="shared" si="39"/>
        <v>0.22415000000000163</v>
      </c>
      <c r="G245" s="6">
        <f t="shared" si="40"/>
        <v>1.5965099715099833E-2</v>
      </c>
      <c r="H245" s="6" t="str">
        <f t="shared" si="41"/>
        <v>🟢 Over-injection</v>
      </c>
      <c r="I245" s="6">
        <f t="shared" si="42"/>
        <v>-0.22415000000000163</v>
      </c>
      <c r="J245" s="3">
        <v>1.4396</v>
      </c>
      <c r="K245" s="6">
        <f t="shared" si="43"/>
        <v>2.1059999999999999</v>
      </c>
      <c r="L245" s="6">
        <f t="shared" si="44"/>
        <v>2.8079999999999998</v>
      </c>
      <c r="M245" s="6">
        <f t="shared" si="45"/>
        <v>0.22415000000000163</v>
      </c>
      <c r="N245" s="6">
        <f t="shared" si="46"/>
        <v>0</v>
      </c>
      <c r="O245" s="6">
        <f t="shared" si="47"/>
        <v>0</v>
      </c>
      <c r="P245" s="6">
        <f t="shared" si="48"/>
        <v>-64.537268000000466</v>
      </c>
      <c r="Q245" s="3">
        <v>-64.537267999999997</v>
      </c>
      <c r="R245" s="6">
        <f t="shared" si="49"/>
        <v>-4.6895820560166612E-13</v>
      </c>
      <c r="S245" s="6" t="str">
        <f t="shared" si="50"/>
        <v>OK</v>
      </c>
    </row>
    <row r="246" spans="1:19" x14ac:dyDescent="0.25">
      <c r="A246" s="3" t="str">
        <f t="shared" si="51"/>
        <v>01.07.2026</v>
      </c>
      <c r="B246" s="5">
        <v>37</v>
      </c>
      <c r="C246" s="5" t="s">
        <v>81</v>
      </c>
      <c r="D246" s="3">
        <v>14.04</v>
      </c>
      <c r="E246" s="3">
        <v>14.264150000000001</v>
      </c>
      <c r="F246" s="6">
        <f t="shared" si="39"/>
        <v>0.22415000000000163</v>
      </c>
      <c r="G246" s="6">
        <f t="shared" si="40"/>
        <v>1.5965099715099833E-2</v>
      </c>
      <c r="H246" s="6" t="str">
        <f t="shared" si="41"/>
        <v>🟢 Over-injection</v>
      </c>
      <c r="I246" s="6">
        <f t="shared" si="42"/>
        <v>-0.22415000000000163</v>
      </c>
      <c r="J246" s="3">
        <v>1.3368</v>
      </c>
      <c r="K246" s="6">
        <f t="shared" si="43"/>
        <v>2.1059999999999999</v>
      </c>
      <c r="L246" s="6">
        <f t="shared" si="44"/>
        <v>2.8079999999999998</v>
      </c>
      <c r="M246" s="6">
        <f t="shared" si="45"/>
        <v>0.22415000000000163</v>
      </c>
      <c r="N246" s="6">
        <f t="shared" si="46"/>
        <v>0</v>
      </c>
      <c r="O246" s="6">
        <f t="shared" si="47"/>
        <v>0</v>
      </c>
      <c r="P246" s="6">
        <f t="shared" si="48"/>
        <v>-59.928744000000435</v>
      </c>
      <c r="Q246" s="3">
        <v>-59.928743999999995</v>
      </c>
      <c r="R246" s="6">
        <f t="shared" si="49"/>
        <v>-4.4053649617126212E-13</v>
      </c>
      <c r="S246" s="6" t="str">
        <f t="shared" si="50"/>
        <v>OK</v>
      </c>
    </row>
    <row r="247" spans="1:19" x14ac:dyDescent="0.25">
      <c r="A247" s="3" t="str">
        <f t="shared" si="51"/>
        <v>01.07.2026</v>
      </c>
      <c r="B247" s="5">
        <v>38</v>
      </c>
      <c r="C247" s="5" t="s">
        <v>80</v>
      </c>
      <c r="D247" s="3">
        <v>14.04</v>
      </c>
      <c r="E247" s="3">
        <v>14.264150000000001</v>
      </c>
      <c r="F247" s="6">
        <f t="shared" si="39"/>
        <v>0.22415000000000163</v>
      </c>
      <c r="G247" s="6">
        <f t="shared" si="40"/>
        <v>1.5965099715099833E-2</v>
      </c>
      <c r="H247" s="6" t="str">
        <f t="shared" si="41"/>
        <v>🟢 Over-injection</v>
      </c>
      <c r="I247" s="6">
        <f t="shared" si="42"/>
        <v>-0.22415000000000163</v>
      </c>
      <c r="J247" s="3">
        <v>1.3463000000000001</v>
      </c>
      <c r="K247" s="6">
        <f t="shared" si="43"/>
        <v>2.1059999999999999</v>
      </c>
      <c r="L247" s="6">
        <f t="shared" si="44"/>
        <v>2.8079999999999998</v>
      </c>
      <c r="M247" s="6">
        <f t="shared" si="45"/>
        <v>0.22415000000000163</v>
      </c>
      <c r="N247" s="6">
        <f t="shared" si="46"/>
        <v>0</v>
      </c>
      <c r="O247" s="6">
        <f t="shared" si="47"/>
        <v>0</v>
      </c>
      <c r="P247" s="6">
        <f t="shared" si="48"/>
        <v>-60.354629000000443</v>
      </c>
      <c r="Q247" s="3">
        <v>-60.354629000000003</v>
      </c>
      <c r="R247" s="6">
        <f t="shared" si="49"/>
        <v>-4.4053649617126212E-13</v>
      </c>
      <c r="S247" s="6" t="str">
        <f t="shared" si="50"/>
        <v>OK</v>
      </c>
    </row>
    <row r="248" spans="1:19" x14ac:dyDescent="0.25">
      <c r="A248" s="3" t="str">
        <f t="shared" si="51"/>
        <v>01.07.2026</v>
      </c>
      <c r="B248" s="5">
        <v>39</v>
      </c>
      <c r="C248" s="5" t="s">
        <v>79</v>
      </c>
      <c r="D248" s="3">
        <v>14.04</v>
      </c>
      <c r="E248" s="3">
        <v>14.264150000000001</v>
      </c>
      <c r="F248" s="6">
        <f t="shared" si="39"/>
        <v>0.22415000000000163</v>
      </c>
      <c r="G248" s="6">
        <f t="shared" si="40"/>
        <v>1.5965099715099833E-2</v>
      </c>
      <c r="H248" s="6" t="str">
        <f t="shared" si="41"/>
        <v>🟢 Over-injection</v>
      </c>
      <c r="I248" s="6">
        <f t="shared" si="42"/>
        <v>-0.22415000000000163</v>
      </c>
      <c r="J248" s="3">
        <v>1.3995</v>
      </c>
      <c r="K248" s="6">
        <f t="shared" si="43"/>
        <v>2.1059999999999999</v>
      </c>
      <c r="L248" s="6">
        <f t="shared" si="44"/>
        <v>2.8079999999999998</v>
      </c>
      <c r="M248" s="6">
        <f t="shared" si="45"/>
        <v>0.22415000000000163</v>
      </c>
      <c r="N248" s="6">
        <f t="shared" si="46"/>
        <v>0</v>
      </c>
      <c r="O248" s="6">
        <f t="shared" si="47"/>
        <v>0</v>
      </c>
      <c r="P248" s="6">
        <f t="shared" si="48"/>
        <v>-62.73958500000046</v>
      </c>
      <c r="Q248" s="3">
        <v>-62.739584999999984</v>
      </c>
      <c r="R248" s="6">
        <f t="shared" si="49"/>
        <v>-4.7606363295926712E-13</v>
      </c>
      <c r="S248" s="6" t="str">
        <f t="shared" si="50"/>
        <v>OK</v>
      </c>
    </row>
    <row r="249" spans="1:19" x14ac:dyDescent="0.25">
      <c r="A249" s="3" t="str">
        <f t="shared" si="51"/>
        <v>01.07.2026</v>
      </c>
      <c r="B249" s="5">
        <v>40</v>
      </c>
      <c r="C249" s="5" t="s">
        <v>78</v>
      </c>
      <c r="D249" s="3">
        <v>14.04</v>
      </c>
      <c r="E249" s="3">
        <v>14.264150000000001</v>
      </c>
      <c r="F249" s="6">
        <f t="shared" si="39"/>
        <v>0.22415000000000163</v>
      </c>
      <c r="G249" s="6">
        <f t="shared" si="40"/>
        <v>1.5965099715099833E-2</v>
      </c>
      <c r="H249" s="6" t="str">
        <f t="shared" si="41"/>
        <v>🟢 Over-injection</v>
      </c>
      <c r="I249" s="6">
        <f t="shared" si="42"/>
        <v>-0.22415000000000163</v>
      </c>
      <c r="J249" s="3">
        <v>1.3966999999999998</v>
      </c>
      <c r="K249" s="6">
        <f t="shared" si="43"/>
        <v>2.1059999999999999</v>
      </c>
      <c r="L249" s="6">
        <f t="shared" si="44"/>
        <v>2.8079999999999998</v>
      </c>
      <c r="M249" s="6">
        <f t="shared" si="45"/>
        <v>0.22415000000000163</v>
      </c>
      <c r="N249" s="6">
        <f t="shared" si="46"/>
        <v>0</v>
      </c>
      <c r="O249" s="6">
        <f t="shared" si="47"/>
        <v>0</v>
      </c>
      <c r="P249" s="6">
        <f t="shared" si="48"/>
        <v>-62.614061000000454</v>
      </c>
      <c r="Q249" s="3">
        <v>-62.614060999999985</v>
      </c>
      <c r="R249" s="6">
        <f t="shared" si="49"/>
        <v>-4.6895820560166612E-13</v>
      </c>
      <c r="S249" s="6" t="str">
        <f t="shared" si="50"/>
        <v>OK</v>
      </c>
    </row>
    <row r="250" spans="1:19" x14ac:dyDescent="0.25">
      <c r="A250" s="3" t="str">
        <f t="shared" si="51"/>
        <v>01.07.2026</v>
      </c>
      <c r="B250" s="5">
        <v>41</v>
      </c>
      <c r="C250" s="5" t="s">
        <v>77</v>
      </c>
      <c r="D250" s="3">
        <v>14.04</v>
      </c>
      <c r="E250" s="3">
        <v>14.264150000000001</v>
      </c>
      <c r="F250" s="6">
        <f t="shared" si="39"/>
        <v>0.22415000000000163</v>
      </c>
      <c r="G250" s="6">
        <f t="shared" si="40"/>
        <v>1.5965099715099833E-2</v>
      </c>
      <c r="H250" s="6" t="str">
        <f t="shared" si="41"/>
        <v>🟢 Over-injection</v>
      </c>
      <c r="I250" s="6">
        <f t="shared" si="42"/>
        <v>-0.22415000000000163</v>
      </c>
      <c r="J250" s="3">
        <v>1.1155999999999999</v>
      </c>
      <c r="K250" s="6">
        <f t="shared" si="43"/>
        <v>2.1059999999999999</v>
      </c>
      <c r="L250" s="6">
        <f t="shared" si="44"/>
        <v>2.8079999999999998</v>
      </c>
      <c r="M250" s="6">
        <f t="shared" si="45"/>
        <v>0.22415000000000163</v>
      </c>
      <c r="N250" s="6">
        <f t="shared" si="46"/>
        <v>0</v>
      </c>
      <c r="O250" s="6">
        <f t="shared" si="47"/>
        <v>0</v>
      </c>
      <c r="P250" s="6">
        <f t="shared" si="48"/>
        <v>-50.012348000000365</v>
      </c>
      <c r="Q250" s="3">
        <v>-50.012347999999989</v>
      </c>
      <c r="R250" s="6">
        <f t="shared" si="49"/>
        <v>-3.765876499528531E-13</v>
      </c>
      <c r="S250" s="6" t="str">
        <f t="shared" si="50"/>
        <v>OK</v>
      </c>
    </row>
    <row r="251" spans="1:19" x14ac:dyDescent="0.25">
      <c r="A251" s="3" t="str">
        <f t="shared" si="51"/>
        <v>01.07.2026</v>
      </c>
      <c r="B251" s="5">
        <v>42</v>
      </c>
      <c r="C251" s="5" t="s">
        <v>76</v>
      </c>
      <c r="D251" s="3">
        <v>14.04</v>
      </c>
      <c r="E251" s="3">
        <v>14.264150000000001</v>
      </c>
      <c r="F251" s="6">
        <f t="shared" si="39"/>
        <v>0.22415000000000163</v>
      </c>
      <c r="G251" s="6">
        <f t="shared" si="40"/>
        <v>1.5965099715099833E-2</v>
      </c>
      <c r="H251" s="6" t="str">
        <f t="shared" si="41"/>
        <v>🟢 Over-injection</v>
      </c>
      <c r="I251" s="6">
        <f t="shared" si="42"/>
        <v>-0.22415000000000163</v>
      </c>
      <c r="J251" s="3">
        <v>1.1171</v>
      </c>
      <c r="K251" s="6">
        <f t="shared" si="43"/>
        <v>2.1059999999999999</v>
      </c>
      <c r="L251" s="6">
        <f t="shared" si="44"/>
        <v>2.8079999999999998</v>
      </c>
      <c r="M251" s="6">
        <f t="shared" si="45"/>
        <v>0.22415000000000163</v>
      </c>
      <c r="N251" s="6">
        <f t="shared" si="46"/>
        <v>0</v>
      </c>
      <c r="O251" s="6">
        <f t="shared" si="47"/>
        <v>0</v>
      </c>
      <c r="P251" s="6">
        <f t="shared" si="48"/>
        <v>-50.079593000000365</v>
      </c>
      <c r="Q251" s="3">
        <v>-50.079592999999996</v>
      </c>
      <c r="R251" s="6">
        <f t="shared" si="49"/>
        <v>-3.694822225952521E-13</v>
      </c>
      <c r="S251" s="6" t="str">
        <f t="shared" si="50"/>
        <v>OK</v>
      </c>
    </row>
    <row r="252" spans="1:19" x14ac:dyDescent="0.25">
      <c r="A252" s="3" t="str">
        <f t="shared" si="51"/>
        <v>01.07.2026</v>
      </c>
      <c r="B252" s="5">
        <v>43</v>
      </c>
      <c r="C252" s="5" t="s">
        <v>75</v>
      </c>
      <c r="D252" s="3">
        <v>14.04</v>
      </c>
      <c r="E252" s="3">
        <v>14.264150000000001</v>
      </c>
      <c r="F252" s="6">
        <f t="shared" si="39"/>
        <v>0.22415000000000163</v>
      </c>
      <c r="G252" s="6">
        <f t="shared" si="40"/>
        <v>1.5965099715099833E-2</v>
      </c>
      <c r="H252" s="6" t="str">
        <f t="shared" si="41"/>
        <v>🟢 Over-injection</v>
      </c>
      <c r="I252" s="6">
        <f t="shared" si="42"/>
        <v>-0.22415000000000163</v>
      </c>
      <c r="J252" s="3">
        <v>1.0932999999999999</v>
      </c>
      <c r="K252" s="6">
        <f t="shared" si="43"/>
        <v>2.1059999999999999</v>
      </c>
      <c r="L252" s="6">
        <f t="shared" si="44"/>
        <v>2.8079999999999998</v>
      </c>
      <c r="M252" s="6">
        <f t="shared" si="45"/>
        <v>0.22415000000000163</v>
      </c>
      <c r="N252" s="6">
        <f t="shared" si="46"/>
        <v>0</v>
      </c>
      <c r="O252" s="6">
        <f t="shared" si="47"/>
        <v>0</v>
      </c>
      <c r="P252" s="6">
        <f t="shared" si="48"/>
        <v>-49.012639000000355</v>
      </c>
      <c r="Q252" s="3">
        <v>-49.012639</v>
      </c>
      <c r="R252" s="6">
        <f t="shared" si="49"/>
        <v>-3.5527136788005009E-13</v>
      </c>
      <c r="S252" s="6" t="str">
        <f t="shared" si="50"/>
        <v>OK</v>
      </c>
    </row>
    <row r="253" spans="1:19" x14ac:dyDescent="0.25">
      <c r="A253" s="3" t="str">
        <f t="shared" si="51"/>
        <v>01.07.2026</v>
      </c>
      <c r="B253" s="5">
        <v>44</v>
      </c>
      <c r="C253" s="5" t="s">
        <v>74</v>
      </c>
      <c r="D253" s="3">
        <v>14.04</v>
      </c>
      <c r="E253" s="3">
        <v>14.264150000000001</v>
      </c>
      <c r="F253" s="6">
        <f t="shared" si="39"/>
        <v>0.22415000000000163</v>
      </c>
      <c r="G253" s="6">
        <f t="shared" si="40"/>
        <v>1.5965099715099833E-2</v>
      </c>
      <c r="H253" s="6" t="str">
        <f t="shared" si="41"/>
        <v>🟢 Over-injection</v>
      </c>
      <c r="I253" s="6">
        <f t="shared" si="42"/>
        <v>-0.22415000000000163</v>
      </c>
      <c r="J253" s="3">
        <v>1.0932999999999999</v>
      </c>
      <c r="K253" s="6">
        <f t="shared" si="43"/>
        <v>2.1059999999999999</v>
      </c>
      <c r="L253" s="6">
        <f t="shared" si="44"/>
        <v>2.8079999999999998</v>
      </c>
      <c r="M253" s="6">
        <f t="shared" si="45"/>
        <v>0.22415000000000163</v>
      </c>
      <c r="N253" s="6">
        <f t="shared" si="46"/>
        <v>0</v>
      </c>
      <c r="O253" s="6">
        <f t="shared" si="47"/>
        <v>0</v>
      </c>
      <c r="P253" s="6">
        <f t="shared" si="48"/>
        <v>-49.012639000000355</v>
      </c>
      <c r="Q253" s="3">
        <v>-49.012639</v>
      </c>
      <c r="R253" s="6">
        <f t="shared" si="49"/>
        <v>-3.5527136788005009E-13</v>
      </c>
      <c r="S253" s="6" t="str">
        <f t="shared" si="50"/>
        <v>OK</v>
      </c>
    </row>
    <row r="254" spans="1:19" x14ac:dyDescent="0.25">
      <c r="A254" s="3" t="str">
        <f t="shared" si="51"/>
        <v>01.07.2026</v>
      </c>
      <c r="B254" s="5">
        <v>45</v>
      </c>
      <c r="C254" s="5" t="s">
        <v>73</v>
      </c>
      <c r="D254" s="3">
        <v>14.04</v>
      </c>
      <c r="E254" s="3">
        <v>14.264150000000001</v>
      </c>
      <c r="F254" s="6">
        <f t="shared" si="39"/>
        <v>0.22415000000000163</v>
      </c>
      <c r="G254" s="6">
        <f t="shared" si="40"/>
        <v>1.5965099715099833E-2</v>
      </c>
      <c r="H254" s="6" t="str">
        <f t="shared" si="41"/>
        <v>🟢 Over-injection</v>
      </c>
      <c r="I254" s="6">
        <f t="shared" si="42"/>
        <v>-0.22415000000000163</v>
      </c>
      <c r="J254" s="3">
        <v>1.1116999999999999</v>
      </c>
      <c r="K254" s="6">
        <f t="shared" si="43"/>
        <v>2.1059999999999999</v>
      </c>
      <c r="L254" s="6">
        <f t="shared" si="44"/>
        <v>2.8079999999999998</v>
      </c>
      <c r="M254" s="6">
        <f t="shared" si="45"/>
        <v>0.22415000000000163</v>
      </c>
      <c r="N254" s="6">
        <f t="shared" si="46"/>
        <v>0</v>
      </c>
      <c r="O254" s="6">
        <f t="shared" si="47"/>
        <v>0</v>
      </c>
      <c r="P254" s="6">
        <f t="shared" si="48"/>
        <v>-49.837511000000362</v>
      </c>
      <c r="Q254" s="3">
        <v>-49.837510999999992</v>
      </c>
      <c r="R254" s="6">
        <f t="shared" si="49"/>
        <v>-3.694822225952521E-13</v>
      </c>
      <c r="S254" s="6" t="str">
        <f t="shared" si="50"/>
        <v>OK</v>
      </c>
    </row>
    <row r="255" spans="1:19" x14ac:dyDescent="0.25">
      <c r="A255" s="3" t="str">
        <f t="shared" si="51"/>
        <v>01.07.2026</v>
      </c>
      <c r="B255" s="5">
        <v>46</v>
      </c>
      <c r="C255" s="5" t="s">
        <v>72</v>
      </c>
      <c r="D255" s="3">
        <v>14.04</v>
      </c>
      <c r="E255" s="3">
        <v>14.264150000000001</v>
      </c>
      <c r="F255" s="6">
        <f t="shared" si="39"/>
        <v>0.22415000000000163</v>
      </c>
      <c r="G255" s="6">
        <f t="shared" si="40"/>
        <v>1.5965099715099833E-2</v>
      </c>
      <c r="H255" s="6" t="str">
        <f t="shared" si="41"/>
        <v>🟢 Over-injection</v>
      </c>
      <c r="I255" s="6">
        <f t="shared" si="42"/>
        <v>-0.22415000000000163</v>
      </c>
      <c r="J255" s="3">
        <v>1.1161000000000001</v>
      </c>
      <c r="K255" s="6">
        <f t="shared" si="43"/>
        <v>2.1059999999999999</v>
      </c>
      <c r="L255" s="6">
        <f t="shared" si="44"/>
        <v>2.8079999999999998</v>
      </c>
      <c r="M255" s="6">
        <f t="shared" si="45"/>
        <v>0.22415000000000163</v>
      </c>
      <c r="N255" s="6">
        <f t="shared" si="46"/>
        <v>0</v>
      </c>
      <c r="O255" s="6">
        <f t="shared" si="47"/>
        <v>0</v>
      </c>
      <c r="P255" s="6">
        <f t="shared" si="48"/>
        <v>-50.034763000000368</v>
      </c>
      <c r="Q255" s="3">
        <v>-50.034763000000005</v>
      </c>
      <c r="R255" s="6">
        <f t="shared" si="49"/>
        <v>-3.6237679523765109E-13</v>
      </c>
      <c r="S255" s="6" t="str">
        <f t="shared" si="50"/>
        <v>OK</v>
      </c>
    </row>
    <row r="256" spans="1:19" x14ac:dyDescent="0.25">
      <c r="A256" s="3" t="str">
        <f t="shared" si="51"/>
        <v>01.07.2026</v>
      </c>
      <c r="B256" s="5">
        <v>47</v>
      </c>
      <c r="C256" s="5" t="s">
        <v>71</v>
      </c>
      <c r="D256" s="3">
        <v>14.04</v>
      </c>
      <c r="E256" s="3">
        <v>14.275499999999999</v>
      </c>
      <c r="F256" s="6">
        <f t="shared" si="39"/>
        <v>0.23550000000000004</v>
      </c>
      <c r="G256" s="6">
        <f t="shared" si="40"/>
        <v>1.6773504273504276E-2</v>
      </c>
      <c r="H256" s="6" t="str">
        <f t="shared" si="41"/>
        <v>🟢 Over-injection</v>
      </c>
      <c r="I256" s="6">
        <f t="shared" si="42"/>
        <v>-0.23550000000000004</v>
      </c>
      <c r="J256" s="3">
        <v>1.1032999999999999</v>
      </c>
      <c r="K256" s="6">
        <f t="shared" si="43"/>
        <v>2.1059999999999999</v>
      </c>
      <c r="L256" s="6">
        <f t="shared" si="44"/>
        <v>2.8079999999999998</v>
      </c>
      <c r="M256" s="6">
        <f t="shared" si="45"/>
        <v>0.23550000000000004</v>
      </c>
      <c r="N256" s="6">
        <f t="shared" si="46"/>
        <v>0</v>
      </c>
      <c r="O256" s="6">
        <f t="shared" si="47"/>
        <v>0</v>
      </c>
      <c r="P256" s="6">
        <f t="shared" si="48"/>
        <v>-51.965430000000005</v>
      </c>
      <c r="Q256" s="3">
        <v>-51.965429999999991</v>
      </c>
      <c r="R256" s="6">
        <f t="shared" si="49"/>
        <v>0</v>
      </c>
      <c r="S256" s="6" t="str">
        <f t="shared" si="50"/>
        <v>OK</v>
      </c>
    </row>
    <row r="257" spans="1:19" x14ac:dyDescent="0.25">
      <c r="A257" s="3" t="str">
        <f t="shared" si="51"/>
        <v>01.07.2026</v>
      </c>
      <c r="B257" s="5">
        <v>48</v>
      </c>
      <c r="C257" s="5" t="s">
        <v>70</v>
      </c>
      <c r="D257" s="3">
        <v>14.04</v>
      </c>
      <c r="E257" s="3">
        <v>14.264150000000001</v>
      </c>
      <c r="F257" s="6">
        <f t="shared" si="39"/>
        <v>0.22415000000000163</v>
      </c>
      <c r="G257" s="6">
        <f t="shared" si="40"/>
        <v>1.5965099715099833E-2</v>
      </c>
      <c r="H257" s="6" t="str">
        <f t="shared" si="41"/>
        <v>🟢 Over-injection</v>
      </c>
      <c r="I257" s="6">
        <f t="shared" si="42"/>
        <v>-0.22415000000000163</v>
      </c>
      <c r="J257" s="3">
        <v>1.1100000000000001</v>
      </c>
      <c r="K257" s="6">
        <f t="shared" si="43"/>
        <v>2.1059999999999999</v>
      </c>
      <c r="L257" s="6">
        <f t="shared" si="44"/>
        <v>2.8079999999999998</v>
      </c>
      <c r="M257" s="6">
        <f t="shared" si="45"/>
        <v>0.22415000000000163</v>
      </c>
      <c r="N257" s="6">
        <f t="shared" si="46"/>
        <v>0</v>
      </c>
      <c r="O257" s="6">
        <f t="shared" si="47"/>
        <v>0</v>
      </c>
      <c r="P257" s="6">
        <f t="shared" si="48"/>
        <v>-49.761300000000368</v>
      </c>
      <c r="Q257" s="3">
        <v>-49.761299999999999</v>
      </c>
      <c r="R257" s="6">
        <f t="shared" si="49"/>
        <v>-3.694822225952521E-13</v>
      </c>
      <c r="S257" s="6" t="str">
        <f t="shared" si="50"/>
        <v>OK</v>
      </c>
    </row>
    <row r="258" spans="1:19" x14ac:dyDescent="0.25">
      <c r="A258" s="3" t="str">
        <f t="shared" si="51"/>
        <v>01.07.2026</v>
      </c>
      <c r="B258" s="5">
        <v>49</v>
      </c>
      <c r="C258" s="5" t="s">
        <v>69</v>
      </c>
      <c r="D258" s="3">
        <v>14.04</v>
      </c>
      <c r="E258" s="3">
        <v>14.275499999999999</v>
      </c>
      <c r="F258" s="6">
        <f t="shared" si="39"/>
        <v>0.23550000000000004</v>
      </c>
      <c r="G258" s="6">
        <f t="shared" si="40"/>
        <v>1.6773504273504276E-2</v>
      </c>
      <c r="H258" s="6" t="str">
        <f t="shared" si="41"/>
        <v>🟢 Over-injection</v>
      </c>
      <c r="I258" s="6">
        <f t="shared" si="42"/>
        <v>-0.23550000000000004</v>
      </c>
      <c r="J258" s="3">
        <v>1.1123000000000001</v>
      </c>
      <c r="K258" s="6">
        <f t="shared" si="43"/>
        <v>2.1059999999999999</v>
      </c>
      <c r="L258" s="6">
        <f t="shared" si="44"/>
        <v>2.8079999999999998</v>
      </c>
      <c r="M258" s="6">
        <f t="shared" si="45"/>
        <v>0.23550000000000004</v>
      </c>
      <c r="N258" s="6">
        <f t="shared" si="46"/>
        <v>0</v>
      </c>
      <c r="O258" s="6">
        <f t="shared" si="47"/>
        <v>0</v>
      </c>
      <c r="P258" s="6">
        <f t="shared" si="48"/>
        <v>-52.389330000000015</v>
      </c>
      <c r="Q258" s="3">
        <v>-52.389330000000008</v>
      </c>
      <c r="R258" s="6">
        <f t="shared" si="49"/>
        <v>0</v>
      </c>
      <c r="S258" s="6" t="str">
        <f t="shared" si="50"/>
        <v>OK</v>
      </c>
    </row>
    <row r="259" spans="1:19" x14ac:dyDescent="0.25">
      <c r="A259" s="3" t="str">
        <f t="shared" si="51"/>
        <v>01.07.2026</v>
      </c>
      <c r="B259" s="5">
        <v>50</v>
      </c>
      <c r="C259" s="5" t="s">
        <v>68</v>
      </c>
      <c r="D259" s="3">
        <v>14.04</v>
      </c>
      <c r="E259" s="3">
        <v>14.275499999999999</v>
      </c>
      <c r="F259" s="6">
        <f t="shared" si="39"/>
        <v>0.23550000000000004</v>
      </c>
      <c r="G259" s="6">
        <f t="shared" si="40"/>
        <v>1.6773504273504276E-2</v>
      </c>
      <c r="H259" s="6" t="str">
        <f t="shared" si="41"/>
        <v>🟢 Over-injection</v>
      </c>
      <c r="I259" s="6">
        <f t="shared" si="42"/>
        <v>-0.23550000000000004</v>
      </c>
      <c r="J259" s="3">
        <v>1.1218999999999999</v>
      </c>
      <c r="K259" s="6">
        <f t="shared" si="43"/>
        <v>2.1059999999999999</v>
      </c>
      <c r="L259" s="6">
        <f t="shared" si="44"/>
        <v>2.8079999999999998</v>
      </c>
      <c r="M259" s="6">
        <f t="shared" si="45"/>
        <v>0.23550000000000004</v>
      </c>
      <c r="N259" s="6">
        <f t="shared" si="46"/>
        <v>0</v>
      </c>
      <c r="O259" s="6">
        <f t="shared" si="47"/>
        <v>0</v>
      </c>
      <c r="P259" s="6">
        <f t="shared" si="48"/>
        <v>-52.841490000000007</v>
      </c>
      <c r="Q259" s="3">
        <v>-52.84149</v>
      </c>
      <c r="R259" s="6">
        <f t="shared" si="49"/>
        <v>0</v>
      </c>
      <c r="S259" s="6" t="str">
        <f t="shared" si="50"/>
        <v>OK</v>
      </c>
    </row>
    <row r="260" spans="1:19" x14ac:dyDescent="0.25">
      <c r="A260" s="3" t="str">
        <f t="shared" si="51"/>
        <v>01.07.2026</v>
      </c>
      <c r="B260" s="5">
        <v>51</v>
      </c>
      <c r="C260" s="5" t="s">
        <v>67</v>
      </c>
      <c r="D260" s="3">
        <v>14.04</v>
      </c>
      <c r="E260" s="3">
        <v>14.275499999999999</v>
      </c>
      <c r="F260" s="6">
        <f t="shared" si="39"/>
        <v>0.23550000000000004</v>
      </c>
      <c r="G260" s="6">
        <f t="shared" si="40"/>
        <v>1.6773504273504276E-2</v>
      </c>
      <c r="H260" s="6" t="str">
        <f t="shared" si="41"/>
        <v>🟢 Over-injection</v>
      </c>
      <c r="I260" s="6">
        <f t="shared" si="42"/>
        <v>-0.23550000000000004</v>
      </c>
      <c r="J260" s="3">
        <v>1.1146</v>
      </c>
      <c r="K260" s="6">
        <f t="shared" si="43"/>
        <v>2.1059999999999999</v>
      </c>
      <c r="L260" s="6">
        <f t="shared" si="44"/>
        <v>2.8079999999999998</v>
      </c>
      <c r="M260" s="6">
        <f t="shared" si="45"/>
        <v>0.23550000000000004</v>
      </c>
      <c r="N260" s="6">
        <f t="shared" si="46"/>
        <v>0</v>
      </c>
      <c r="O260" s="6">
        <f t="shared" si="47"/>
        <v>0</v>
      </c>
      <c r="P260" s="6">
        <f t="shared" si="48"/>
        <v>-52.497660000000018</v>
      </c>
      <c r="Q260" s="3">
        <v>-52.497660000000003</v>
      </c>
      <c r="R260" s="6">
        <f t="shared" si="49"/>
        <v>0</v>
      </c>
      <c r="S260" s="6" t="str">
        <f t="shared" si="50"/>
        <v>OK</v>
      </c>
    </row>
    <row r="261" spans="1:19" x14ac:dyDescent="0.25">
      <c r="A261" s="3" t="str">
        <f t="shared" si="51"/>
        <v>01.07.2026</v>
      </c>
      <c r="B261" s="5">
        <v>52</v>
      </c>
      <c r="C261" s="5" t="s">
        <v>66</v>
      </c>
      <c r="D261" s="3">
        <v>14.04</v>
      </c>
      <c r="E261" s="3">
        <v>14.275499999999999</v>
      </c>
      <c r="F261" s="6">
        <f t="shared" si="39"/>
        <v>0.23550000000000004</v>
      </c>
      <c r="G261" s="6">
        <f t="shared" si="40"/>
        <v>1.6773504273504276E-2</v>
      </c>
      <c r="H261" s="6" t="str">
        <f t="shared" si="41"/>
        <v>🟢 Over-injection</v>
      </c>
      <c r="I261" s="6">
        <f t="shared" si="42"/>
        <v>-0.23550000000000004</v>
      </c>
      <c r="J261" s="3">
        <v>1.1145</v>
      </c>
      <c r="K261" s="6">
        <f t="shared" si="43"/>
        <v>2.1059999999999999</v>
      </c>
      <c r="L261" s="6">
        <f t="shared" si="44"/>
        <v>2.8079999999999998</v>
      </c>
      <c r="M261" s="6">
        <f t="shared" si="45"/>
        <v>0.23550000000000004</v>
      </c>
      <c r="N261" s="6">
        <f t="shared" si="46"/>
        <v>0</v>
      </c>
      <c r="O261" s="6">
        <f t="shared" si="47"/>
        <v>0</v>
      </c>
      <c r="P261" s="6">
        <f t="shared" si="48"/>
        <v>-52.492950000000008</v>
      </c>
      <c r="Q261" s="3">
        <v>-52.49295</v>
      </c>
      <c r="R261" s="6">
        <f t="shared" si="49"/>
        <v>0</v>
      </c>
      <c r="S261" s="6" t="str">
        <f t="shared" si="50"/>
        <v>OK</v>
      </c>
    </row>
    <row r="262" spans="1:19" x14ac:dyDescent="0.25">
      <c r="A262" s="3" t="str">
        <f t="shared" si="51"/>
        <v>01.07.2026</v>
      </c>
      <c r="B262" s="5">
        <v>53</v>
      </c>
      <c r="C262" s="5" t="s">
        <v>65</v>
      </c>
      <c r="D262" s="3">
        <v>14.04</v>
      </c>
      <c r="E262" s="3">
        <v>14.264150000000001</v>
      </c>
      <c r="F262" s="6">
        <f t="shared" si="39"/>
        <v>0.22415000000000163</v>
      </c>
      <c r="G262" s="6">
        <f t="shared" si="40"/>
        <v>1.5965099715099833E-2</v>
      </c>
      <c r="H262" s="6" t="str">
        <f t="shared" si="41"/>
        <v>🟢 Over-injection</v>
      </c>
      <c r="I262" s="6">
        <f t="shared" si="42"/>
        <v>-0.22415000000000163</v>
      </c>
      <c r="J262" s="3">
        <v>1.1154000000000002</v>
      </c>
      <c r="K262" s="6">
        <f t="shared" si="43"/>
        <v>2.1059999999999999</v>
      </c>
      <c r="L262" s="6">
        <f t="shared" si="44"/>
        <v>2.8079999999999998</v>
      </c>
      <c r="M262" s="6">
        <f t="shared" si="45"/>
        <v>0.22415000000000163</v>
      </c>
      <c r="N262" s="6">
        <f t="shared" si="46"/>
        <v>0</v>
      </c>
      <c r="O262" s="6">
        <f t="shared" si="47"/>
        <v>0</v>
      </c>
      <c r="P262" s="6">
        <f t="shared" si="48"/>
        <v>-50.003382000000371</v>
      </c>
      <c r="Q262" s="3">
        <v>-50.003382000000016</v>
      </c>
      <c r="R262" s="6">
        <f t="shared" si="49"/>
        <v>-3.5527136788005009E-13</v>
      </c>
      <c r="S262" s="6" t="str">
        <f t="shared" si="50"/>
        <v>OK</v>
      </c>
    </row>
    <row r="263" spans="1:19" x14ac:dyDescent="0.25">
      <c r="A263" s="3" t="str">
        <f t="shared" si="51"/>
        <v>01.07.2026</v>
      </c>
      <c r="B263" s="5">
        <v>54</v>
      </c>
      <c r="C263" s="5" t="s">
        <v>64</v>
      </c>
      <c r="D263" s="3">
        <v>14.04</v>
      </c>
      <c r="E263" s="3">
        <v>14.264150000000001</v>
      </c>
      <c r="F263" s="6">
        <f t="shared" si="39"/>
        <v>0.22415000000000163</v>
      </c>
      <c r="G263" s="6">
        <f t="shared" si="40"/>
        <v>1.5965099715099833E-2</v>
      </c>
      <c r="H263" s="6" t="str">
        <f t="shared" si="41"/>
        <v>🟢 Over-injection</v>
      </c>
      <c r="I263" s="6">
        <f t="shared" si="42"/>
        <v>-0.22415000000000163</v>
      </c>
      <c r="J263" s="3">
        <v>1.1226</v>
      </c>
      <c r="K263" s="6">
        <f t="shared" si="43"/>
        <v>2.1059999999999999</v>
      </c>
      <c r="L263" s="6">
        <f t="shared" si="44"/>
        <v>2.8079999999999998</v>
      </c>
      <c r="M263" s="6">
        <f t="shared" si="45"/>
        <v>0.22415000000000163</v>
      </c>
      <c r="N263" s="6">
        <f t="shared" si="46"/>
        <v>0</v>
      </c>
      <c r="O263" s="6">
        <f t="shared" si="47"/>
        <v>0</v>
      </c>
      <c r="P263" s="6">
        <f t="shared" si="48"/>
        <v>-50.326158000000369</v>
      </c>
      <c r="Q263" s="3">
        <v>-50.326158</v>
      </c>
      <c r="R263" s="6">
        <f t="shared" si="49"/>
        <v>-3.694822225952521E-13</v>
      </c>
      <c r="S263" s="6" t="str">
        <f t="shared" si="50"/>
        <v>OK</v>
      </c>
    </row>
    <row r="264" spans="1:19" x14ac:dyDescent="0.25">
      <c r="A264" s="3" t="str">
        <f t="shared" si="51"/>
        <v>01.07.2026</v>
      </c>
      <c r="B264" s="5">
        <v>55</v>
      </c>
      <c r="C264" s="5" t="s">
        <v>63</v>
      </c>
      <c r="D264" s="3">
        <v>14.04</v>
      </c>
      <c r="E264" s="3">
        <v>14.275499999999999</v>
      </c>
      <c r="F264" s="6">
        <f t="shared" si="39"/>
        <v>0.23550000000000004</v>
      </c>
      <c r="G264" s="6">
        <f t="shared" si="40"/>
        <v>1.6773504273504276E-2</v>
      </c>
      <c r="H264" s="6" t="str">
        <f t="shared" si="41"/>
        <v>🟢 Over-injection</v>
      </c>
      <c r="I264" s="6">
        <f t="shared" si="42"/>
        <v>-0.23550000000000004</v>
      </c>
      <c r="J264" s="3">
        <v>1.1735</v>
      </c>
      <c r="K264" s="6">
        <f t="shared" si="43"/>
        <v>2.1059999999999999</v>
      </c>
      <c r="L264" s="6">
        <f t="shared" si="44"/>
        <v>2.8079999999999998</v>
      </c>
      <c r="M264" s="6">
        <f t="shared" si="45"/>
        <v>0.23550000000000004</v>
      </c>
      <c r="N264" s="6">
        <f t="shared" si="46"/>
        <v>0</v>
      </c>
      <c r="O264" s="6">
        <f t="shared" si="47"/>
        <v>0</v>
      </c>
      <c r="P264" s="6">
        <f t="shared" si="48"/>
        <v>-55.271850000000015</v>
      </c>
      <c r="Q264" s="3">
        <v>-55.271850000000008</v>
      </c>
      <c r="R264" s="6">
        <f t="shared" si="49"/>
        <v>0</v>
      </c>
      <c r="S264" s="6" t="str">
        <f t="shared" si="50"/>
        <v>OK</v>
      </c>
    </row>
    <row r="265" spans="1:19" x14ac:dyDescent="0.25">
      <c r="A265" s="3" t="str">
        <f t="shared" si="51"/>
        <v>01.07.2026</v>
      </c>
      <c r="B265" s="5">
        <v>56</v>
      </c>
      <c r="C265" s="5" t="s">
        <v>62</v>
      </c>
      <c r="D265" s="3">
        <v>14.04</v>
      </c>
      <c r="E265" s="3">
        <v>14.275499999999999</v>
      </c>
      <c r="F265" s="6">
        <f t="shared" si="39"/>
        <v>0.23550000000000004</v>
      </c>
      <c r="G265" s="6">
        <f t="shared" si="40"/>
        <v>1.6773504273504276E-2</v>
      </c>
      <c r="H265" s="6" t="str">
        <f t="shared" si="41"/>
        <v>🟢 Over-injection</v>
      </c>
      <c r="I265" s="6">
        <f t="shared" si="42"/>
        <v>-0.23550000000000004</v>
      </c>
      <c r="J265" s="3">
        <v>1.1779999999999999</v>
      </c>
      <c r="K265" s="6">
        <f t="shared" si="43"/>
        <v>2.1059999999999999</v>
      </c>
      <c r="L265" s="6">
        <f t="shared" si="44"/>
        <v>2.8079999999999998</v>
      </c>
      <c r="M265" s="6">
        <f t="shared" si="45"/>
        <v>0.23550000000000004</v>
      </c>
      <c r="N265" s="6">
        <f t="shared" si="46"/>
        <v>0</v>
      </c>
      <c r="O265" s="6">
        <f t="shared" si="47"/>
        <v>0</v>
      </c>
      <c r="P265" s="6">
        <f t="shared" si="48"/>
        <v>-55.483800000000009</v>
      </c>
      <c r="Q265" s="3">
        <v>-55.483800000000002</v>
      </c>
      <c r="R265" s="6">
        <f t="shared" si="49"/>
        <v>0</v>
      </c>
      <c r="S265" s="6" t="str">
        <f t="shared" si="50"/>
        <v>OK</v>
      </c>
    </row>
    <row r="266" spans="1:19" x14ac:dyDescent="0.25">
      <c r="A266" s="3" t="str">
        <f t="shared" si="51"/>
        <v>01.07.2026</v>
      </c>
      <c r="B266" s="5">
        <v>57</v>
      </c>
      <c r="C266" s="5" t="s">
        <v>61</v>
      </c>
      <c r="D266" s="3">
        <v>14.04</v>
      </c>
      <c r="E266" s="3">
        <v>14.286849999999999</v>
      </c>
      <c r="F266" s="6">
        <f t="shared" si="39"/>
        <v>0.24685000000000024</v>
      </c>
      <c r="G266" s="6">
        <f t="shared" si="40"/>
        <v>1.7581908831908851E-2</v>
      </c>
      <c r="H266" s="6" t="str">
        <f t="shared" si="41"/>
        <v>🟢 Over-injection</v>
      </c>
      <c r="I266" s="6">
        <f t="shared" si="42"/>
        <v>-0.24685000000000024</v>
      </c>
      <c r="J266" s="3">
        <v>1.5697000000000001</v>
      </c>
      <c r="K266" s="6">
        <f t="shared" si="43"/>
        <v>2.1059999999999999</v>
      </c>
      <c r="L266" s="6">
        <f t="shared" si="44"/>
        <v>2.8079999999999998</v>
      </c>
      <c r="M266" s="6">
        <f t="shared" si="45"/>
        <v>0.24685000000000024</v>
      </c>
      <c r="N266" s="6">
        <f t="shared" si="46"/>
        <v>0</v>
      </c>
      <c r="O266" s="6">
        <f t="shared" si="47"/>
        <v>0</v>
      </c>
      <c r="P266" s="6">
        <f t="shared" si="48"/>
        <v>-77.496089000000083</v>
      </c>
      <c r="Q266" s="3">
        <v>-77.496089000000012</v>
      </c>
      <c r="R266" s="6">
        <f t="shared" si="49"/>
        <v>0</v>
      </c>
      <c r="S266" s="6" t="str">
        <f t="shared" si="50"/>
        <v>OK</v>
      </c>
    </row>
    <row r="267" spans="1:19" x14ac:dyDescent="0.25">
      <c r="A267" s="3" t="str">
        <f t="shared" si="51"/>
        <v>01.07.2026</v>
      </c>
      <c r="B267" s="5">
        <v>58</v>
      </c>
      <c r="C267" s="5" t="s">
        <v>60</v>
      </c>
      <c r="D267" s="3">
        <v>14.04</v>
      </c>
      <c r="E267" s="3">
        <v>14.2982</v>
      </c>
      <c r="F267" s="6">
        <f t="shared" si="39"/>
        <v>0.25820000000000043</v>
      </c>
      <c r="G267" s="6">
        <f t="shared" si="40"/>
        <v>1.8390313390313422E-2</v>
      </c>
      <c r="H267" s="6" t="str">
        <f t="shared" si="41"/>
        <v>🟢 Over-injection</v>
      </c>
      <c r="I267" s="6">
        <f t="shared" si="42"/>
        <v>-0.25820000000000043</v>
      </c>
      <c r="J267" s="3">
        <v>1.6240999999999999</v>
      </c>
      <c r="K267" s="6">
        <f t="shared" si="43"/>
        <v>2.1059999999999999</v>
      </c>
      <c r="L267" s="6">
        <f t="shared" si="44"/>
        <v>2.8079999999999998</v>
      </c>
      <c r="M267" s="6">
        <f t="shared" si="45"/>
        <v>0.25820000000000043</v>
      </c>
      <c r="N267" s="6">
        <f t="shared" si="46"/>
        <v>0</v>
      </c>
      <c r="O267" s="6">
        <f t="shared" si="47"/>
        <v>0</v>
      </c>
      <c r="P267" s="6">
        <f t="shared" si="48"/>
        <v>-83.868524000000136</v>
      </c>
      <c r="Q267" s="3">
        <v>-83.868523999999994</v>
      </c>
      <c r="R267" s="6">
        <f t="shared" si="49"/>
        <v>-1.4210854715202004E-13</v>
      </c>
      <c r="S267" s="6" t="str">
        <f t="shared" si="50"/>
        <v>OK</v>
      </c>
    </row>
    <row r="268" spans="1:19" x14ac:dyDescent="0.25">
      <c r="A268" s="3" t="str">
        <f t="shared" si="51"/>
        <v>01.07.2026</v>
      </c>
      <c r="B268" s="5">
        <v>59</v>
      </c>
      <c r="C268" s="5" t="s">
        <v>59</v>
      </c>
      <c r="D268" s="3">
        <v>14.04</v>
      </c>
      <c r="E268" s="3">
        <v>14.30954</v>
      </c>
      <c r="F268" s="6">
        <f t="shared" si="39"/>
        <v>0.269540000000001</v>
      </c>
      <c r="G268" s="6">
        <f t="shared" si="40"/>
        <v>1.9198005698005772E-2</v>
      </c>
      <c r="H268" s="6" t="str">
        <f t="shared" si="41"/>
        <v>🟢 Over-injection</v>
      </c>
      <c r="I268" s="6">
        <f t="shared" si="42"/>
        <v>-0.269540000000001</v>
      </c>
      <c r="J268" s="3">
        <v>1.8525999999999998</v>
      </c>
      <c r="K268" s="6">
        <f t="shared" si="43"/>
        <v>2.1059999999999999</v>
      </c>
      <c r="L268" s="6">
        <f t="shared" si="44"/>
        <v>2.8079999999999998</v>
      </c>
      <c r="M268" s="6">
        <f t="shared" si="45"/>
        <v>0.269540000000001</v>
      </c>
      <c r="N268" s="6">
        <f t="shared" si="46"/>
        <v>0</v>
      </c>
      <c r="O268" s="6">
        <f t="shared" si="47"/>
        <v>0</v>
      </c>
      <c r="P268" s="6">
        <f t="shared" si="48"/>
        <v>-99.869960800000371</v>
      </c>
      <c r="Q268" s="3">
        <v>-99.869960799999987</v>
      </c>
      <c r="R268" s="6">
        <f t="shared" si="49"/>
        <v>-3.836930773104541E-13</v>
      </c>
      <c r="S268" s="6" t="str">
        <f t="shared" si="50"/>
        <v>OK</v>
      </c>
    </row>
    <row r="269" spans="1:19" x14ac:dyDescent="0.25">
      <c r="A269" s="3" t="str">
        <f t="shared" si="51"/>
        <v>01.07.2026</v>
      </c>
      <c r="B269" s="5">
        <v>60</v>
      </c>
      <c r="C269" s="5" t="s">
        <v>58</v>
      </c>
      <c r="D269" s="3">
        <v>14.04</v>
      </c>
      <c r="E269" s="3">
        <v>14.30954</v>
      </c>
      <c r="F269" s="6">
        <f t="shared" si="39"/>
        <v>0.269540000000001</v>
      </c>
      <c r="G269" s="6">
        <f t="shared" si="40"/>
        <v>1.9198005698005772E-2</v>
      </c>
      <c r="H269" s="6" t="str">
        <f t="shared" si="41"/>
        <v>🟢 Over-injection</v>
      </c>
      <c r="I269" s="6">
        <f t="shared" si="42"/>
        <v>-0.269540000000001</v>
      </c>
      <c r="J269" s="3">
        <v>1.9330000000000001</v>
      </c>
      <c r="K269" s="6">
        <f t="shared" si="43"/>
        <v>2.1059999999999999</v>
      </c>
      <c r="L269" s="6">
        <f t="shared" si="44"/>
        <v>2.8079999999999998</v>
      </c>
      <c r="M269" s="6">
        <f t="shared" si="45"/>
        <v>0.269540000000001</v>
      </c>
      <c r="N269" s="6">
        <f t="shared" si="46"/>
        <v>0</v>
      </c>
      <c r="O269" s="6">
        <f t="shared" si="47"/>
        <v>0</v>
      </c>
      <c r="P269" s="6">
        <f t="shared" si="48"/>
        <v>-104.2041640000004</v>
      </c>
      <c r="Q269" s="3">
        <v>-104.20416400000002</v>
      </c>
      <c r="R269" s="6">
        <f t="shared" si="49"/>
        <v>-3.836930773104541E-13</v>
      </c>
      <c r="S269" s="6" t="str">
        <f t="shared" si="50"/>
        <v>OK</v>
      </c>
    </row>
    <row r="270" spans="1:19" x14ac:dyDescent="0.25">
      <c r="A270" s="3" t="str">
        <f t="shared" si="51"/>
        <v>01.07.2026</v>
      </c>
      <c r="B270" s="5">
        <v>61</v>
      </c>
      <c r="C270" s="5" t="s">
        <v>57</v>
      </c>
      <c r="D270" s="3">
        <v>15</v>
      </c>
      <c r="E270" s="3">
        <v>15.013109999999999</v>
      </c>
      <c r="F270" s="6">
        <f t="shared" si="39"/>
        <v>1.3109999999999289E-2</v>
      </c>
      <c r="G270" s="6">
        <f t="shared" si="40"/>
        <v>8.7399999999995261E-4</v>
      </c>
      <c r="H270" s="6" t="str">
        <f t="shared" si="41"/>
        <v>🟢 Over-injection</v>
      </c>
      <c r="I270" s="6">
        <f t="shared" si="42"/>
        <v>-1.3109999999999289E-2</v>
      </c>
      <c r="J270" s="3">
        <v>2.1880000000000002</v>
      </c>
      <c r="K270" s="6">
        <f t="shared" si="43"/>
        <v>2.25</v>
      </c>
      <c r="L270" s="6">
        <f t="shared" si="44"/>
        <v>3</v>
      </c>
      <c r="M270" s="6">
        <f t="shared" si="45"/>
        <v>1.3109999999999289E-2</v>
      </c>
      <c r="N270" s="6">
        <f t="shared" si="46"/>
        <v>0</v>
      </c>
      <c r="O270" s="6">
        <f t="shared" si="47"/>
        <v>0</v>
      </c>
      <c r="P270" s="6">
        <f t="shared" si="48"/>
        <v>-5.7369359999996892</v>
      </c>
      <c r="Q270" s="3">
        <v>-5.7369360000000009</v>
      </c>
      <c r="R270" s="6">
        <f t="shared" si="49"/>
        <v>3.1175062531474396E-13</v>
      </c>
      <c r="S270" s="6" t="str">
        <f t="shared" si="50"/>
        <v>OK</v>
      </c>
    </row>
    <row r="271" spans="1:19" x14ac:dyDescent="0.25">
      <c r="A271" s="3" t="str">
        <f t="shared" si="51"/>
        <v>01.07.2026</v>
      </c>
      <c r="B271" s="5">
        <v>62</v>
      </c>
      <c r="C271" s="5" t="s">
        <v>56</v>
      </c>
      <c r="D271" s="3">
        <v>15</v>
      </c>
      <c r="E271" s="3">
        <v>15.25141</v>
      </c>
      <c r="F271" s="6">
        <f t="shared" si="39"/>
        <v>0.25140999999999991</v>
      </c>
      <c r="G271" s="6">
        <f t="shared" si="40"/>
        <v>1.676066666666666E-2</v>
      </c>
      <c r="H271" s="6" t="str">
        <f t="shared" si="41"/>
        <v>🟢 Over-injection</v>
      </c>
      <c r="I271" s="6">
        <f t="shared" si="42"/>
        <v>-0.25140999999999991</v>
      </c>
      <c r="J271" s="3">
        <v>2.3871000000000002</v>
      </c>
      <c r="K271" s="6">
        <f t="shared" si="43"/>
        <v>2.25</v>
      </c>
      <c r="L271" s="6">
        <f t="shared" si="44"/>
        <v>3</v>
      </c>
      <c r="M271" s="6">
        <f t="shared" si="45"/>
        <v>0.25140999999999991</v>
      </c>
      <c r="N271" s="6">
        <f t="shared" si="46"/>
        <v>0</v>
      </c>
      <c r="O271" s="6">
        <f t="shared" si="47"/>
        <v>0</v>
      </c>
      <c r="P271" s="6">
        <f t="shared" si="48"/>
        <v>-120.02816219999998</v>
      </c>
      <c r="Q271" s="3">
        <v>-120.02816220000003</v>
      </c>
      <c r="R271" s="6">
        <f t="shared" si="49"/>
        <v>0</v>
      </c>
      <c r="S271" s="6" t="str">
        <f t="shared" si="50"/>
        <v>OK</v>
      </c>
    </row>
    <row r="272" spans="1:19" x14ac:dyDescent="0.25">
      <c r="A272" s="3" t="str">
        <f t="shared" si="51"/>
        <v>01.07.2026</v>
      </c>
      <c r="B272" s="5">
        <v>63</v>
      </c>
      <c r="C272" s="5" t="s">
        <v>55</v>
      </c>
      <c r="D272" s="3">
        <v>15</v>
      </c>
      <c r="E272" s="3">
        <v>15.27411</v>
      </c>
      <c r="F272" s="6">
        <f t="shared" si="39"/>
        <v>0.2741100000000003</v>
      </c>
      <c r="G272" s="6">
        <f t="shared" si="40"/>
        <v>1.8274000000000019E-2</v>
      </c>
      <c r="H272" s="6" t="str">
        <f t="shared" si="41"/>
        <v>🟢 Over-injection</v>
      </c>
      <c r="I272" s="6">
        <f t="shared" si="42"/>
        <v>-0.2741100000000003</v>
      </c>
      <c r="J272" s="3">
        <v>2.6180000000000003</v>
      </c>
      <c r="K272" s="6">
        <f t="shared" si="43"/>
        <v>2.25</v>
      </c>
      <c r="L272" s="6">
        <f t="shared" si="44"/>
        <v>3</v>
      </c>
      <c r="M272" s="6">
        <f t="shared" si="45"/>
        <v>0.2741100000000003</v>
      </c>
      <c r="N272" s="6">
        <f t="shared" si="46"/>
        <v>0</v>
      </c>
      <c r="O272" s="6">
        <f t="shared" si="47"/>
        <v>0</v>
      </c>
      <c r="P272" s="6">
        <f t="shared" si="48"/>
        <v>-143.52399600000018</v>
      </c>
      <c r="Q272" s="3">
        <v>-143.52399600000001</v>
      </c>
      <c r="R272" s="6">
        <f t="shared" si="49"/>
        <v>0</v>
      </c>
      <c r="S272" s="6" t="str">
        <f t="shared" si="50"/>
        <v>OK</v>
      </c>
    </row>
    <row r="273" spans="1:19" x14ac:dyDescent="0.25">
      <c r="A273" s="3" t="str">
        <f t="shared" si="51"/>
        <v>01.07.2026</v>
      </c>
      <c r="B273" s="5">
        <v>64</v>
      </c>
      <c r="C273" s="5" t="s">
        <v>54</v>
      </c>
      <c r="D273" s="3">
        <v>15</v>
      </c>
      <c r="E273" s="3">
        <v>15.26276</v>
      </c>
      <c r="F273" s="6">
        <f t="shared" si="39"/>
        <v>0.2627600000000001</v>
      </c>
      <c r="G273" s="6">
        <f t="shared" si="40"/>
        <v>1.751733333333334E-2</v>
      </c>
      <c r="H273" s="6" t="str">
        <f t="shared" si="41"/>
        <v>🟢 Over-injection</v>
      </c>
      <c r="I273" s="6">
        <f t="shared" si="42"/>
        <v>-0.2627600000000001</v>
      </c>
      <c r="J273" s="3">
        <v>2.6118999999999999</v>
      </c>
      <c r="K273" s="6">
        <f t="shared" si="43"/>
        <v>2.25</v>
      </c>
      <c r="L273" s="6">
        <f t="shared" si="44"/>
        <v>3</v>
      </c>
      <c r="M273" s="6">
        <f t="shared" si="45"/>
        <v>0.2627600000000001</v>
      </c>
      <c r="N273" s="6">
        <f t="shared" si="46"/>
        <v>0</v>
      </c>
      <c r="O273" s="6">
        <f t="shared" si="47"/>
        <v>0</v>
      </c>
      <c r="P273" s="6">
        <f t="shared" si="48"/>
        <v>-137.26056880000007</v>
      </c>
      <c r="Q273" s="3">
        <v>-137.26056879999999</v>
      </c>
      <c r="R273" s="6">
        <f t="shared" si="49"/>
        <v>0</v>
      </c>
      <c r="S273" s="6" t="str">
        <f t="shared" si="50"/>
        <v>OK</v>
      </c>
    </row>
    <row r="274" spans="1:19" x14ac:dyDescent="0.25">
      <c r="A274" s="3" t="str">
        <f t="shared" si="51"/>
        <v>01.07.2026</v>
      </c>
      <c r="B274" s="5">
        <v>65</v>
      </c>
      <c r="C274" s="5" t="s">
        <v>53</v>
      </c>
      <c r="D274" s="3">
        <v>17.5</v>
      </c>
      <c r="E274" s="3">
        <v>17.13514</v>
      </c>
      <c r="F274" s="6">
        <f t="shared" ref="F274:F337" si="52">E274-D274</f>
        <v>-0.36486000000000018</v>
      </c>
      <c r="G274" s="6">
        <f t="shared" ref="G274:G337" si="53">IF(D274=0,0,F274/D274)</f>
        <v>-2.0849142857142868E-2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0.36486000000000018</v>
      </c>
      <c r="J274" s="3">
        <v>2.6231</v>
      </c>
      <c r="K274" s="6">
        <f t="shared" ref="K274:K337" si="56">MIN(ABS(D274)*$B$7,$B$8)</f>
        <v>2.625</v>
      </c>
      <c r="L274" s="6">
        <f t="shared" ref="L274:L337" si="57">MIN(ABS(D274)*$B$9,$B$10)</f>
        <v>3.5</v>
      </c>
      <c r="M274" s="6">
        <f t="shared" ref="M274:M337" si="58">MIN(ABS(F274),K274)</f>
        <v>0.36486000000000018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251.22936982500011</v>
      </c>
      <c r="Q274" s="3">
        <v>251.22936982500005</v>
      </c>
      <c r="R274" s="6">
        <f t="shared" ref="R274:R337" si="62">P274-Q274</f>
        <v>0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01.07.2026</v>
      </c>
      <c r="B275" s="5">
        <v>66</v>
      </c>
      <c r="C275" s="5" t="s">
        <v>52</v>
      </c>
      <c r="D275" s="3">
        <v>17.5</v>
      </c>
      <c r="E275" s="3">
        <v>17.827359999999999</v>
      </c>
      <c r="F275" s="6">
        <f t="shared" si="52"/>
        <v>0.32735999999999876</v>
      </c>
      <c r="G275" s="6">
        <f t="shared" si="53"/>
        <v>1.8706285714285644E-2</v>
      </c>
      <c r="H275" s="6" t="str">
        <f t="shared" si="54"/>
        <v>🟢 Over-injection</v>
      </c>
      <c r="I275" s="6">
        <f t="shared" si="55"/>
        <v>-0.32735999999999876</v>
      </c>
      <c r="J275" s="3">
        <v>2.6861999999999999</v>
      </c>
      <c r="K275" s="6">
        <f t="shared" si="56"/>
        <v>2.625</v>
      </c>
      <c r="L275" s="6">
        <f t="shared" si="57"/>
        <v>3.5</v>
      </c>
      <c r="M275" s="6">
        <f t="shared" si="58"/>
        <v>0.32735999999999876</v>
      </c>
      <c r="N275" s="6">
        <f t="shared" si="59"/>
        <v>0</v>
      </c>
      <c r="O275" s="6">
        <f t="shared" si="60"/>
        <v>0</v>
      </c>
      <c r="P275" s="6">
        <f t="shared" si="61"/>
        <v>-175.87088639999934</v>
      </c>
      <c r="Q275" s="3">
        <v>-175.87088640000002</v>
      </c>
      <c r="R275" s="6">
        <f t="shared" si="62"/>
        <v>6.8212102632969618E-13</v>
      </c>
      <c r="S275" s="6" t="str">
        <f t="shared" si="63"/>
        <v>OK</v>
      </c>
    </row>
    <row r="276" spans="1:19" x14ac:dyDescent="0.25">
      <c r="A276" s="3" t="str">
        <f t="shared" ref="A276:A339" si="64">A275</f>
        <v>01.07.2026</v>
      </c>
      <c r="B276" s="5">
        <v>67</v>
      </c>
      <c r="C276" s="5" t="s">
        <v>51</v>
      </c>
      <c r="D276" s="3">
        <v>18</v>
      </c>
      <c r="E276" s="3">
        <v>18.28126</v>
      </c>
      <c r="F276" s="6">
        <f t="shared" si="52"/>
        <v>0.28125999999999962</v>
      </c>
      <c r="G276" s="6">
        <f t="shared" si="53"/>
        <v>1.5625555555555535E-2</v>
      </c>
      <c r="H276" s="6" t="str">
        <f t="shared" si="54"/>
        <v>🟢 Over-injection</v>
      </c>
      <c r="I276" s="6">
        <f t="shared" si="55"/>
        <v>-0.28125999999999962</v>
      </c>
      <c r="J276" s="3">
        <v>2.75</v>
      </c>
      <c r="K276" s="6">
        <f t="shared" si="56"/>
        <v>2.6999999999999997</v>
      </c>
      <c r="L276" s="6">
        <f t="shared" si="57"/>
        <v>3.6</v>
      </c>
      <c r="M276" s="6">
        <f t="shared" si="58"/>
        <v>0.28125999999999962</v>
      </c>
      <c r="N276" s="6">
        <f t="shared" si="59"/>
        <v>0</v>
      </c>
      <c r="O276" s="6">
        <f t="shared" si="60"/>
        <v>0</v>
      </c>
      <c r="P276" s="6">
        <f t="shared" si="61"/>
        <v>-154.69299999999981</v>
      </c>
      <c r="Q276" s="3">
        <v>-154.69300000000001</v>
      </c>
      <c r="R276" s="6">
        <f t="shared" si="62"/>
        <v>0</v>
      </c>
      <c r="S276" s="6" t="str">
        <f t="shared" si="63"/>
        <v>OK</v>
      </c>
    </row>
    <row r="277" spans="1:19" x14ac:dyDescent="0.25">
      <c r="A277" s="3" t="str">
        <f t="shared" si="64"/>
        <v>01.07.2026</v>
      </c>
      <c r="B277" s="5">
        <v>68</v>
      </c>
      <c r="C277" s="5" t="s">
        <v>50</v>
      </c>
      <c r="D277" s="3">
        <v>18</v>
      </c>
      <c r="E277" s="3">
        <v>18.349350000000001</v>
      </c>
      <c r="F277" s="6">
        <f t="shared" si="52"/>
        <v>0.34935000000000116</v>
      </c>
      <c r="G277" s="6">
        <f t="shared" si="53"/>
        <v>1.9408333333333399E-2</v>
      </c>
      <c r="H277" s="6" t="str">
        <f t="shared" si="54"/>
        <v>🟢 Over-injection</v>
      </c>
      <c r="I277" s="6">
        <f t="shared" si="55"/>
        <v>-0.34935000000000116</v>
      </c>
      <c r="J277" s="3">
        <v>2.9670999999999998</v>
      </c>
      <c r="K277" s="6">
        <f t="shared" si="56"/>
        <v>2.6999999999999997</v>
      </c>
      <c r="L277" s="6">
        <f t="shared" si="57"/>
        <v>3.6</v>
      </c>
      <c r="M277" s="6">
        <f t="shared" si="58"/>
        <v>0.34935000000000116</v>
      </c>
      <c r="N277" s="6">
        <f t="shared" si="59"/>
        <v>0</v>
      </c>
      <c r="O277" s="6">
        <f t="shared" si="60"/>
        <v>0</v>
      </c>
      <c r="P277" s="6">
        <f t="shared" si="61"/>
        <v>-207.31127700000067</v>
      </c>
      <c r="Q277" s="3">
        <v>-207.31127699999999</v>
      </c>
      <c r="R277" s="6">
        <f t="shared" si="62"/>
        <v>-6.8212102632969618E-13</v>
      </c>
      <c r="S277" s="6" t="str">
        <f t="shared" si="63"/>
        <v>OK</v>
      </c>
    </row>
    <row r="278" spans="1:19" x14ac:dyDescent="0.25">
      <c r="A278" s="3" t="str">
        <f t="shared" si="64"/>
        <v>01.07.2026</v>
      </c>
      <c r="B278" s="5">
        <v>69</v>
      </c>
      <c r="C278" s="5" t="s">
        <v>49</v>
      </c>
      <c r="D278" s="3">
        <v>18</v>
      </c>
      <c r="E278" s="3">
        <v>18.349350000000001</v>
      </c>
      <c r="F278" s="6">
        <f t="shared" si="52"/>
        <v>0.34935000000000116</v>
      </c>
      <c r="G278" s="6">
        <f t="shared" si="53"/>
        <v>1.9408333333333399E-2</v>
      </c>
      <c r="H278" s="6" t="str">
        <f t="shared" si="54"/>
        <v>🟢 Over-injection</v>
      </c>
      <c r="I278" s="6">
        <f t="shared" si="55"/>
        <v>-0.34935000000000116</v>
      </c>
      <c r="J278" s="3">
        <v>3.3982000000000001</v>
      </c>
      <c r="K278" s="6">
        <f t="shared" si="56"/>
        <v>2.6999999999999997</v>
      </c>
      <c r="L278" s="6">
        <f t="shared" si="57"/>
        <v>3.6</v>
      </c>
      <c r="M278" s="6">
        <f t="shared" si="58"/>
        <v>0.34935000000000116</v>
      </c>
      <c r="N278" s="6">
        <f t="shared" si="59"/>
        <v>0</v>
      </c>
      <c r="O278" s="6">
        <f t="shared" si="60"/>
        <v>0</v>
      </c>
      <c r="P278" s="6">
        <f t="shared" si="61"/>
        <v>-237.43223400000082</v>
      </c>
      <c r="Q278" s="3">
        <v>-237.43223399999999</v>
      </c>
      <c r="R278" s="6">
        <f t="shared" si="62"/>
        <v>-8.2422957348171622E-13</v>
      </c>
      <c r="S278" s="6" t="str">
        <f t="shared" si="63"/>
        <v>OK</v>
      </c>
    </row>
    <row r="279" spans="1:19" x14ac:dyDescent="0.25">
      <c r="A279" s="3" t="str">
        <f t="shared" si="64"/>
        <v>01.07.2026</v>
      </c>
      <c r="B279" s="5">
        <v>70</v>
      </c>
      <c r="C279" s="5" t="s">
        <v>48</v>
      </c>
      <c r="D279" s="3">
        <v>18</v>
      </c>
      <c r="E279" s="3">
        <v>18.360710000000001</v>
      </c>
      <c r="F279" s="6">
        <f t="shared" si="52"/>
        <v>0.36071000000000097</v>
      </c>
      <c r="G279" s="6">
        <f t="shared" si="53"/>
        <v>2.0039444444444499E-2</v>
      </c>
      <c r="H279" s="6" t="str">
        <f t="shared" si="54"/>
        <v>🟢 Over-injection</v>
      </c>
      <c r="I279" s="6">
        <f t="shared" si="55"/>
        <v>-0.36071000000000097</v>
      </c>
      <c r="J279" s="3">
        <v>3.5337999999999998</v>
      </c>
      <c r="K279" s="6">
        <f t="shared" si="56"/>
        <v>2.6999999999999997</v>
      </c>
      <c r="L279" s="6">
        <f t="shared" si="57"/>
        <v>3.6</v>
      </c>
      <c r="M279" s="6">
        <f t="shared" si="58"/>
        <v>0.36071000000000097</v>
      </c>
      <c r="N279" s="6">
        <f t="shared" si="59"/>
        <v>0</v>
      </c>
      <c r="O279" s="6">
        <f t="shared" si="60"/>
        <v>0</v>
      </c>
      <c r="P279" s="6">
        <f t="shared" si="61"/>
        <v>-254.93539960000066</v>
      </c>
      <c r="Q279" s="3">
        <v>-254.93539960000001</v>
      </c>
      <c r="R279" s="6">
        <f t="shared" si="62"/>
        <v>-6.5369931689929217E-13</v>
      </c>
      <c r="S279" s="6" t="str">
        <f t="shared" si="63"/>
        <v>OK</v>
      </c>
    </row>
    <row r="280" spans="1:19" x14ac:dyDescent="0.25">
      <c r="A280" s="3" t="str">
        <f t="shared" si="64"/>
        <v>01.07.2026</v>
      </c>
      <c r="B280" s="5">
        <v>71</v>
      </c>
      <c r="C280" s="5" t="s">
        <v>47</v>
      </c>
      <c r="D280" s="3">
        <v>19</v>
      </c>
      <c r="E280" s="3">
        <v>19.086960000000001</v>
      </c>
      <c r="F280" s="6">
        <f t="shared" si="52"/>
        <v>8.6960000000001259E-2</v>
      </c>
      <c r="G280" s="6">
        <f t="shared" si="53"/>
        <v>4.5768421052632237E-3</v>
      </c>
      <c r="H280" s="6" t="str">
        <f t="shared" si="54"/>
        <v>🟢 Over-injection</v>
      </c>
      <c r="I280" s="6">
        <f t="shared" si="55"/>
        <v>-8.6960000000001259E-2</v>
      </c>
      <c r="J280" s="3">
        <v>3.5924999999999998</v>
      </c>
      <c r="K280" s="6">
        <f t="shared" si="56"/>
        <v>2.85</v>
      </c>
      <c r="L280" s="6">
        <f t="shared" si="57"/>
        <v>3.8000000000000003</v>
      </c>
      <c r="M280" s="6">
        <f t="shared" si="58"/>
        <v>8.6960000000001259E-2</v>
      </c>
      <c r="N280" s="6">
        <f t="shared" si="59"/>
        <v>0</v>
      </c>
      <c r="O280" s="6">
        <f t="shared" si="60"/>
        <v>0</v>
      </c>
      <c r="P280" s="6">
        <f t="shared" si="61"/>
        <v>-62.480760000000899</v>
      </c>
      <c r="Q280" s="3">
        <v>-62.480759999999997</v>
      </c>
      <c r="R280" s="6">
        <f t="shared" si="62"/>
        <v>-9.0238927441532724E-13</v>
      </c>
      <c r="S280" s="6" t="str">
        <f t="shared" si="63"/>
        <v>OK</v>
      </c>
    </row>
    <row r="281" spans="1:19" x14ac:dyDescent="0.25">
      <c r="A281" s="3" t="str">
        <f t="shared" si="64"/>
        <v>01.07.2026</v>
      </c>
      <c r="B281" s="5">
        <v>72</v>
      </c>
      <c r="C281" s="5" t="s">
        <v>46</v>
      </c>
      <c r="D281" s="3">
        <v>19</v>
      </c>
      <c r="E281" s="3">
        <v>19.268519999999999</v>
      </c>
      <c r="F281" s="6">
        <f t="shared" si="52"/>
        <v>0.26851999999999876</v>
      </c>
      <c r="G281" s="6">
        <f t="shared" si="53"/>
        <v>1.4132631578947303E-2</v>
      </c>
      <c r="H281" s="6" t="str">
        <f t="shared" si="54"/>
        <v>🟢 Over-injection</v>
      </c>
      <c r="I281" s="6">
        <f t="shared" si="55"/>
        <v>-0.26851999999999876</v>
      </c>
      <c r="J281" s="3">
        <v>3.6105</v>
      </c>
      <c r="K281" s="6">
        <f t="shared" si="56"/>
        <v>2.85</v>
      </c>
      <c r="L281" s="6">
        <f t="shared" si="57"/>
        <v>3.8000000000000003</v>
      </c>
      <c r="M281" s="6">
        <f t="shared" si="58"/>
        <v>0.26851999999999876</v>
      </c>
      <c r="N281" s="6">
        <f t="shared" si="59"/>
        <v>0</v>
      </c>
      <c r="O281" s="6">
        <f t="shared" si="60"/>
        <v>0</v>
      </c>
      <c r="P281" s="6">
        <f t="shared" si="61"/>
        <v>-193.89829199999912</v>
      </c>
      <c r="Q281" s="3">
        <v>-193.898292</v>
      </c>
      <c r="R281" s="6">
        <f t="shared" si="62"/>
        <v>8.8107299234252423E-13</v>
      </c>
      <c r="S281" s="6" t="str">
        <f t="shared" si="63"/>
        <v>OK</v>
      </c>
    </row>
    <row r="282" spans="1:19" x14ac:dyDescent="0.25">
      <c r="A282" s="3" t="str">
        <f t="shared" si="64"/>
        <v>01.07.2026</v>
      </c>
      <c r="B282" s="5">
        <v>73</v>
      </c>
      <c r="C282" s="5" t="s">
        <v>45</v>
      </c>
      <c r="D282" s="3">
        <v>19</v>
      </c>
      <c r="E282" s="3">
        <v>19.268519999999999</v>
      </c>
      <c r="F282" s="6">
        <f t="shared" si="52"/>
        <v>0.26851999999999876</v>
      </c>
      <c r="G282" s="6">
        <f t="shared" si="53"/>
        <v>1.4132631578947303E-2</v>
      </c>
      <c r="H282" s="6" t="str">
        <f t="shared" si="54"/>
        <v>🟢 Over-injection</v>
      </c>
      <c r="I282" s="6">
        <f t="shared" si="55"/>
        <v>-0.26851999999999876</v>
      </c>
      <c r="J282" s="3">
        <v>3.6414999999999997</v>
      </c>
      <c r="K282" s="6">
        <f t="shared" si="56"/>
        <v>2.85</v>
      </c>
      <c r="L282" s="6">
        <f t="shared" si="57"/>
        <v>3.8000000000000003</v>
      </c>
      <c r="M282" s="6">
        <f t="shared" si="58"/>
        <v>0.26851999999999876</v>
      </c>
      <c r="N282" s="6">
        <f t="shared" si="59"/>
        <v>0</v>
      </c>
      <c r="O282" s="6">
        <f t="shared" si="60"/>
        <v>0</v>
      </c>
      <c r="P282" s="6">
        <f t="shared" si="61"/>
        <v>-195.5631159999991</v>
      </c>
      <c r="Q282" s="3">
        <v>-195.56311599999998</v>
      </c>
      <c r="R282" s="6">
        <f t="shared" si="62"/>
        <v>8.8107299234252423E-13</v>
      </c>
      <c r="S282" s="6" t="str">
        <f t="shared" si="63"/>
        <v>OK</v>
      </c>
    </row>
    <row r="283" spans="1:19" x14ac:dyDescent="0.25">
      <c r="A283" s="3" t="str">
        <f t="shared" si="64"/>
        <v>01.07.2026</v>
      </c>
      <c r="B283" s="5">
        <v>74</v>
      </c>
      <c r="C283" s="5" t="s">
        <v>44</v>
      </c>
      <c r="D283" s="3">
        <v>19</v>
      </c>
      <c r="E283" s="3">
        <v>19.268519999999999</v>
      </c>
      <c r="F283" s="6">
        <f t="shared" si="52"/>
        <v>0.26851999999999876</v>
      </c>
      <c r="G283" s="6">
        <f t="shared" si="53"/>
        <v>1.4132631578947303E-2</v>
      </c>
      <c r="H283" s="6" t="str">
        <f t="shared" si="54"/>
        <v>🟢 Over-injection</v>
      </c>
      <c r="I283" s="6">
        <f t="shared" si="55"/>
        <v>-0.26851999999999876</v>
      </c>
      <c r="J283" s="3">
        <v>3.9983</v>
      </c>
      <c r="K283" s="6">
        <f t="shared" si="56"/>
        <v>2.85</v>
      </c>
      <c r="L283" s="6">
        <f t="shared" si="57"/>
        <v>3.8000000000000003</v>
      </c>
      <c r="M283" s="6">
        <f t="shared" si="58"/>
        <v>0.26851999999999876</v>
      </c>
      <c r="N283" s="6">
        <f t="shared" si="59"/>
        <v>0</v>
      </c>
      <c r="O283" s="6">
        <f t="shared" si="60"/>
        <v>0</v>
      </c>
      <c r="P283" s="6">
        <f t="shared" si="61"/>
        <v>-214.724703199999</v>
      </c>
      <c r="Q283" s="3">
        <v>-214.72470319999999</v>
      </c>
      <c r="R283" s="6">
        <f t="shared" si="62"/>
        <v>9.9475983006414026E-13</v>
      </c>
      <c r="S283" s="6" t="str">
        <f t="shared" si="63"/>
        <v>OK</v>
      </c>
    </row>
    <row r="284" spans="1:19" x14ac:dyDescent="0.25">
      <c r="A284" s="3" t="str">
        <f t="shared" si="64"/>
        <v>01.07.2026</v>
      </c>
      <c r="B284" s="5">
        <v>75</v>
      </c>
      <c r="C284" s="5" t="s">
        <v>43</v>
      </c>
      <c r="D284" s="3">
        <v>20</v>
      </c>
      <c r="E284" s="3">
        <v>19.91534</v>
      </c>
      <c r="F284" s="6">
        <f t="shared" si="52"/>
        <v>-8.4659999999999513E-2</v>
      </c>
      <c r="G284" s="6">
        <f t="shared" si="53"/>
        <v>-4.2329999999999755E-3</v>
      </c>
      <c r="H284" s="6" t="str">
        <f t="shared" si="54"/>
        <v>🔴 Under-injection</v>
      </c>
      <c r="I284" s="6">
        <f t="shared" si="55"/>
        <v>8.4659999999999513E-2</v>
      </c>
      <c r="J284" s="3">
        <v>4.5579999999999998</v>
      </c>
      <c r="K284" s="6">
        <f t="shared" si="56"/>
        <v>3</v>
      </c>
      <c r="L284" s="6">
        <f t="shared" si="57"/>
        <v>4</v>
      </c>
      <c r="M284" s="6">
        <f t="shared" si="58"/>
        <v>8.4659999999999513E-2</v>
      </c>
      <c r="N284" s="6">
        <f t="shared" si="59"/>
        <v>0</v>
      </c>
      <c r="O284" s="6">
        <f t="shared" si="60"/>
        <v>0</v>
      </c>
      <c r="P284" s="6">
        <f t="shared" si="61"/>
        <v>101.29357349999941</v>
      </c>
      <c r="Q284" s="3">
        <v>101.29357349999999</v>
      </c>
      <c r="R284" s="6">
        <f t="shared" si="62"/>
        <v>-5.8264504332328215E-13</v>
      </c>
      <c r="S284" s="6" t="str">
        <f t="shared" si="63"/>
        <v>OK</v>
      </c>
    </row>
    <row r="285" spans="1:19" x14ac:dyDescent="0.25">
      <c r="A285" s="3" t="str">
        <f t="shared" si="64"/>
        <v>01.07.2026</v>
      </c>
      <c r="B285" s="5">
        <v>76</v>
      </c>
      <c r="C285" s="5" t="s">
        <v>42</v>
      </c>
      <c r="D285" s="3">
        <v>20</v>
      </c>
      <c r="E285" s="3">
        <v>20.19904</v>
      </c>
      <c r="F285" s="6">
        <f t="shared" si="52"/>
        <v>0.19904000000000011</v>
      </c>
      <c r="G285" s="6">
        <f t="shared" si="53"/>
        <v>9.952000000000006E-3</v>
      </c>
      <c r="H285" s="6" t="str">
        <f t="shared" si="54"/>
        <v>🟢 Over-injection</v>
      </c>
      <c r="I285" s="6">
        <f t="shared" si="55"/>
        <v>-0.19904000000000011</v>
      </c>
      <c r="J285" s="3">
        <v>5.5926999999999998</v>
      </c>
      <c r="K285" s="6">
        <f t="shared" si="56"/>
        <v>3</v>
      </c>
      <c r="L285" s="6">
        <f t="shared" si="57"/>
        <v>4</v>
      </c>
      <c r="M285" s="6">
        <f t="shared" si="58"/>
        <v>0.19904000000000011</v>
      </c>
      <c r="N285" s="6">
        <f t="shared" si="59"/>
        <v>0</v>
      </c>
      <c r="O285" s="6">
        <f t="shared" si="60"/>
        <v>0</v>
      </c>
      <c r="P285" s="6">
        <f t="shared" si="61"/>
        <v>-222.63420160000013</v>
      </c>
      <c r="Q285" s="3">
        <v>-222.63420160000004</v>
      </c>
      <c r="R285" s="6">
        <f t="shared" si="62"/>
        <v>0</v>
      </c>
      <c r="S285" s="6" t="str">
        <f t="shared" si="63"/>
        <v>OK</v>
      </c>
    </row>
    <row r="286" spans="1:19" x14ac:dyDescent="0.25">
      <c r="A286" s="3" t="str">
        <f t="shared" si="64"/>
        <v>01.07.2026</v>
      </c>
      <c r="B286" s="5">
        <v>77</v>
      </c>
      <c r="C286" s="5" t="s">
        <v>41</v>
      </c>
      <c r="D286" s="3">
        <v>20</v>
      </c>
      <c r="E286" s="3">
        <v>20.19904</v>
      </c>
      <c r="F286" s="6">
        <f t="shared" si="52"/>
        <v>0.19904000000000011</v>
      </c>
      <c r="G286" s="6">
        <f t="shared" si="53"/>
        <v>9.952000000000006E-3</v>
      </c>
      <c r="H286" s="6" t="str">
        <f t="shared" si="54"/>
        <v>🟢 Over-injection</v>
      </c>
      <c r="I286" s="6">
        <f t="shared" si="55"/>
        <v>-0.19904000000000011</v>
      </c>
      <c r="J286" s="3">
        <v>9.9994000000000014</v>
      </c>
      <c r="K286" s="6">
        <f t="shared" si="56"/>
        <v>3</v>
      </c>
      <c r="L286" s="6">
        <f t="shared" si="57"/>
        <v>4</v>
      </c>
      <c r="M286" s="6">
        <f t="shared" si="58"/>
        <v>0.19904000000000011</v>
      </c>
      <c r="N286" s="6">
        <f t="shared" si="59"/>
        <v>0</v>
      </c>
      <c r="O286" s="6">
        <f t="shared" si="60"/>
        <v>0</v>
      </c>
      <c r="P286" s="6">
        <f t="shared" si="61"/>
        <v>-398.05611520000031</v>
      </c>
      <c r="Q286" s="3">
        <v>-398.05611520000008</v>
      </c>
      <c r="R286" s="6">
        <f t="shared" si="62"/>
        <v>0</v>
      </c>
      <c r="S286" s="6" t="str">
        <f t="shared" si="63"/>
        <v>OK</v>
      </c>
    </row>
    <row r="287" spans="1:19" x14ac:dyDescent="0.25">
      <c r="A287" s="3" t="str">
        <f t="shared" si="64"/>
        <v>01.07.2026</v>
      </c>
      <c r="B287" s="5">
        <v>78</v>
      </c>
      <c r="C287" s="5" t="s">
        <v>40</v>
      </c>
      <c r="D287" s="3">
        <v>20</v>
      </c>
      <c r="E287" s="3">
        <v>20.19904</v>
      </c>
      <c r="F287" s="6">
        <f t="shared" si="52"/>
        <v>0.19904000000000011</v>
      </c>
      <c r="G287" s="6">
        <f t="shared" si="53"/>
        <v>9.952000000000006E-3</v>
      </c>
      <c r="H287" s="6" t="str">
        <f t="shared" si="54"/>
        <v>🟢 Over-injection</v>
      </c>
      <c r="I287" s="6">
        <f t="shared" si="55"/>
        <v>-0.19904000000000011</v>
      </c>
      <c r="J287" s="3">
        <v>10</v>
      </c>
      <c r="K287" s="6">
        <f t="shared" si="56"/>
        <v>3</v>
      </c>
      <c r="L287" s="6">
        <f t="shared" si="57"/>
        <v>4</v>
      </c>
      <c r="M287" s="6">
        <f t="shared" si="58"/>
        <v>0.19904000000000011</v>
      </c>
      <c r="N287" s="6">
        <f t="shared" si="59"/>
        <v>0</v>
      </c>
      <c r="O287" s="6">
        <f t="shared" si="60"/>
        <v>0</v>
      </c>
      <c r="P287" s="6">
        <f t="shared" si="61"/>
        <v>-398.08000000000021</v>
      </c>
      <c r="Q287" s="3">
        <v>-398.08</v>
      </c>
      <c r="R287" s="6">
        <f t="shared" si="62"/>
        <v>0</v>
      </c>
      <c r="S287" s="6" t="str">
        <f t="shared" si="63"/>
        <v>OK</v>
      </c>
    </row>
    <row r="288" spans="1:19" x14ac:dyDescent="0.25">
      <c r="A288" s="3" t="str">
        <f t="shared" si="64"/>
        <v>01.07.2026</v>
      </c>
      <c r="B288" s="5">
        <v>79</v>
      </c>
      <c r="C288" s="5" t="s">
        <v>39</v>
      </c>
      <c r="D288" s="3">
        <v>21.5</v>
      </c>
      <c r="E288" s="3">
        <v>21.299779999999998</v>
      </c>
      <c r="F288" s="6">
        <f t="shared" si="52"/>
        <v>-0.20022000000000162</v>
      </c>
      <c r="G288" s="6">
        <f t="shared" si="53"/>
        <v>-9.3125581395349585E-3</v>
      </c>
      <c r="H288" s="6" t="str">
        <f t="shared" si="54"/>
        <v>🔴 Under-injection</v>
      </c>
      <c r="I288" s="6">
        <f t="shared" si="55"/>
        <v>0.20022000000000162</v>
      </c>
      <c r="J288" s="3">
        <v>10</v>
      </c>
      <c r="K288" s="6">
        <f t="shared" si="56"/>
        <v>3.2250000000000001</v>
      </c>
      <c r="L288" s="6">
        <f t="shared" si="57"/>
        <v>4.3</v>
      </c>
      <c r="M288" s="6">
        <f t="shared" si="58"/>
        <v>0.20022000000000162</v>
      </c>
      <c r="N288" s="6">
        <f t="shared" si="59"/>
        <v>0</v>
      </c>
      <c r="O288" s="6">
        <f t="shared" si="60"/>
        <v>0</v>
      </c>
      <c r="P288" s="6">
        <f t="shared" si="61"/>
        <v>525.57750000000419</v>
      </c>
      <c r="Q288" s="3">
        <v>525.57749999999999</v>
      </c>
      <c r="R288" s="6">
        <f t="shared" si="62"/>
        <v>4.2064129956997931E-12</v>
      </c>
      <c r="S288" s="6" t="str">
        <f t="shared" si="63"/>
        <v>OK</v>
      </c>
    </row>
    <row r="289" spans="1:19" x14ac:dyDescent="0.25">
      <c r="A289" s="3" t="str">
        <f t="shared" si="64"/>
        <v>01.07.2026</v>
      </c>
      <c r="B289" s="5">
        <v>80</v>
      </c>
      <c r="C289" s="5" t="s">
        <v>38</v>
      </c>
      <c r="D289" s="3">
        <v>21.5</v>
      </c>
      <c r="E289" s="3">
        <v>21.572120000000002</v>
      </c>
      <c r="F289" s="6">
        <f t="shared" si="52"/>
        <v>7.2120000000001738E-2</v>
      </c>
      <c r="G289" s="6">
        <f t="shared" si="53"/>
        <v>3.3544186046512436E-3</v>
      </c>
      <c r="H289" s="6" t="str">
        <f t="shared" si="54"/>
        <v>🟢 Over-injection</v>
      </c>
      <c r="I289" s="6">
        <f t="shared" si="55"/>
        <v>-7.2120000000001738E-2</v>
      </c>
      <c r="J289" s="3">
        <v>10</v>
      </c>
      <c r="K289" s="6">
        <f t="shared" si="56"/>
        <v>3.2250000000000001</v>
      </c>
      <c r="L289" s="6">
        <f t="shared" si="57"/>
        <v>4.3</v>
      </c>
      <c r="M289" s="6">
        <f t="shared" si="58"/>
        <v>7.2120000000001738E-2</v>
      </c>
      <c r="N289" s="6">
        <f t="shared" si="59"/>
        <v>0</v>
      </c>
      <c r="O289" s="6">
        <f t="shared" si="60"/>
        <v>0</v>
      </c>
      <c r="P289" s="6">
        <f t="shared" si="61"/>
        <v>-144.24000000000348</v>
      </c>
      <c r="Q289" s="3">
        <v>-144.24</v>
      </c>
      <c r="R289" s="6">
        <f t="shared" si="62"/>
        <v>-3.4674485505092889E-12</v>
      </c>
      <c r="S289" s="6" t="str">
        <f t="shared" si="63"/>
        <v>OK</v>
      </c>
    </row>
    <row r="290" spans="1:19" x14ac:dyDescent="0.25">
      <c r="A290" s="3" t="str">
        <f t="shared" si="64"/>
        <v>01.07.2026</v>
      </c>
      <c r="B290" s="5">
        <v>81</v>
      </c>
      <c r="C290" s="5" t="s">
        <v>37</v>
      </c>
      <c r="D290" s="3">
        <v>21</v>
      </c>
      <c r="E290" s="3">
        <v>21.23169</v>
      </c>
      <c r="F290" s="6">
        <f t="shared" si="52"/>
        <v>0.2316900000000004</v>
      </c>
      <c r="G290" s="6">
        <f t="shared" si="53"/>
        <v>1.1032857142857162E-2</v>
      </c>
      <c r="H290" s="6" t="str">
        <f t="shared" si="54"/>
        <v>🟢 Over-injection</v>
      </c>
      <c r="I290" s="6">
        <f t="shared" si="55"/>
        <v>-0.2316900000000004</v>
      </c>
      <c r="J290" s="3">
        <v>10</v>
      </c>
      <c r="K290" s="6">
        <f t="shared" si="56"/>
        <v>3.15</v>
      </c>
      <c r="L290" s="6">
        <f t="shared" si="57"/>
        <v>4.2</v>
      </c>
      <c r="M290" s="6">
        <f t="shared" si="58"/>
        <v>0.2316900000000004</v>
      </c>
      <c r="N290" s="6">
        <f t="shared" si="59"/>
        <v>0</v>
      </c>
      <c r="O290" s="6">
        <f t="shared" si="60"/>
        <v>0</v>
      </c>
      <c r="P290" s="6">
        <f t="shared" si="61"/>
        <v>-463.38000000000079</v>
      </c>
      <c r="Q290" s="3">
        <v>-463.38</v>
      </c>
      <c r="R290" s="6">
        <f t="shared" si="62"/>
        <v>-7.9580786405131221E-13</v>
      </c>
      <c r="S290" s="6" t="str">
        <f t="shared" si="63"/>
        <v>OK</v>
      </c>
    </row>
    <row r="291" spans="1:19" x14ac:dyDescent="0.25">
      <c r="A291" s="3" t="str">
        <f t="shared" si="64"/>
        <v>01.07.2026</v>
      </c>
      <c r="B291" s="5">
        <v>82</v>
      </c>
      <c r="C291" s="5" t="s">
        <v>36</v>
      </c>
      <c r="D291" s="3">
        <v>21</v>
      </c>
      <c r="E291" s="3">
        <v>21.140899999999998</v>
      </c>
      <c r="F291" s="6">
        <f t="shared" si="52"/>
        <v>0.14089999999999847</v>
      </c>
      <c r="G291" s="6">
        <f t="shared" si="53"/>
        <v>6.7095238095237365E-3</v>
      </c>
      <c r="H291" s="6" t="str">
        <f t="shared" si="54"/>
        <v>🟢 Over-injection</v>
      </c>
      <c r="I291" s="6">
        <f t="shared" si="55"/>
        <v>-0.14089999999999847</v>
      </c>
      <c r="J291" s="3">
        <v>10</v>
      </c>
      <c r="K291" s="6">
        <f t="shared" si="56"/>
        <v>3.15</v>
      </c>
      <c r="L291" s="6">
        <f t="shared" si="57"/>
        <v>4.2</v>
      </c>
      <c r="M291" s="6">
        <f t="shared" si="58"/>
        <v>0.14089999999999847</v>
      </c>
      <c r="N291" s="6">
        <f t="shared" si="59"/>
        <v>0</v>
      </c>
      <c r="O291" s="6">
        <f t="shared" si="60"/>
        <v>0</v>
      </c>
      <c r="P291" s="6">
        <f t="shared" si="61"/>
        <v>-281.79999999999694</v>
      </c>
      <c r="Q291" s="3">
        <v>-281.8</v>
      </c>
      <c r="R291" s="6">
        <f t="shared" si="62"/>
        <v>3.0695446184836328E-12</v>
      </c>
      <c r="S291" s="6" t="str">
        <f t="shared" si="63"/>
        <v>OK</v>
      </c>
    </row>
    <row r="292" spans="1:19" x14ac:dyDescent="0.25">
      <c r="A292" s="3" t="str">
        <f t="shared" si="64"/>
        <v>01.07.2026</v>
      </c>
      <c r="B292" s="5">
        <v>83</v>
      </c>
      <c r="C292" s="5" t="s">
        <v>35</v>
      </c>
      <c r="D292" s="3">
        <v>20</v>
      </c>
      <c r="E292" s="3">
        <v>20.528120000000001</v>
      </c>
      <c r="F292" s="6">
        <f t="shared" si="52"/>
        <v>0.52812000000000126</v>
      </c>
      <c r="G292" s="6">
        <f t="shared" si="53"/>
        <v>2.6406000000000061E-2</v>
      </c>
      <c r="H292" s="6" t="str">
        <f t="shared" si="54"/>
        <v>🟢 Over-injection</v>
      </c>
      <c r="I292" s="6">
        <f t="shared" si="55"/>
        <v>-0.52812000000000126</v>
      </c>
      <c r="J292" s="3">
        <v>10</v>
      </c>
      <c r="K292" s="6">
        <f t="shared" si="56"/>
        <v>3</v>
      </c>
      <c r="L292" s="6">
        <f t="shared" si="57"/>
        <v>4</v>
      </c>
      <c r="M292" s="6">
        <f t="shared" si="58"/>
        <v>0.52812000000000126</v>
      </c>
      <c r="N292" s="6">
        <f t="shared" si="59"/>
        <v>0</v>
      </c>
      <c r="O292" s="6">
        <f t="shared" si="60"/>
        <v>0</v>
      </c>
      <c r="P292" s="6">
        <f t="shared" si="61"/>
        <v>-1056.2400000000025</v>
      </c>
      <c r="Q292" s="3">
        <v>-1056.24</v>
      </c>
      <c r="R292" s="6">
        <f t="shared" si="62"/>
        <v>-2.5011104298755527E-12</v>
      </c>
      <c r="S292" s="6" t="str">
        <f t="shared" si="63"/>
        <v>OK</v>
      </c>
    </row>
    <row r="293" spans="1:19" x14ac:dyDescent="0.25">
      <c r="A293" s="3" t="str">
        <f t="shared" si="64"/>
        <v>01.07.2026</v>
      </c>
      <c r="B293" s="5">
        <v>84</v>
      </c>
      <c r="C293" s="5" t="s">
        <v>34</v>
      </c>
      <c r="D293" s="3">
        <v>20</v>
      </c>
      <c r="E293" s="3">
        <v>20.33521</v>
      </c>
      <c r="F293" s="6">
        <f t="shared" si="52"/>
        <v>0.33521000000000001</v>
      </c>
      <c r="G293" s="6">
        <f t="shared" si="53"/>
        <v>1.6760500000000001E-2</v>
      </c>
      <c r="H293" s="6" t="str">
        <f t="shared" si="54"/>
        <v>🟢 Over-injection</v>
      </c>
      <c r="I293" s="6">
        <f t="shared" si="55"/>
        <v>-0.33521000000000001</v>
      </c>
      <c r="J293" s="3">
        <v>10</v>
      </c>
      <c r="K293" s="6">
        <f t="shared" si="56"/>
        <v>3</v>
      </c>
      <c r="L293" s="6">
        <f t="shared" si="57"/>
        <v>4</v>
      </c>
      <c r="M293" s="6">
        <f t="shared" si="58"/>
        <v>0.33521000000000001</v>
      </c>
      <c r="N293" s="6">
        <f t="shared" si="59"/>
        <v>0</v>
      </c>
      <c r="O293" s="6">
        <f t="shared" si="60"/>
        <v>0</v>
      </c>
      <c r="P293" s="6">
        <f t="shared" si="61"/>
        <v>-670.42000000000007</v>
      </c>
      <c r="Q293" s="3">
        <v>-670.42000000000007</v>
      </c>
      <c r="R293" s="6">
        <f t="shared" si="62"/>
        <v>0</v>
      </c>
      <c r="S293" s="6" t="str">
        <f t="shared" si="63"/>
        <v>OK</v>
      </c>
    </row>
    <row r="294" spans="1:19" x14ac:dyDescent="0.25">
      <c r="A294" s="3" t="str">
        <f t="shared" si="64"/>
        <v>01.07.2026</v>
      </c>
      <c r="B294" s="5">
        <v>85</v>
      </c>
      <c r="C294" s="5" t="s">
        <v>33</v>
      </c>
      <c r="D294" s="3">
        <v>20</v>
      </c>
      <c r="E294" s="3">
        <v>20.33521</v>
      </c>
      <c r="F294" s="6">
        <f t="shared" si="52"/>
        <v>0.33521000000000001</v>
      </c>
      <c r="G294" s="6">
        <f t="shared" si="53"/>
        <v>1.6760500000000001E-2</v>
      </c>
      <c r="H294" s="6" t="str">
        <f t="shared" si="54"/>
        <v>🟢 Over-injection</v>
      </c>
      <c r="I294" s="6">
        <f t="shared" si="55"/>
        <v>-0.33521000000000001</v>
      </c>
      <c r="J294" s="3">
        <v>10</v>
      </c>
      <c r="K294" s="6">
        <f t="shared" si="56"/>
        <v>3</v>
      </c>
      <c r="L294" s="6">
        <f t="shared" si="57"/>
        <v>4</v>
      </c>
      <c r="M294" s="6">
        <f t="shared" si="58"/>
        <v>0.33521000000000001</v>
      </c>
      <c r="N294" s="6">
        <f t="shared" si="59"/>
        <v>0</v>
      </c>
      <c r="O294" s="6">
        <f t="shared" si="60"/>
        <v>0</v>
      </c>
      <c r="P294" s="6">
        <f t="shared" si="61"/>
        <v>-670.42000000000007</v>
      </c>
      <c r="Q294" s="3">
        <v>-670.42000000000007</v>
      </c>
      <c r="R294" s="6">
        <f t="shared" si="62"/>
        <v>0</v>
      </c>
      <c r="S294" s="6" t="str">
        <f t="shared" si="63"/>
        <v>OK</v>
      </c>
    </row>
    <row r="295" spans="1:19" x14ac:dyDescent="0.25">
      <c r="A295" s="3" t="str">
        <f t="shared" si="64"/>
        <v>01.07.2026</v>
      </c>
      <c r="B295" s="5">
        <v>86</v>
      </c>
      <c r="C295" s="5" t="s">
        <v>32</v>
      </c>
      <c r="D295" s="3">
        <v>20</v>
      </c>
      <c r="E295" s="3">
        <v>20.33521</v>
      </c>
      <c r="F295" s="6">
        <f t="shared" si="52"/>
        <v>0.33521000000000001</v>
      </c>
      <c r="G295" s="6">
        <f t="shared" si="53"/>
        <v>1.6760500000000001E-2</v>
      </c>
      <c r="H295" s="6" t="str">
        <f t="shared" si="54"/>
        <v>🟢 Over-injection</v>
      </c>
      <c r="I295" s="6">
        <f t="shared" si="55"/>
        <v>-0.33521000000000001</v>
      </c>
      <c r="J295" s="3">
        <v>10</v>
      </c>
      <c r="K295" s="6">
        <f t="shared" si="56"/>
        <v>3</v>
      </c>
      <c r="L295" s="6">
        <f t="shared" si="57"/>
        <v>4</v>
      </c>
      <c r="M295" s="6">
        <f t="shared" si="58"/>
        <v>0.33521000000000001</v>
      </c>
      <c r="N295" s="6">
        <f t="shared" si="59"/>
        <v>0</v>
      </c>
      <c r="O295" s="6">
        <f t="shared" si="60"/>
        <v>0</v>
      </c>
      <c r="P295" s="6">
        <f t="shared" si="61"/>
        <v>-670.42000000000007</v>
      </c>
      <c r="Q295" s="3">
        <v>-670.42000000000007</v>
      </c>
      <c r="R295" s="6">
        <f t="shared" si="62"/>
        <v>0</v>
      </c>
      <c r="S295" s="6" t="str">
        <f t="shared" si="63"/>
        <v>OK</v>
      </c>
    </row>
    <row r="296" spans="1:19" x14ac:dyDescent="0.25">
      <c r="A296" s="3" t="str">
        <f t="shared" si="64"/>
        <v>01.07.2026</v>
      </c>
      <c r="B296" s="5">
        <v>87</v>
      </c>
      <c r="C296" s="5" t="s">
        <v>31</v>
      </c>
      <c r="D296" s="3">
        <v>20</v>
      </c>
      <c r="E296" s="3">
        <v>20.33521</v>
      </c>
      <c r="F296" s="6">
        <f t="shared" si="52"/>
        <v>0.33521000000000001</v>
      </c>
      <c r="G296" s="6">
        <f t="shared" si="53"/>
        <v>1.6760500000000001E-2</v>
      </c>
      <c r="H296" s="6" t="str">
        <f t="shared" si="54"/>
        <v>🟢 Over-injection</v>
      </c>
      <c r="I296" s="6">
        <f t="shared" si="55"/>
        <v>-0.33521000000000001</v>
      </c>
      <c r="J296" s="3">
        <v>10</v>
      </c>
      <c r="K296" s="6">
        <f t="shared" si="56"/>
        <v>3</v>
      </c>
      <c r="L296" s="6">
        <f t="shared" si="57"/>
        <v>4</v>
      </c>
      <c r="M296" s="6">
        <f t="shared" si="58"/>
        <v>0.33521000000000001</v>
      </c>
      <c r="N296" s="6">
        <f t="shared" si="59"/>
        <v>0</v>
      </c>
      <c r="O296" s="6">
        <f t="shared" si="60"/>
        <v>0</v>
      </c>
      <c r="P296" s="6">
        <f t="shared" si="61"/>
        <v>-670.42000000000007</v>
      </c>
      <c r="Q296" s="3">
        <v>-670.42000000000007</v>
      </c>
      <c r="R296" s="6">
        <f t="shared" si="62"/>
        <v>0</v>
      </c>
      <c r="S296" s="6" t="str">
        <f t="shared" si="63"/>
        <v>OK</v>
      </c>
    </row>
    <row r="297" spans="1:19" x14ac:dyDescent="0.25">
      <c r="A297" s="3" t="str">
        <f t="shared" si="64"/>
        <v>01.07.2026</v>
      </c>
      <c r="B297" s="5">
        <v>88</v>
      </c>
      <c r="C297" s="5" t="s">
        <v>30</v>
      </c>
      <c r="D297" s="3">
        <v>20</v>
      </c>
      <c r="E297" s="3">
        <v>20.33521</v>
      </c>
      <c r="F297" s="6">
        <f t="shared" si="52"/>
        <v>0.33521000000000001</v>
      </c>
      <c r="G297" s="6">
        <f t="shared" si="53"/>
        <v>1.6760500000000001E-2</v>
      </c>
      <c r="H297" s="6" t="str">
        <f t="shared" si="54"/>
        <v>🟢 Over-injection</v>
      </c>
      <c r="I297" s="6">
        <f t="shared" si="55"/>
        <v>-0.33521000000000001</v>
      </c>
      <c r="J297" s="3">
        <v>10</v>
      </c>
      <c r="K297" s="6">
        <f t="shared" si="56"/>
        <v>3</v>
      </c>
      <c r="L297" s="6">
        <f t="shared" si="57"/>
        <v>4</v>
      </c>
      <c r="M297" s="6">
        <f t="shared" si="58"/>
        <v>0.33521000000000001</v>
      </c>
      <c r="N297" s="6">
        <f t="shared" si="59"/>
        <v>0</v>
      </c>
      <c r="O297" s="6">
        <f t="shared" si="60"/>
        <v>0</v>
      </c>
      <c r="P297" s="6">
        <f t="shared" si="61"/>
        <v>-670.42000000000007</v>
      </c>
      <c r="Q297" s="3">
        <v>-670.42000000000007</v>
      </c>
      <c r="R297" s="6">
        <f t="shared" si="62"/>
        <v>0</v>
      </c>
      <c r="S297" s="6" t="str">
        <f t="shared" si="63"/>
        <v>OK</v>
      </c>
    </row>
    <row r="298" spans="1:19" x14ac:dyDescent="0.25">
      <c r="A298" s="3" t="str">
        <f t="shared" si="64"/>
        <v>01.07.2026</v>
      </c>
      <c r="B298" s="5">
        <v>89</v>
      </c>
      <c r="C298" s="5" t="s">
        <v>29</v>
      </c>
      <c r="D298" s="3">
        <v>20</v>
      </c>
      <c r="E298" s="3">
        <v>20.33521</v>
      </c>
      <c r="F298" s="6">
        <f t="shared" si="52"/>
        <v>0.33521000000000001</v>
      </c>
      <c r="G298" s="6">
        <f t="shared" si="53"/>
        <v>1.6760500000000001E-2</v>
      </c>
      <c r="H298" s="6" t="str">
        <f t="shared" si="54"/>
        <v>🟢 Over-injection</v>
      </c>
      <c r="I298" s="6">
        <f t="shared" si="55"/>
        <v>-0.33521000000000001</v>
      </c>
      <c r="J298" s="3">
        <v>10</v>
      </c>
      <c r="K298" s="6">
        <f t="shared" si="56"/>
        <v>3</v>
      </c>
      <c r="L298" s="6">
        <f t="shared" si="57"/>
        <v>4</v>
      </c>
      <c r="M298" s="6">
        <f t="shared" si="58"/>
        <v>0.33521000000000001</v>
      </c>
      <c r="N298" s="6">
        <f t="shared" si="59"/>
        <v>0</v>
      </c>
      <c r="O298" s="6">
        <f t="shared" si="60"/>
        <v>0</v>
      </c>
      <c r="P298" s="6">
        <f t="shared" si="61"/>
        <v>-670.42000000000007</v>
      </c>
      <c r="Q298" s="3">
        <v>-670.42000000000007</v>
      </c>
      <c r="R298" s="6">
        <f t="shared" si="62"/>
        <v>0</v>
      </c>
      <c r="S298" s="6" t="str">
        <f t="shared" si="63"/>
        <v>OK</v>
      </c>
    </row>
    <row r="299" spans="1:19" x14ac:dyDescent="0.25">
      <c r="A299" s="3" t="str">
        <f t="shared" si="64"/>
        <v>01.07.2026</v>
      </c>
      <c r="B299" s="5">
        <v>90</v>
      </c>
      <c r="C299" s="5" t="s">
        <v>28</v>
      </c>
      <c r="D299" s="3">
        <v>20</v>
      </c>
      <c r="E299" s="3">
        <v>20.301169999999999</v>
      </c>
      <c r="F299" s="6">
        <f t="shared" si="52"/>
        <v>0.30116999999999905</v>
      </c>
      <c r="G299" s="6">
        <f t="shared" si="53"/>
        <v>1.5058499999999952E-2</v>
      </c>
      <c r="H299" s="6" t="str">
        <f t="shared" si="54"/>
        <v>🟢 Over-injection</v>
      </c>
      <c r="I299" s="6">
        <f t="shared" si="55"/>
        <v>-0.30116999999999905</v>
      </c>
      <c r="J299" s="3">
        <v>10</v>
      </c>
      <c r="K299" s="6">
        <f t="shared" si="56"/>
        <v>3</v>
      </c>
      <c r="L299" s="6">
        <f t="shared" si="57"/>
        <v>4</v>
      </c>
      <c r="M299" s="6">
        <f t="shared" si="58"/>
        <v>0.30116999999999905</v>
      </c>
      <c r="N299" s="6">
        <f t="shared" si="59"/>
        <v>0</v>
      </c>
      <c r="O299" s="6">
        <f t="shared" si="60"/>
        <v>0</v>
      </c>
      <c r="P299" s="6">
        <f t="shared" si="61"/>
        <v>-602.3399999999981</v>
      </c>
      <c r="Q299" s="3">
        <v>-602.34</v>
      </c>
      <c r="R299" s="6">
        <f t="shared" si="62"/>
        <v>1.9326762412674725E-12</v>
      </c>
      <c r="S299" s="6" t="str">
        <f t="shared" si="63"/>
        <v>OK</v>
      </c>
    </row>
    <row r="300" spans="1:19" x14ac:dyDescent="0.25">
      <c r="A300" s="3" t="str">
        <f t="shared" si="64"/>
        <v>01.07.2026</v>
      </c>
      <c r="B300" s="5">
        <v>91</v>
      </c>
      <c r="C300" s="5" t="s">
        <v>27</v>
      </c>
      <c r="D300" s="3">
        <v>20</v>
      </c>
      <c r="E300" s="3">
        <v>20.108260000000001</v>
      </c>
      <c r="F300" s="6">
        <f t="shared" si="52"/>
        <v>0.10826000000000136</v>
      </c>
      <c r="G300" s="6">
        <f t="shared" si="53"/>
        <v>5.4130000000000679E-3</v>
      </c>
      <c r="H300" s="6" t="str">
        <f t="shared" si="54"/>
        <v>🟢 Over-injection</v>
      </c>
      <c r="I300" s="6">
        <f t="shared" si="55"/>
        <v>-0.10826000000000136</v>
      </c>
      <c r="J300" s="3">
        <v>10</v>
      </c>
      <c r="K300" s="6">
        <f t="shared" si="56"/>
        <v>3</v>
      </c>
      <c r="L300" s="6">
        <f t="shared" si="57"/>
        <v>4</v>
      </c>
      <c r="M300" s="6">
        <f t="shared" si="58"/>
        <v>0.10826000000000136</v>
      </c>
      <c r="N300" s="6">
        <f t="shared" si="59"/>
        <v>0</v>
      </c>
      <c r="O300" s="6">
        <f t="shared" si="60"/>
        <v>0</v>
      </c>
      <c r="P300" s="6">
        <f t="shared" si="61"/>
        <v>-216.52000000000271</v>
      </c>
      <c r="Q300" s="3">
        <v>-216.51999999999998</v>
      </c>
      <c r="R300" s="6">
        <f t="shared" si="62"/>
        <v>-2.7284841053187847E-12</v>
      </c>
      <c r="S300" s="6" t="str">
        <f t="shared" si="63"/>
        <v>OK</v>
      </c>
    </row>
    <row r="301" spans="1:19" x14ac:dyDescent="0.25">
      <c r="A301" s="3" t="str">
        <f t="shared" si="64"/>
        <v>01.07.2026</v>
      </c>
      <c r="B301" s="5">
        <v>92</v>
      </c>
      <c r="C301" s="5" t="s">
        <v>26</v>
      </c>
      <c r="D301" s="3">
        <v>20</v>
      </c>
      <c r="E301" s="3">
        <v>20.108260000000001</v>
      </c>
      <c r="F301" s="6">
        <f t="shared" si="52"/>
        <v>0.10826000000000136</v>
      </c>
      <c r="G301" s="6">
        <f t="shared" si="53"/>
        <v>5.4130000000000679E-3</v>
      </c>
      <c r="H301" s="6" t="str">
        <f t="shared" si="54"/>
        <v>🟢 Over-injection</v>
      </c>
      <c r="I301" s="6">
        <f t="shared" si="55"/>
        <v>-0.10826000000000136</v>
      </c>
      <c r="J301" s="3">
        <v>10</v>
      </c>
      <c r="K301" s="6">
        <f t="shared" si="56"/>
        <v>3</v>
      </c>
      <c r="L301" s="6">
        <f t="shared" si="57"/>
        <v>4</v>
      </c>
      <c r="M301" s="6">
        <f t="shared" si="58"/>
        <v>0.10826000000000136</v>
      </c>
      <c r="N301" s="6">
        <f t="shared" si="59"/>
        <v>0</v>
      </c>
      <c r="O301" s="6">
        <f t="shared" si="60"/>
        <v>0</v>
      </c>
      <c r="P301" s="6">
        <f t="shared" si="61"/>
        <v>-216.52000000000271</v>
      </c>
      <c r="Q301" s="3">
        <v>-216.51999999999998</v>
      </c>
      <c r="R301" s="6">
        <f t="shared" si="62"/>
        <v>-2.7284841053187847E-12</v>
      </c>
      <c r="S301" s="6" t="str">
        <f t="shared" si="63"/>
        <v>OK</v>
      </c>
    </row>
    <row r="302" spans="1:19" x14ac:dyDescent="0.25">
      <c r="A302" s="3" t="str">
        <f t="shared" si="64"/>
        <v>01.07.2026</v>
      </c>
      <c r="B302" s="5">
        <v>93</v>
      </c>
      <c r="C302" s="5" t="s">
        <v>25</v>
      </c>
      <c r="D302" s="3">
        <v>20</v>
      </c>
      <c r="E302" s="3">
        <v>20.108260000000001</v>
      </c>
      <c r="F302" s="6">
        <f t="shared" si="52"/>
        <v>0.10826000000000136</v>
      </c>
      <c r="G302" s="6">
        <f t="shared" si="53"/>
        <v>5.4130000000000679E-3</v>
      </c>
      <c r="H302" s="6" t="str">
        <f t="shared" si="54"/>
        <v>🟢 Over-injection</v>
      </c>
      <c r="I302" s="6">
        <f t="shared" si="55"/>
        <v>-0.10826000000000136</v>
      </c>
      <c r="J302" s="3">
        <v>10</v>
      </c>
      <c r="K302" s="6">
        <f t="shared" si="56"/>
        <v>3</v>
      </c>
      <c r="L302" s="6">
        <f t="shared" si="57"/>
        <v>4</v>
      </c>
      <c r="M302" s="6">
        <f t="shared" si="58"/>
        <v>0.10826000000000136</v>
      </c>
      <c r="N302" s="6">
        <f t="shared" si="59"/>
        <v>0</v>
      </c>
      <c r="O302" s="6">
        <f t="shared" si="60"/>
        <v>0</v>
      </c>
      <c r="P302" s="6">
        <f t="shared" si="61"/>
        <v>-216.52000000000271</v>
      </c>
      <c r="Q302" s="3">
        <v>-216.51999999999998</v>
      </c>
      <c r="R302" s="6">
        <f t="shared" si="62"/>
        <v>-2.7284841053187847E-12</v>
      </c>
      <c r="S302" s="6" t="str">
        <f t="shared" si="63"/>
        <v>OK</v>
      </c>
    </row>
    <row r="303" spans="1:19" x14ac:dyDescent="0.25">
      <c r="A303" s="3" t="str">
        <f t="shared" si="64"/>
        <v>01.07.2026</v>
      </c>
      <c r="B303" s="5">
        <v>94</v>
      </c>
      <c r="C303" s="5" t="s">
        <v>24</v>
      </c>
      <c r="D303" s="3">
        <v>20</v>
      </c>
      <c r="E303" s="3">
        <v>20.108260000000001</v>
      </c>
      <c r="F303" s="6">
        <f t="shared" si="52"/>
        <v>0.10826000000000136</v>
      </c>
      <c r="G303" s="6">
        <f t="shared" si="53"/>
        <v>5.4130000000000679E-3</v>
      </c>
      <c r="H303" s="6" t="str">
        <f t="shared" si="54"/>
        <v>🟢 Over-injection</v>
      </c>
      <c r="I303" s="6">
        <f t="shared" si="55"/>
        <v>-0.10826000000000136</v>
      </c>
      <c r="J303" s="3">
        <v>10</v>
      </c>
      <c r="K303" s="6">
        <f t="shared" si="56"/>
        <v>3</v>
      </c>
      <c r="L303" s="6">
        <f t="shared" si="57"/>
        <v>4</v>
      </c>
      <c r="M303" s="6">
        <f t="shared" si="58"/>
        <v>0.10826000000000136</v>
      </c>
      <c r="N303" s="6">
        <f t="shared" si="59"/>
        <v>0</v>
      </c>
      <c r="O303" s="6">
        <f t="shared" si="60"/>
        <v>0</v>
      </c>
      <c r="P303" s="6">
        <f t="shared" si="61"/>
        <v>-216.52000000000271</v>
      </c>
      <c r="Q303" s="3">
        <v>-216.51999999999998</v>
      </c>
      <c r="R303" s="6">
        <f t="shared" si="62"/>
        <v>-2.7284841053187847E-12</v>
      </c>
      <c r="S303" s="6" t="str">
        <f t="shared" si="63"/>
        <v>OK</v>
      </c>
    </row>
    <row r="304" spans="1:19" x14ac:dyDescent="0.25">
      <c r="A304" s="3" t="str">
        <f t="shared" si="64"/>
        <v>01.07.2026</v>
      </c>
      <c r="B304" s="5">
        <v>95</v>
      </c>
      <c r="C304" s="5" t="s">
        <v>23</v>
      </c>
      <c r="D304" s="3">
        <v>20</v>
      </c>
      <c r="E304" s="3">
        <v>20.108260000000001</v>
      </c>
      <c r="F304" s="6">
        <f t="shared" si="52"/>
        <v>0.10826000000000136</v>
      </c>
      <c r="G304" s="6">
        <f t="shared" si="53"/>
        <v>5.4130000000000679E-3</v>
      </c>
      <c r="H304" s="6" t="str">
        <f t="shared" si="54"/>
        <v>🟢 Over-injection</v>
      </c>
      <c r="I304" s="6">
        <f t="shared" si="55"/>
        <v>-0.10826000000000136</v>
      </c>
      <c r="J304" s="3">
        <v>10</v>
      </c>
      <c r="K304" s="6">
        <f t="shared" si="56"/>
        <v>3</v>
      </c>
      <c r="L304" s="6">
        <f t="shared" si="57"/>
        <v>4</v>
      </c>
      <c r="M304" s="6">
        <f t="shared" si="58"/>
        <v>0.10826000000000136</v>
      </c>
      <c r="N304" s="6">
        <f t="shared" si="59"/>
        <v>0</v>
      </c>
      <c r="O304" s="6">
        <f t="shared" si="60"/>
        <v>0</v>
      </c>
      <c r="P304" s="6">
        <f t="shared" si="61"/>
        <v>-216.52000000000271</v>
      </c>
      <c r="Q304" s="3">
        <v>-216.51999999999998</v>
      </c>
      <c r="R304" s="6">
        <f t="shared" si="62"/>
        <v>-2.7284841053187847E-12</v>
      </c>
      <c r="S304" s="6" t="str">
        <f t="shared" si="63"/>
        <v>OK</v>
      </c>
    </row>
    <row r="305" spans="1:19" x14ac:dyDescent="0.25">
      <c r="A305" s="3" t="str">
        <f t="shared" si="64"/>
        <v>01.07.2026</v>
      </c>
      <c r="B305" s="5">
        <v>96</v>
      </c>
      <c r="C305" s="5" t="s">
        <v>22</v>
      </c>
      <c r="D305" s="3">
        <v>20</v>
      </c>
      <c r="E305" s="3">
        <v>20.096910000000001</v>
      </c>
      <c r="F305" s="6">
        <f t="shared" si="52"/>
        <v>9.6910000000001162E-2</v>
      </c>
      <c r="G305" s="6">
        <f t="shared" si="53"/>
        <v>4.8455000000000581E-3</v>
      </c>
      <c r="H305" s="6" t="str">
        <f t="shared" si="54"/>
        <v>🟢 Over-injection</v>
      </c>
      <c r="I305" s="6">
        <f t="shared" si="55"/>
        <v>-9.6910000000001162E-2</v>
      </c>
      <c r="J305" s="3">
        <v>10</v>
      </c>
      <c r="K305" s="6">
        <f t="shared" si="56"/>
        <v>3</v>
      </c>
      <c r="L305" s="6">
        <f t="shared" si="57"/>
        <v>4</v>
      </c>
      <c r="M305" s="6">
        <f t="shared" si="58"/>
        <v>9.6910000000001162E-2</v>
      </c>
      <c r="N305" s="6">
        <f t="shared" si="59"/>
        <v>0</v>
      </c>
      <c r="O305" s="6">
        <f t="shared" si="60"/>
        <v>0</v>
      </c>
      <c r="P305" s="6">
        <f t="shared" si="61"/>
        <v>-193.82000000000232</v>
      </c>
      <c r="Q305" s="3">
        <v>-193.82</v>
      </c>
      <c r="R305" s="6">
        <f t="shared" si="62"/>
        <v>-2.3305801732931286E-12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19.27</v>
      </c>
      <c r="E306" s="3">
        <v>19.347950000000001</v>
      </c>
      <c r="F306" s="6">
        <f t="shared" si="52"/>
        <v>7.7950000000001296E-2</v>
      </c>
      <c r="G306" s="6">
        <f t="shared" si="53"/>
        <v>4.0451478982875605E-3</v>
      </c>
      <c r="H306" s="6" t="str">
        <f t="shared" si="54"/>
        <v>🟢 Over-injection</v>
      </c>
      <c r="I306" s="6">
        <f t="shared" si="55"/>
        <v>-7.7950000000001296E-2</v>
      </c>
      <c r="J306" s="3">
        <v>10</v>
      </c>
      <c r="K306" s="6">
        <f t="shared" si="56"/>
        <v>2.8904999999999998</v>
      </c>
      <c r="L306" s="6">
        <f t="shared" si="57"/>
        <v>3.8540000000000001</v>
      </c>
      <c r="M306" s="6">
        <f t="shared" si="58"/>
        <v>7.7950000000001296E-2</v>
      </c>
      <c r="N306" s="6">
        <f t="shared" si="59"/>
        <v>0</v>
      </c>
      <c r="O306" s="6">
        <f t="shared" si="60"/>
        <v>0</v>
      </c>
      <c r="P306" s="6">
        <f t="shared" si="61"/>
        <v>-155.90000000000259</v>
      </c>
      <c r="Q306" s="3">
        <v>-155.9</v>
      </c>
      <c r="R306" s="6">
        <f t="shared" si="62"/>
        <v>-2.5863755581667647E-12</v>
      </c>
      <c r="S306" s="6" t="str">
        <f t="shared" si="63"/>
        <v>OK</v>
      </c>
    </row>
    <row r="307" spans="1:19" x14ac:dyDescent="0.25">
      <c r="A307" s="3" t="str">
        <f t="shared" si="64"/>
        <v>02.07.2026</v>
      </c>
      <c r="B307" s="5">
        <v>2</v>
      </c>
      <c r="C307" s="5" t="s">
        <v>116</v>
      </c>
      <c r="D307" s="3">
        <v>19.3</v>
      </c>
      <c r="E307" s="3">
        <v>19.211790000000001</v>
      </c>
      <c r="F307" s="6">
        <f t="shared" si="52"/>
        <v>-8.8210000000000122E-2</v>
      </c>
      <c r="G307" s="6">
        <f t="shared" si="53"/>
        <v>-4.5704663212435296E-3</v>
      </c>
      <c r="H307" s="6" t="str">
        <f t="shared" si="54"/>
        <v>🔴 Under-injection</v>
      </c>
      <c r="I307" s="6">
        <f t="shared" si="55"/>
        <v>8.8210000000000122E-2</v>
      </c>
      <c r="J307" s="3">
        <v>10</v>
      </c>
      <c r="K307" s="6">
        <f t="shared" si="56"/>
        <v>2.895</v>
      </c>
      <c r="L307" s="6">
        <f t="shared" si="57"/>
        <v>3.8600000000000003</v>
      </c>
      <c r="M307" s="6">
        <f t="shared" si="58"/>
        <v>8.8210000000000122E-2</v>
      </c>
      <c r="N307" s="6">
        <f t="shared" si="59"/>
        <v>0</v>
      </c>
      <c r="O307" s="6">
        <f t="shared" si="60"/>
        <v>0</v>
      </c>
      <c r="P307" s="6">
        <f t="shared" si="61"/>
        <v>231.55125000000032</v>
      </c>
      <c r="Q307" s="3">
        <v>231.55124999999998</v>
      </c>
      <c r="R307" s="6">
        <f t="shared" si="62"/>
        <v>3.4106051316484809E-13</v>
      </c>
      <c r="S307" s="6" t="str">
        <f t="shared" si="63"/>
        <v>OK</v>
      </c>
    </row>
    <row r="308" spans="1:19" x14ac:dyDescent="0.25">
      <c r="A308" s="3" t="str">
        <f t="shared" si="64"/>
        <v>02.07.2026</v>
      </c>
      <c r="B308" s="5">
        <v>3</v>
      </c>
      <c r="C308" s="5" t="s">
        <v>115</v>
      </c>
      <c r="D308" s="3">
        <v>19.29</v>
      </c>
      <c r="E308" s="3">
        <v>19.211790000000001</v>
      </c>
      <c r="F308" s="6">
        <f t="shared" si="52"/>
        <v>-7.8209999999998558E-2</v>
      </c>
      <c r="G308" s="6">
        <f t="shared" si="53"/>
        <v>-4.0544323483669552E-3</v>
      </c>
      <c r="H308" s="6" t="str">
        <f t="shared" si="54"/>
        <v>🔴 Under-injection</v>
      </c>
      <c r="I308" s="6">
        <f t="shared" si="55"/>
        <v>7.8209999999998558E-2</v>
      </c>
      <c r="J308" s="3">
        <v>10</v>
      </c>
      <c r="K308" s="6">
        <f t="shared" si="56"/>
        <v>2.8935</v>
      </c>
      <c r="L308" s="6">
        <f t="shared" si="57"/>
        <v>3.8580000000000001</v>
      </c>
      <c r="M308" s="6">
        <f t="shared" si="58"/>
        <v>7.8209999999998558E-2</v>
      </c>
      <c r="N308" s="6">
        <f t="shared" si="59"/>
        <v>0</v>
      </c>
      <c r="O308" s="6">
        <f t="shared" si="60"/>
        <v>0</v>
      </c>
      <c r="P308" s="6">
        <f t="shared" si="61"/>
        <v>205.30124999999623</v>
      </c>
      <c r="Q308" s="3">
        <v>205.30124999999998</v>
      </c>
      <c r="R308" s="6">
        <f t="shared" si="62"/>
        <v>-3.751665644813329E-12</v>
      </c>
      <c r="S308" s="6" t="str">
        <f t="shared" si="63"/>
        <v>OK</v>
      </c>
    </row>
    <row r="309" spans="1:19" x14ac:dyDescent="0.25">
      <c r="A309" s="3" t="str">
        <f t="shared" si="64"/>
        <v>02.07.2026</v>
      </c>
      <c r="B309" s="5">
        <v>4</v>
      </c>
      <c r="C309" s="5" t="s">
        <v>114</v>
      </c>
      <c r="D309" s="3">
        <v>19.27</v>
      </c>
      <c r="E309" s="3">
        <v>19.211790000000001</v>
      </c>
      <c r="F309" s="6">
        <f t="shared" si="52"/>
        <v>-5.8209999999998985E-2</v>
      </c>
      <c r="G309" s="6">
        <f t="shared" si="53"/>
        <v>-3.0207576543850017E-3</v>
      </c>
      <c r="H309" s="6" t="str">
        <f t="shared" si="54"/>
        <v>🔴 Under-injection</v>
      </c>
      <c r="I309" s="6">
        <f t="shared" si="55"/>
        <v>5.8209999999998985E-2</v>
      </c>
      <c r="J309" s="3">
        <v>10</v>
      </c>
      <c r="K309" s="6">
        <f t="shared" si="56"/>
        <v>2.8904999999999998</v>
      </c>
      <c r="L309" s="6">
        <f t="shared" si="57"/>
        <v>3.8540000000000001</v>
      </c>
      <c r="M309" s="6">
        <f t="shared" si="58"/>
        <v>5.8209999999998985E-2</v>
      </c>
      <c r="N309" s="6">
        <f t="shared" si="59"/>
        <v>0</v>
      </c>
      <c r="O309" s="6">
        <f t="shared" si="60"/>
        <v>0</v>
      </c>
      <c r="P309" s="6">
        <f t="shared" si="61"/>
        <v>152.80124999999734</v>
      </c>
      <c r="Q309" s="3">
        <v>152.80125000000001</v>
      </c>
      <c r="R309" s="6">
        <f t="shared" si="62"/>
        <v>-2.6716406864579767E-12</v>
      </c>
      <c r="S309" s="6" t="str">
        <f t="shared" si="63"/>
        <v>OK</v>
      </c>
    </row>
    <row r="310" spans="1:19" x14ac:dyDescent="0.25">
      <c r="A310" s="3" t="str">
        <f t="shared" si="64"/>
        <v>02.07.2026</v>
      </c>
      <c r="B310" s="5">
        <v>5</v>
      </c>
      <c r="C310" s="5" t="s">
        <v>113</v>
      </c>
      <c r="D310" s="3">
        <v>19.29</v>
      </c>
      <c r="E310" s="3">
        <v>19.211790000000001</v>
      </c>
      <c r="F310" s="6">
        <f t="shared" si="52"/>
        <v>-7.8209999999998558E-2</v>
      </c>
      <c r="G310" s="6">
        <f t="shared" si="53"/>
        <v>-4.0544323483669552E-3</v>
      </c>
      <c r="H310" s="6" t="str">
        <f t="shared" si="54"/>
        <v>🔴 Under-injection</v>
      </c>
      <c r="I310" s="6">
        <f t="shared" si="55"/>
        <v>7.8209999999998558E-2</v>
      </c>
      <c r="J310" s="3">
        <v>10</v>
      </c>
      <c r="K310" s="6">
        <f t="shared" si="56"/>
        <v>2.8935</v>
      </c>
      <c r="L310" s="6">
        <f t="shared" si="57"/>
        <v>3.8580000000000001</v>
      </c>
      <c r="M310" s="6">
        <f t="shared" si="58"/>
        <v>7.8209999999998558E-2</v>
      </c>
      <c r="N310" s="6">
        <f t="shared" si="59"/>
        <v>0</v>
      </c>
      <c r="O310" s="6">
        <f t="shared" si="60"/>
        <v>0</v>
      </c>
      <c r="P310" s="6">
        <f t="shared" si="61"/>
        <v>205.30124999999623</v>
      </c>
      <c r="Q310" s="3">
        <v>205.30124999999998</v>
      </c>
      <c r="R310" s="6">
        <f t="shared" si="62"/>
        <v>-3.751665644813329E-12</v>
      </c>
      <c r="S310" s="6" t="str">
        <f t="shared" si="63"/>
        <v>OK</v>
      </c>
    </row>
    <row r="311" spans="1:19" x14ac:dyDescent="0.25">
      <c r="A311" s="3" t="str">
        <f t="shared" si="64"/>
        <v>02.07.2026</v>
      </c>
      <c r="B311" s="5">
        <v>6</v>
      </c>
      <c r="C311" s="5" t="s">
        <v>112</v>
      </c>
      <c r="D311" s="3">
        <v>19.310000000000002</v>
      </c>
      <c r="E311" s="3">
        <v>19.211790000000001</v>
      </c>
      <c r="F311" s="6">
        <f t="shared" si="52"/>
        <v>-9.8210000000001685E-2</v>
      </c>
      <c r="G311" s="6">
        <f t="shared" si="53"/>
        <v>-5.0859658208183157E-3</v>
      </c>
      <c r="H311" s="6" t="str">
        <f t="shared" si="54"/>
        <v>🔴 Under-injection</v>
      </c>
      <c r="I311" s="6">
        <f t="shared" si="55"/>
        <v>9.8210000000001685E-2</v>
      </c>
      <c r="J311" s="3">
        <v>10</v>
      </c>
      <c r="K311" s="6">
        <f t="shared" si="56"/>
        <v>2.8965000000000001</v>
      </c>
      <c r="L311" s="6">
        <f t="shared" si="57"/>
        <v>3.8620000000000005</v>
      </c>
      <c r="M311" s="6">
        <f t="shared" si="58"/>
        <v>9.8210000000001685E-2</v>
      </c>
      <c r="N311" s="6">
        <f t="shared" si="59"/>
        <v>0</v>
      </c>
      <c r="O311" s="6">
        <f t="shared" si="60"/>
        <v>0</v>
      </c>
      <c r="P311" s="6">
        <f t="shared" si="61"/>
        <v>257.80125000000442</v>
      </c>
      <c r="Q311" s="3">
        <v>257.80125000000004</v>
      </c>
      <c r="R311" s="6">
        <f t="shared" si="62"/>
        <v>4.3769432522822171E-12</v>
      </c>
      <c r="S311" s="6" t="str">
        <f t="shared" si="63"/>
        <v>OK</v>
      </c>
    </row>
    <row r="312" spans="1:19" x14ac:dyDescent="0.25">
      <c r="A312" s="3" t="str">
        <f t="shared" si="64"/>
        <v>02.07.2026</v>
      </c>
      <c r="B312" s="5">
        <v>7</v>
      </c>
      <c r="C312" s="5" t="s">
        <v>111</v>
      </c>
      <c r="D312" s="3">
        <v>18.27</v>
      </c>
      <c r="E312" s="3">
        <v>18.553619999999999</v>
      </c>
      <c r="F312" s="6">
        <f t="shared" si="52"/>
        <v>0.2836199999999991</v>
      </c>
      <c r="G312" s="6">
        <f t="shared" si="53"/>
        <v>1.5523809523809474E-2</v>
      </c>
      <c r="H312" s="6" t="str">
        <f t="shared" si="54"/>
        <v>🟢 Over-injection</v>
      </c>
      <c r="I312" s="6">
        <f t="shared" si="55"/>
        <v>-0.2836199999999991</v>
      </c>
      <c r="J312" s="3">
        <v>10</v>
      </c>
      <c r="K312" s="6">
        <f t="shared" si="56"/>
        <v>2.7404999999999999</v>
      </c>
      <c r="L312" s="6">
        <f t="shared" si="57"/>
        <v>3.6539999999999999</v>
      </c>
      <c r="M312" s="6">
        <f t="shared" si="58"/>
        <v>0.2836199999999991</v>
      </c>
      <c r="N312" s="6">
        <f t="shared" si="59"/>
        <v>0</v>
      </c>
      <c r="O312" s="6">
        <f t="shared" si="60"/>
        <v>0</v>
      </c>
      <c r="P312" s="6">
        <f t="shared" si="61"/>
        <v>-567.23999999999819</v>
      </c>
      <c r="Q312" s="3">
        <v>-567.24</v>
      </c>
      <c r="R312" s="6">
        <f t="shared" si="62"/>
        <v>1.8189894035458565E-12</v>
      </c>
      <c r="S312" s="6" t="str">
        <f t="shared" si="63"/>
        <v>OK</v>
      </c>
    </row>
    <row r="313" spans="1:19" x14ac:dyDescent="0.25">
      <c r="A313" s="3" t="str">
        <f t="shared" si="64"/>
        <v>02.07.2026</v>
      </c>
      <c r="B313" s="5">
        <v>8</v>
      </c>
      <c r="C313" s="5" t="s">
        <v>110</v>
      </c>
      <c r="D313" s="3">
        <v>18.329999999999998</v>
      </c>
      <c r="E313" s="3">
        <v>18.17914</v>
      </c>
      <c r="F313" s="6">
        <f t="shared" si="52"/>
        <v>-0.150859999999998</v>
      </c>
      <c r="G313" s="6">
        <f t="shared" si="53"/>
        <v>-8.2302236770320798E-3</v>
      </c>
      <c r="H313" s="6" t="str">
        <f t="shared" si="54"/>
        <v>🔴 Under-injection</v>
      </c>
      <c r="I313" s="6">
        <f t="shared" si="55"/>
        <v>0.150859999999998</v>
      </c>
      <c r="J313" s="3">
        <v>9.2683</v>
      </c>
      <c r="K313" s="6">
        <f t="shared" si="56"/>
        <v>2.7494999999999998</v>
      </c>
      <c r="L313" s="6">
        <f t="shared" si="57"/>
        <v>3.6659999999999999</v>
      </c>
      <c r="M313" s="6">
        <f t="shared" si="58"/>
        <v>0.150859999999998</v>
      </c>
      <c r="N313" s="6">
        <f t="shared" si="59"/>
        <v>0</v>
      </c>
      <c r="O313" s="6">
        <f t="shared" si="60"/>
        <v>0</v>
      </c>
      <c r="P313" s="6">
        <f t="shared" si="61"/>
        <v>367.03163122499518</v>
      </c>
      <c r="Q313" s="3">
        <v>367.03163122500007</v>
      </c>
      <c r="R313" s="6">
        <f t="shared" si="62"/>
        <v>-4.8885340220294893E-12</v>
      </c>
      <c r="S313" s="6" t="str">
        <f t="shared" si="63"/>
        <v>OK</v>
      </c>
    </row>
    <row r="314" spans="1:19" x14ac:dyDescent="0.25">
      <c r="A314" s="3" t="str">
        <f t="shared" si="64"/>
        <v>02.07.2026</v>
      </c>
      <c r="B314" s="5">
        <v>9</v>
      </c>
      <c r="C314" s="5" t="s">
        <v>109</v>
      </c>
      <c r="D314" s="3">
        <v>18.329999999999998</v>
      </c>
      <c r="E314" s="3">
        <v>18.16778</v>
      </c>
      <c r="F314" s="6">
        <f t="shared" si="52"/>
        <v>-0.16221999999999781</v>
      </c>
      <c r="G314" s="6">
        <f t="shared" si="53"/>
        <v>-8.8499727223130299E-3</v>
      </c>
      <c r="H314" s="6" t="str">
        <f t="shared" si="54"/>
        <v>🔴 Under-injection</v>
      </c>
      <c r="I314" s="6">
        <f t="shared" si="55"/>
        <v>0.16221999999999781</v>
      </c>
      <c r="J314" s="3">
        <v>6.1950000000000003</v>
      </c>
      <c r="K314" s="6">
        <f t="shared" si="56"/>
        <v>2.7494999999999998</v>
      </c>
      <c r="L314" s="6">
        <f t="shared" si="57"/>
        <v>3.6659999999999999</v>
      </c>
      <c r="M314" s="6">
        <f t="shared" si="58"/>
        <v>0.16221999999999781</v>
      </c>
      <c r="N314" s="6">
        <f t="shared" si="59"/>
        <v>0</v>
      </c>
      <c r="O314" s="6">
        <f t="shared" si="60"/>
        <v>0</v>
      </c>
      <c r="P314" s="6">
        <f t="shared" si="61"/>
        <v>263.80013624999651</v>
      </c>
      <c r="Q314" s="3">
        <v>263.80013625000004</v>
      </c>
      <c r="R314" s="6">
        <f t="shared" si="62"/>
        <v>-3.5242919693700969E-12</v>
      </c>
      <c r="S314" s="6" t="str">
        <f t="shared" si="63"/>
        <v>OK</v>
      </c>
    </row>
    <row r="315" spans="1:19" x14ac:dyDescent="0.25">
      <c r="A315" s="3" t="str">
        <f t="shared" si="64"/>
        <v>02.07.2026</v>
      </c>
      <c r="B315" s="5">
        <v>10</v>
      </c>
      <c r="C315" s="5" t="s">
        <v>108</v>
      </c>
      <c r="D315" s="3">
        <v>18.329999999999998</v>
      </c>
      <c r="E315" s="3">
        <v>18.17914</v>
      </c>
      <c r="F315" s="6">
        <f t="shared" si="52"/>
        <v>-0.150859999999998</v>
      </c>
      <c r="G315" s="6">
        <f t="shared" si="53"/>
        <v>-8.2302236770320798E-3</v>
      </c>
      <c r="H315" s="6" t="str">
        <f t="shared" si="54"/>
        <v>🔴 Under-injection</v>
      </c>
      <c r="I315" s="6">
        <f t="shared" si="55"/>
        <v>0.150859999999998</v>
      </c>
      <c r="J315" s="3">
        <v>6.1648000000000005</v>
      </c>
      <c r="K315" s="6">
        <f t="shared" si="56"/>
        <v>2.7494999999999998</v>
      </c>
      <c r="L315" s="6">
        <f t="shared" si="57"/>
        <v>3.6659999999999999</v>
      </c>
      <c r="M315" s="6">
        <f t="shared" si="58"/>
        <v>0.150859999999998</v>
      </c>
      <c r="N315" s="6">
        <f t="shared" si="59"/>
        <v>0</v>
      </c>
      <c r="O315" s="6">
        <f t="shared" si="60"/>
        <v>0</v>
      </c>
      <c r="P315" s="6">
        <f t="shared" si="61"/>
        <v>244.13070359999682</v>
      </c>
      <c r="Q315" s="3">
        <v>244.13070360000003</v>
      </c>
      <c r="R315" s="6">
        <f t="shared" si="62"/>
        <v>-3.2116531656356528E-12</v>
      </c>
      <c r="S315" s="6" t="str">
        <f t="shared" si="63"/>
        <v>OK</v>
      </c>
    </row>
    <row r="316" spans="1:19" x14ac:dyDescent="0.25">
      <c r="A316" s="3" t="str">
        <f t="shared" si="64"/>
        <v>02.07.2026</v>
      </c>
      <c r="B316" s="5">
        <v>11</v>
      </c>
      <c r="C316" s="5" t="s">
        <v>107</v>
      </c>
      <c r="D316" s="3">
        <v>18.329999999999998</v>
      </c>
      <c r="E316" s="3">
        <v>18.16778</v>
      </c>
      <c r="F316" s="6">
        <f t="shared" si="52"/>
        <v>-0.16221999999999781</v>
      </c>
      <c r="G316" s="6">
        <f t="shared" si="53"/>
        <v>-8.8499727223130299E-3</v>
      </c>
      <c r="H316" s="6" t="str">
        <f t="shared" si="54"/>
        <v>🔴 Under-injection</v>
      </c>
      <c r="I316" s="6">
        <f t="shared" si="55"/>
        <v>0.16221999999999781</v>
      </c>
      <c r="J316" s="3">
        <v>5.5091000000000001</v>
      </c>
      <c r="K316" s="6">
        <f t="shared" si="56"/>
        <v>2.7494999999999998</v>
      </c>
      <c r="L316" s="6">
        <f t="shared" si="57"/>
        <v>3.6659999999999999</v>
      </c>
      <c r="M316" s="6">
        <f t="shared" si="58"/>
        <v>0.16221999999999781</v>
      </c>
      <c r="N316" s="6">
        <f t="shared" si="59"/>
        <v>0</v>
      </c>
      <c r="O316" s="6">
        <f t="shared" si="60"/>
        <v>0</v>
      </c>
      <c r="P316" s="6">
        <f t="shared" si="61"/>
        <v>234.59262802499683</v>
      </c>
      <c r="Q316" s="3">
        <v>234.59262802500001</v>
      </c>
      <c r="R316" s="6">
        <f t="shared" si="62"/>
        <v>-3.1832314562052488E-12</v>
      </c>
      <c r="S316" s="6" t="str">
        <f t="shared" si="63"/>
        <v>OK</v>
      </c>
    </row>
    <row r="317" spans="1:19" x14ac:dyDescent="0.25">
      <c r="A317" s="3" t="str">
        <f t="shared" si="64"/>
        <v>02.07.2026</v>
      </c>
      <c r="B317" s="5">
        <v>12</v>
      </c>
      <c r="C317" s="5" t="s">
        <v>106</v>
      </c>
      <c r="D317" s="3">
        <v>18.329999999999998</v>
      </c>
      <c r="E317" s="3">
        <v>18.16778</v>
      </c>
      <c r="F317" s="6">
        <f t="shared" si="52"/>
        <v>-0.16221999999999781</v>
      </c>
      <c r="G317" s="6">
        <f t="shared" si="53"/>
        <v>-8.8499727223130299E-3</v>
      </c>
      <c r="H317" s="6" t="str">
        <f t="shared" si="54"/>
        <v>🔴 Under-injection</v>
      </c>
      <c r="I317" s="6">
        <f t="shared" si="55"/>
        <v>0.16221999999999781</v>
      </c>
      <c r="J317" s="3">
        <v>5.4225000000000003</v>
      </c>
      <c r="K317" s="6">
        <f t="shared" si="56"/>
        <v>2.7494999999999998</v>
      </c>
      <c r="L317" s="6">
        <f t="shared" si="57"/>
        <v>3.6659999999999999</v>
      </c>
      <c r="M317" s="6">
        <f t="shared" si="58"/>
        <v>0.16221999999999781</v>
      </c>
      <c r="N317" s="6">
        <f t="shared" si="59"/>
        <v>0</v>
      </c>
      <c r="O317" s="6">
        <f t="shared" si="60"/>
        <v>0</v>
      </c>
      <c r="P317" s="6">
        <f t="shared" si="61"/>
        <v>230.9049618749969</v>
      </c>
      <c r="Q317" s="3">
        <v>230.90496187500003</v>
      </c>
      <c r="R317" s="6">
        <f t="shared" si="62"/>
        <v>-3.1263880373444408E-12</v>
      </c>
      <c r="S317" s="6" t="str">
        <f t="shared" si="63"/>
        <v>OK</v>
      </c>
    </row>
    <row r="318" spans="1:19" x14ac:dyDescent="0.25">
      <c r="A318" s="3" t="str">
        <f t="shared" si="64"/>
        <v>02.07.2026</v>
      </c>
      <c r="B318" s="5">
        <v>13</v>
      </c>
      <c r="C318" s="5" t="s">
        <v>105</v>
      </c>
      <c r="D318" s="3">
        <v>16.329999999999998</v>
      </c>
      <c r="E318" s="3">
        <v>16.71527</v>
      </c>
      <c r="F318" s="6">
        <f t="shared" si="52"/>
        <v>0.385270000000002</v>
      </c>
      <c r="G318" s="6">
        <f t="shared" si="53"/>
        <v>2.3592774035517579E-2</v>
      </c>
      <c r="H318" s="6" t="str">
        <f t="shared" si="54"/>
        <v>🟢 Over-injection</v>
      </c>
      <c r="I318" s="6">
        <f t="shared" si="55"/>
        <v>-0.385270000000002</v>
      </c>
      <c r="J318" s="3">
        <v>5.4119000000000002</v>
      </c>
      <c r="K318" s="6">
        <f t="shared" si="56"/>
        <v>2.4494999999999996</v>
      </c>
      <c r="L318" s="6">
        <f t="shared" si="57"/>
        <v>3.266</v>
      </c>
      <c r="M318" s="6">
        <f t="shared" si="58"/>
        <v>0.385270000000002</v>
      </c>
      <c r="N318" s="6">
        <f t="shared" si="59"/>
        <v>0</v>
      </c>
      <c r="O318" s="6">
        <f t="shared" si="60"/>
        <v>0</v>
      </c>
      <c r="P318" s="6">
        <f t="shared" si="61"/>
        <v>-417.00854260000222</v>
      </c>
      <c r="Q318" s="3">
        <v>-417.00854260000006</v>
      </c>
      <c r="R318" s="6">
        <f t="shared" si="62"/>
        <v>-2.1600499167107046E-12</v>
      </c>
      <c r="S318" s="6" t="str">
        <f t="shared" si="63"/>
        <v>OK</v>
      </c>
    </row>
    <row r="319" spans="1:19" x14ac:dyDescent="0.25">
      <c r="A319" s="3" t="str">
        <f t="shared" si="64"/>
        <v>02.07.2026</v>
      </c>
      <c r="B319" s="5">
        <v>14</v>
      </c>
      <c r="C319" s="5" t="s">
        <v>104</v>
      </c>
      <c r="D319" s="3">
        <v>16.329999999999998</v>
      </c>
      <c r="E319" s="3">
        <v>16.40888</v>
      </c>
      <c r="F319" s="6">
        <f t="shared" si="52"/>
        <v>7.8880000000001615E-2</v>
      </c>
      <c r="G319" s="6">
        <f t="shared" si="53"/>
        <v>4.8303735456216553E-3</v>
      </c>
      <c r="H319" s="6" t="str">
        <f t="shared" si="54"/>
        <v>🟢 Over-injection</v>
      </c>
      <c r="I319" s="6">
        <f t="shared" si="55"/>
        <v>-7.8880000000001615E-2</v>
      </c>
      <c r="J319" s="3">
        <v>6.3408000000000007</v>
      </c>
      <c r="K319" s="6">
        <f t="shared" si="56"/>
        <v>2.4494999999999996</v>
      </c>
      <c r="L319" s="6">
        <f t="shared" si="57"/>
        <v>3.266</v>
      </c>
      <c r="M319" s="6">
        <f t="shared" si="58"/>
        <v>7.8880000000001615E-2</v>
      </c>
      <c r="N319" s="6">
        <f t="shared" si="59"/>
        <v>0</v>
      </c>
      <c r="O319" s="6">
        <f t="shared" si="60"/>
        <v>0</v>
      </c>
      <c r="P319" s="6">
        <f t="shared" si="61"/>
        <v>-100.03246080000207</v>
      </c>
      <c r="Q319" s="3">
        <v>-100.03246080000001</v>
      </c>
      <c r="R319" s="6">
        <f t="shared" si="62"/>
        <v>-2.0605739337042905E-12</v>
      </c>
      <c r="S319" s="6" t="str">
        <f t="shared" si="63"/>
        <v>OK</v>
      </c>
    </row>
    <row r="320" spans="1:19" x14ac:dyDescent="0.25">
      <c r="A320" s="3" t="str">
        <f t="shared" si="64"/>
        <v>02.07.2026</v>
      </c>
      <c r="B320" s="5">
        <v>15</v>
      </c>
      <c r="C320" s="5" t="s">
        <v>103</v>
      </c>
      <c r="D320" s="3">
        <v>16.329999999999998</v>
      </c>
      <c r="E320" s="3">
        <v>16.42024</v>
      </c>
      <c r="F320" s="6">
        <f t="shared" si="52"/>
        <v>9.024000000000143E-2</v>
      </c>
      <c r="G320" s="6">
        <f t="shared" si="53"/>
        <v>5.5260257195346874E-3</v>
      </c>
      <c r="H320" s="6" t="str">
        <f t="shared" si="54"/>
        <v>🟢 Over-injection</v>
      </c>
      <c r="I320" s="6">
        <f t="shared" si="55"/>
        <v>-9.024000000000143E-2</v>
      </c>
      <c r="J320" s="3">
        <v>6.3639000000000001</v>
      </c>
      <c r="K320" s="6">
        <f t="shared" si="56"/>
        <v>2.4494999999999996</v>
      </c>
      <c r="L320" s="6">
        <f t="shared" si="57"/>
        <v>3.266</v>
      </c>
      <c r="M320" s="6">
        <f t="shared" si="58"/>
        <v>9.024000000000143E-2</v>
      </c>
      <c r="N320" s="6">
        <f t="shared" si="59"/>
        <v>0</v>
      </c>
      <c r="O320" s="6">
        <f t="shared" si="60"/>
        <v>0</v>
      </c>
      <c r="P320" s="6">
        <f t="shared" si="61"/>
        <v>-114.85566720000183</v>
      </c>
      <c r="Q320" s="3">
        <v>-114.8556672</v>
      </c>
      <c r="R320" s="6">
        <f t="shared" si="62"/>
        <v>-1.8332002582610585E-12</v>
      </c>
      <c r="S320" s="6" t="str">
        <f t="shared" si="63"/>
        <v>OK</v>
      </c>
    </row>
    <row r="321" spans="1:19" x14ac:dyDescent="0.25">
      <c r="A321" s="3" t="str">
        <f t="shared" si="64"/>
        <v>02.07.2026</v>
      </c>
      <c r="B321" s="5">
        <v>16</v>
      </c>
      <c r="C321" s="5" t="s">
        <v>102</v>
      </c>
      <c r="D321" s="3">
        <v>16.329999999999998</v>
      </c>
      <c r="E321" s="3">
        <v>16.42024</v>
      </c>
      <c r="F321" s="6">
        <f t="shared" si="52"/>
        <v>9.024000000000143E-2</v>
      </c>
      <c r="G321" s="6">
        <f t="shared" si="53"/>
        <v>5.5260257195346874E-3</v>
      </c>
      <c r="H321" s="6" t="str">
        <f t="shared" si="54"/>
        <v>🟢 Over-injection</v>
      </c>
      <c r="I321" s="6">
        <f t="shared" si="55"/>
        <v>-9.024000000000143E-2</v>
      </c>
      <c r="J321" s="3">
        <v>6.2046000000000001</v>
      </c>
      <c r="K321" s="6">
        <f t="shared" si="56"/>
        <v>2.4494999999999996</v>
      </c>
      <c r="L321" s="6">
        <f t="shared" si="57"/>
        <v>3.266</v>
      </c>
      <c r="M321" s="6">
        <f t="shared" si="58"/>
        <v>9.024000000000143E-2</v>
      </c>
      <c r="N321" s="6">
        <f t="shared" si="59"/>
        <v>0</v>
      </c>
      <c r="O321" s="6">
        <f t="shared" si="60"/>
        <v>0</v>
      </c>
      <c r="P321" s="6">
        <f t="shared" si="61"/>
        <v>-111.98062080000177</v>
      </c>
      <c r="Q321" s="3">
        <v>-111.9806208</v>
      </c>
      <c r="R321" s="6">
        <f t="shared" si="62"/>
        <v>-1.7763568394002505E-12</v>
      </c>
      <c r="S321" s="6" t="str">
        <f t="shared" si="63"/>
        <v>OK</v>
      </c>
    </row>
    <row r="322" spans="1:19" x14ac:dyDescent="0.25">
      <c r="A322" s="3" t="str">
        <f t="shared" si="64"/>
        <v>02.07.2026</v>
      </c>
      <c r="B322" s="5">
        <v>17</v>
      </c>
      <c r="C322" s="5" t="s">
        <v>101</v>
      </c>
      <c r="D322" s="3">
        <v>16.329999999999998</v>
      </c>
      <c r="E322" s="3">
        <v>16.43158</v>
      </c>
      <c r="F322" s="6">
        <f t="shared" si="52"/>
        <v>0.101580000000002</v>
      </c>
      <c r="G322" s="6">
        <f t="shared" si="53"/>
        <v>6.220453153704961E-3</v>
      </c>
      <c r="H322" s="6" t="str">
        <f t="shared" si="54"/>
        <v>🟢 Over-injection</v>
      </c>
      <c r="I322" s="6">
        <f t="shared" si="55"/>
        <v>-0.101580000000002</v>
      </c>
      <c r="J322" s="3">
        <v>6.4436999999999998</v>
      </c>
      <c r="K322" s="6">
        <f t="shared" si="56"/>
        <v>2.4494999999999996</v>
      </c>
      <c r="L322" s="6">
        <f t="shared" si="57"/>
        <v>3.266</v>
      </c>
      <c r="M322" s="6">
        <f t="shared" si="58"/>
        <v>0.101580000000002</v>
      </c>
      <c r="N322" s="6">
        <f t="shared" si="59"/>
        <v>0</v>
      </c>
      <c r="O322" s="6">
        <f t="shared" si="60"/>
        <v>0</v>
      </c>
      <c r="P322" s="6">
        <f t="shared" si="61"/>
        <v>-130.91020920000258</v>
      </c>
      <c r="Q322" s="3">
        <v>-130.91020920000003</v>
      </c>
      <c r="R322" s="6">
        <f t="shared" si="62"/>
        <v>-2.5579538487363607E-12</v>
      </c>
      <c r="S322" s="6" t="str">
        <f t="shared" si="63"/>
        <v>OK</v>
      </c>
    </row>
    <row r="323" spans="1:19" x14ac:dyDescent="0.25">
      <c r="A323" s="3" t="str">
        <f t="shared" si="64"/>
        <v>02.07.2026</v>
      </c>
      <c r="B323" s="5">
        <v>18</v>
      </c>
      <c r="C323" s="5" t="s">
        <v>100</v>
      </c>
      <c r="D323" s="3">
        <v>16.329999999999998</v>
      </c>
      <c r="E323" s="3">
        <v>16.43158</v>
      </c>
      <c r="F323" s="6">
        <f t="shared" si="52"/>
        <v>0.101580000000002</v>
      </c>
      <c r="G323" s="6">
        <f t="shared" si="53"/>
        <v>6.220453153704961E-3</v>
      </c>
      <c r="H323" s="6" t="str">
        <f t="shared" si="54"/>
        <v>🟢 Over-injection</v>
      </c>
      <c r="I323" s="6">
        <f t="shared" si="55"/>
        <v>-0.101580000000002</v>
      </c>
      <c r="J323" s="3">
        <v>5.8837999999999999</v>
      </c>
      <c r="K323" s="6">
        <f t="shared" si="56"/>
        <v>2.4494999999999996</v>
      </c>
      <c r="L323" s="6">
        <f t="shared" si="57"/>
        <v>3.266</v>
      </c>
      <c r="M323" s="6">
        <f t="shared" si="58"/>
        <v>0.101580000000002</v>
      </c>
      <c r="N323" s="6">
        <f t="shared" si="59"/>
        <v>0</v>
      </c>
      <c r="O323" s="6">
        <f t="shared" si="60"/>
        <v>0</v>
      </c>
      <c r="P323" s="6">
        <f t="shared" si="61"/>
        <v>-119.53528080000237</v>
      </c>
      <c r="Q323" s="3">
        <v>-119.53528080000001</v>
      </c>
      <c r="R323" s="6">
        <f t="shared" si="62"/>
        <v>-2.3590018827235326E-12</v>
      </c>
      <c r="S323" s="6" t="str">
        <f t="shared" si="63"/>
        <v>OK</v>
      </c>
    </row>
    <row r="324" spans="1:19" x14ac:dyDescent="0.25">
      <c r="A324" s="3" t="str">
        <f t="shared" si="64"/>
        <v>02.07.2026</v>
      </c>
      <c r="B324" s="5">
        <v>19</v>
      </c>
      <c r="C324" s="5" t="s">
        <v>99</v>
      </c>
      <c r="D324" s="3">
        <v>14.33</v>
      </c>
      <c r="E324" s="3">
        <v>16.43158</v>
      </c>
      <c r="F324" s="6">
        <f t="shared" si="52"/>
        <v>2.1015800000000002</v>
      </c>
      <c r="G324" s="6">
        <f t="shared" si="53"/>
        <v>0.14665596650383811</v>
      </c>
      <c r="H324" s="6" t="str">
        <f t="shared" si="54"/>
        <v>🟢 Over-injection</v>
      </c>
      <c r="I324" s="6">
        <f t="shared" si="55"/>
        <v>-2.1015800000000002</v>
      </c>
      <c r="J324" s="3">
        <v>5.2237999999999998</v>
      </c>
      <c r="K324" s="6">
        <f t="shared" si="56"/>
        <v>2.1494999999999997</v>
      </c>
      <c r="L324" s="6">
        <f t="shared" si="57"/>
        <v>2.8660000000000001</v>
      </c>
      <c r="M324" s="6">
        <f t="shared" si="58"/>
        <v>2.1015800000000002</v>
      </c>
      <c r="N324" s="6">
        <f t="shared" si="59"/>
        <v>0</v>
      </c>
      <c r="O324" s="6">
        <f t="shared" si="60"/>
        <v>0</v>
      </c>
      <c r="P324" s="6">
        <f t="shared" si="61"/>
        <v>-2195.6467207999999</v>
      </c>
      <c r="Q324" s="3">
        <v>-2195.6467207999995</v>
      </c>
      <c r="R324" s="6">
        <f t="shared" si="62"/>
        <v>0</v>
      </c>
      <c r="S324" s="6" t="str">
        <f t="shared" si="63"/>
        <v>OK</v>
      </c>
    </row>
    <row r="325" spans="1:19" x14ac:dyDescent="0.25">
      <c r="A325" s="3" t="str">
        <f t="shared" si="64"/>
        <v>02.07.2026</v>
      </c>
      <c r="B325" s="5">
        <v>20</v>
      </c>
      <c r="C325" s="5" t="s">
        <v>98</v>
      </c>
      <c r="D325" s="3">
        <v>16.329999999999998</v>
      </c>
      <c r="E325" s="3">
        <v>16.44293</v>
      </c>
      <c r="F325" s="6">
        <f t="shared" si="52"/>
        <v>0.1129300000000022</v>
      </c>
      <c r="G325" s="6">
        <f t="shared" si="53"/>
        <v>6.9154929577466143E-3</v>
      </c>
      <c r="H325" s="6" t="str">
        <f t="shared" si="54"/>
        <v>🟢 Over-injection</v>
      </c>
      <c r="I325" s="6">
        <f t="shared" si="55"/>
        <v>-0.1129300000000022</v>
      </c>
      <c r="J325" s="3">
        <v>5.1964999999999995</v>
      </c>
      <c r="K325" s="6">
        <f t="shared" si="56"/>
        <v>2.4494999999999996</v>
      </c>
      <c r="L325" s="6">
        <f t="shared" si="57"/>
        <v>3.266</v>
      </c>
      <c r="M325" s="6">
        <f t="shared" si="58"/>
        <v>0.1129300000000022</v>
      </c>
      <c r="N325" s="6">
        <f t="shared" si="59"/>
        <v>0</v>
      </c>
      <c r="O325" s="6">
        <f t="shared" si="60"/>
        <v>0</v>
      </c>
      <c r="P325" s="6">
        <f t="shared" si="61"/>
        <v>-117.36814900000226</v>
      </c>
      <c r="Q325" s="3">
        <v>-117.36814899999999</v>
      </c>
      <c r="R325" s="6">
        <f t="shared" si="62"/>
        <v>-2.2737367544323206E-12</v>
      </c>
      <c r="S325" s="6" t="str">
        <f t="shared" si="63"/>
        <v>OK</v>
      </c>
    </row>
    <row r="326" spans="1:19" x14ac:dyDescent="0.25">
      <c r="A326" s="3" t="str">
        <f t="shared" si="64"/>
        <v>02.07.2026</v>
      </c>
      <c r="B326" s="5">
        <v>21</v>
      </c>
      <c r="C326" s="5" t="s">
        <v>97</v>
      </c>
      <c r="D326" s="3">
        <v>15.33</v>
      </c>
      <c r="E326" s="3">
        <v>15.671279999999999</v>
      </c>
      <c r="F326" s="6">
        <f t="shared" si="52"/>
        <v>0.34127999999999936</v>
      </c>
      <c r="G326" s="6">
        <f t="shared" si="53"/>
        <v>2.2262230919765126E-2</v>
      </c>
      <c r="H326" s="6" t="str">
        <f t="shared" si="54"/>
        <v>🟢 Over-injection</v>
      </c>
      <c r="I326" s="6">
        <f t="shared" si="55"/>
        <v>-0.34127999999999936</v>
      </c>
      <c r="J326" s="3">
        <v>5.1641999999999992</v>
      </c>
      <c r="K326" s="6">
        <f t="shared" si="56"/>
        <v>2.2995000000000001</v>
      </c>
      <c r="L326" s="6">
        <f t="shared" si="57"/>
        <v>3.0660000000000003</v>
      </c>
      <c r="M326" s="6">
        <f t="shared" si="58"/>
        <v>0.34127999999999936</v>
      </c>
      <c r="N326" s="6">
        <f t="shared" si="59"/>
        <v>0</v>
      </c>
      <c r="O326" s="6">
        <f t="shared" si="60"/>
        <v>0</v>
      </c>
      <c r="P326" s="6">
        <f t="shared" si="61"/>
        <v>-352.48763519999926</v>
      </c>
      <c r="Q326" s="3">
        <v>-352.4876352</v>
      </c>
      <c r="R326" s="6">
        <f t="shared" si="62"/>
        <v>7.3896444519050419E-13</v>
      </c>
      <c r="S326" s="6" t="str">
        <f t="shared" si="63"/>
        <v>OK</v>
      </c>
    </row>
    <row r="327" spans="1:19" x14ac:dyDescent="0.25">
      <c r="A327" s="3" t="str">
        <f t="shared" si="64"/>
        <v>02.07.2026</v>
      </c>
      <c r="B327" s="5">
        <v>22</v>
      </c>
      <c r="C327" s="5" t="s">
        <v>96</v>
      </c>
      <c r="D327" s="3">
        <v>15.33</v>
      </c>
      <c r="E327" s="3">
        <v>15.421620000000001</v>
      </c>
      <c r="F327" s="6">
        <f t="shared" si="52"/>
        <v>9.1620000000000701E-2</v>
      </c>
      <c r="G327" s="6">
        <f t="shared" si="53"/>
        <v>5.9765166340509266E-3</v>
      </c>
      <c r="H327" s="6" t="str">
        <f t="shared" si="54"/>
        <v>🟢 Over-injection</v>
      </c>
      <c r="I327" s="6">
        <f t="shared" si="55"/>
        <v>-9.1620000000000701E-2</v>
      </c>
      <c r="J327" s="3">
        <v>5.1798000000000002</v>
      </c>
      <c r="K327" s="6">
        <f t="shared" si="56"/>
        <v>2.2995000000000001</v>
      </c>
      <c r="L327" s="6">
        <f t="shared" si="57"/>
        <v>3.0660000000000003</v>
      </c>
      <c r="M327" s="6">
        <f t="shared" si="58"/>
        <v>9.1620000000000701E-2</v>
      </c>
      <c r="N327" s="6">
        <f t="shared" si="59"/>
        <v>0</v>
      </c>
      <c r="O327" s="6">
        <f t="shared" si="60"/>
        <v>0</v>
      </c>
      <c r="P327" s="6">
        <f t="shared" si="61"/>
        <v>-94.914655200000738</v>
      </c>
      <c r="Q327" s="3">
        <v>-94.914655199999984</v>
      </c>
      <c r="R327" s="6">
        <f t="shared" si="62"/>
        <v>-7.531752999057062E-13</v>
      </c>
      <c r="S327" s="6" t="str">
        <f t="shared" si="63"/>
        <v>OK</v>
      </c>
    </row>
    <row r="328" spans="1:19" x14ac:dyDescent="0.25">
      <c r="A328" s="3" t="str">
        <f t="shared" si="64"/>
        <v>02.07.2026</v>
      </c>
      <c r="B328" s="5">
        <v>23</v>
      </c>
      <c r="C328" s="5" t="s">
        <v>95</v>
      </c>
      <c r="D328" s="3">
        <v>15.33</v>
      </c>
      <c r="E328" s="3">
        <v>15.421620000000001</v>
      </c>
      <c r="F328" s="6">
        <f t="shared" si="52"/>
        <v>9.1620000000000701E-2</v>
      </c>
      <c r="G328" s="6">
        <f t="shared" si="53"/>
        <v>5.9765166340509266E-3</v>
      </c>
      <c r="H328" s="6" t="str">
        <f t="shared" si="54"/>
        <v>🟢 Over-injection</v>
      </c>
      <c r="I328" s="6">
        <f t="shared" si="55"/>
        <v>-9.1620000000000701E-2</v>
      </c>
      <c r="J328" s="3">
        <v>5.1835000000000004</v>
      </c>
      <c r="K328" s="6">
        <f t="shared" si="56"/>
        <v>2.2995000000000001</v>
      </c>
      <c r="L328" s="6">
        <f t="shared" si="57"/>
        <v>3.0660000000000003</v>
      </c>
      <c r="M328" s="6">
        <f t="shared" si="58"/>
        <v>9.1620000000000701E-2</v>
      </c>
      <c r="N328" s="6">
        <f t="shared" si="59"/>
        <v>0</v>
      </c>
      <c r="O328" s="6">
        <f t="shared" si="60"/>
        <v>0</v>
      </c>
      <c r="P328" s="6">
        <f t="shared" si="61"/>
        <v>-94.982454000000743</v>
      </c>
      <c r="Q328" s="3">
        <v>-94.982454000000004</v>
      </c>
      <c r="R328" s="6">
        <f t="shared" si="62"/>
        <v>-7.3896444519050419E-13</v>
      </c>
      <c r="S328" s="6" t="str">
        <f t="shared" si="63"/>
        <v>OK</v>
      </c>
    </row>
    <row r="329" spans="1:19" x14ac:dyDescent="0.25">
      <c r="A329" s="3" t="str">
        <f t="shared" si="64"/>
        <v>02.07.2026</v>
      </c>
      <c r="B329" s="5">
        <v>24</v>
      </c>
      <c r="C329" s="5" t="s">
        <v>94</v>
      </c>
      <c r="D329" s="3">
        <v>15.33</v>
      </c>
      <c r="E329" s="3">
        <v>15.421620000000001</v>
      </c>
      <c r="F329" s="6">
        <f t="shared" si="52"/>
        <v>9.1620000000000701E-2</v>
      </c>
      <c r="G329" s="6">
        <f t="shared" si="53"/>
        <v>5.9765166340509266E-3</v>
      </c>
      <c r="H329" s="6" t="str">
        <f t="shared" si="54"/>
        <v>🟢 Over-injection</v>
      </c>
      <c r="I329" s="6">
        <f t="shared" si="55"/>
        <v>-9.1620000000000701E-2</v>
      </c>
      <c r="J329" s="3">
        <v>5.2649999999999997</v>
      </c>
      <c r="K329" s="6">
        <f t="shared" si="56"/>
        <v>2.2995000000000001</v>
      </c>
      <c r="L329" s="6">
        <f t="shared" si="57"/>
        <v>3.0660000000000003</v>
      </c>
      <c r="M329" s="6">
        <f t="shared" si="58"/>
        <v>9.1620000000000701E-2</v>
      </c>
      <c r="N329" s="6">
        <f t="shared" si="59"/>
        <v>0</v>
      </c>
      <c r="O329" s="6">
        <f t="shared" si="60"/>
        <v>0</v>
      </c>
      <c r="P329" s="6">
        <f t="shared" si="61"/>
        <v>-96.47586000000075</v>
      </c>
      <c r="Q329" s="3">
        <v>-96.475859999999983</v>
      </c>
      <c r="R329" s="6">
        <f t="shared" si="62"/>
        <v>-7.673861546209082E-13</v>
      </c>
      <c r="S329" s="6" t="str">
        <f t="shared" si="63"/>
        <v>OK</v>
      </c>
    </row>
    <row r="330" spans="1:19" x14ac:dyDescent="0.25">
      <c r="A330" s="3" t="str">
        <f t="shared" si="64"/>
        <v>02.07.2026</v>
      </c>
      <c r="B330" s="5">
        <v>25</v>
      </c>
      <c r="C330" s="5" t="s">
        <v>93</v>
      </c>
      <c r="D330" s="3">
        <v>15.33</v>
      </c>
      <c r="E330" s="3">
        <v>15.432980000000001</v>
      </c>
      <c r="F330" s="6">
        <f t="shared" si="52"/>
        <v>0.10298000000000052</v>
      </c>
      <c r="G330" s="6">
        <f t="shared" si="53"/>
        <v>6.7175472928897922E-3</v>
      </c>
      <c r="H330" s="6" t="str">
        <f t="shared" si="54"/>
        <v>🟢 Over-injection</v>
      </c>
      <c r="I330" s="6">
        <f t="shared" si="55"/>
        <v>-0.10298000000000052</v>
      </c>
      <c r="J330" s="3">
        <v>4.9151999999999996</v>
      </c>
      <c r="K330" s="6">
        <f t="shared" si="56"/>
        <v>2.2995000000000001</v>
      </c>
      <c r="L330" s="6">
        <f t="shared" si="57"/>
        <v>3.0660000000000003</v>
      </c>
      <c r="M330" s="6">
        <f t="shared" si="58"/>
        <v>0.10298000000000052</v>
      </c>
      <c r="N330" s="6">
        <f t="shared" si="59"/>
        <v>0</v>
      </c>
      <c r="O330" s="6">
        <f t="shared" si="60"/>
        <v>0</v>
      </c>
      <c r="P330" s="6">
        <f t="shared" si="61"/>
        <v>-101.2334592000005</v>
      </c>
      <c r="Q330" s="3">
        <v>-101.23345919999998</v>
      </c>
      <c r="R330" s="6">
        <f t="shared" si="62"/>
        <v>-5.1159076974727213E-13</v>
      </c>
      <c r="S330" s="6" t="str">
        <f t="shared" si="63"/>
        <v>OK</v>
      </c>
    </row>
    <row r="331" spans="1:19" x14ac:dyDescent="0.25">
      <c r="A331" s="3" t="str">
        <f t="shared" si="64"/>
        <v>02.07.2026</v>
      </c>
      <c r="B331" s="5">
        <v>26</v>
      </c>
      <c r="C331" s="5" t="s">
        <v>92</v>
      </c>
      <c r="D331" s="3">
        <v>15.33</v>
      </c>
      <c r="E331" s="3">
        <v>15.444319999999999</v>
      </c>
      <c r="F331" s="6">
        <f t="shared" si="52"/>
        <v>0.11431999999999931</v>
      </c>
      <c r="G331" s="6">
        <f t="shared" si="53"/>
        <v>7.4572733202869735E-3</v>
      </c>
      <c r="H331" s="6" t="str">
        <f t="shared" si="54"/>
        <v>🟢 Over-injection</v>
      </c>
      <c r="I331" s="6">
        <f t="shared" si="55"/>
        <v>-0.11431999999999931</v>
      </c>
      <c r="J331" s="3">
        <v>4.9462999999999999</v>
      </c>
      <c r="K331" s="6">
        <f t="shared" si="56"/>
        <v>2.2995000000000001</v>
      </c>
      <c r="L331" s="6">
        <f t="shared" si="57"/>
        <v>3.0660000000000003</v>
      </c>
      <c r="M331" s="6">
        <f t="shared" si="58"/>
        <v>0.11431999999999931</v>
      </c>
      <c r="N331" s="6">
        <f t="shared" si="59"/>
        <v>0</v>
      </c>
      <c r="O331" s="6">
        <f t="shared" si="60"/>
        <v>0</v>
      </c>
      <c r="P331" s="6">
        <f t="shared" si="61"/>
        <v>-113.09220319999932</v>
      </c>
      <c r="Q331" s="3">
        <v>-113.0922032</v>
      </c>
      <c r="R331" s="6">
        <f t="shared" si="62"/>
        <v>6.8212102632969618E-13</v>
      </c>
      <c r="S331" s="6" t="str">
        <f t="shared" si="63"/>
        <v>OK</v>
      </c>
    </row>
    <row r="332" spans="1:19" x14ac:dyDescent="0.25">
      <c r="A332" s="3" t="str">
        <f t="shared" si="64"/>
        <v>02.07.2026</v>
      </c>
      <c r="B332" s="5">
        <v>27</v>
      </c>
      <c r="C332" s="5" t="s">
        <v>91</v>
      </c>
      <c r="D332" s="3">
        <v>15.33</v>
      </c>
      <c r="E332" s="3">
        <v>15.444319999999999</v>
      </c>
      <c r="F332" s="6">
        <f t="shared" si="52"/>
        <v>0.11431999999999931</v>
      </c>
      <c r="G332" s="6">
        <f t="shared" si="53"/>
        <v>7.4572733202869735E-3</v>
      </c>
      <c r="H332" s="6" t="str">
        <f t="shared" si="54"/>
        <v>🟢 Over-injection</v>
      </c>
      <c r="I332" s="6">
        <f t="shared" si="55"/>
        <v>-0.11431999999999931</v>
      </c>
      <c r="J332" s="3">
        <v>5.048</v>
      </c>
      <c r="K332" s="6">
        <f t="shared" si="56"/>
        <v>2.2995000000000001</v>
      </c>
      <c r="L332" s="6">
        <f t="shared" si="57"/>
        <v>3.0660000000000003</v>
      </c>
      <c r="M332" s="6">
        <f t="shared" si="58"/>
        <v>0.11431999999999931</v>
      </c>
      <c r="N332" s="6">
        <f t="shared" si="59"/>
        <v>0</v>
      </c>
      <c r="O332" s="6">
        <f t="shared" si="60"/>
        <v>0</v>
      </c>
      <c r="P332" s="6">
        <f t="shared" si="61"/>
        <v>-115.41747199999931</v>
      </c>
      <c r="Q332" s="3">
        <v>-115.417472</v>
      </c>
      <c r="R332" s="6">
        <f t="shared" si="62"/>
        <v>6.9633188104489818E-13</v>
      </c>
      <c r="S332" s="6" t="str">
        <f t="shared" si="63"/>
        <v>OK</v>
      </c>
    </row>
    <row r="333" spans="1:19" x14ac:dyDescent="0.25">
      <c r="A333" s="3" t="str">
        <f t="shared" si="64"/>
        <v>02.07.2026</v>
      </c>
      <c r="B333" s="5">
        <v>28</v>
      </c>
      <c r="C333" s="5" t="s">
        <v>90</v>
      </c>
      <c r="D333" s="3">
        <v>15.33</v>
      </c>
      <c r="E333" s="3">
        <v>15.444319999999999</v>
      </c>
      <c r="F333" s="6">
        <f t="shared" si="52"/>
        <v>0.11431999999999931</v>
      </c>
      <c r="G333" s="6">
        <f t="shared" si="53"/>
        <v>7.4572733202869735E-3</v>
      </c>
      <c r="H333" s="6" t="str">
        <f t="shared" si="54"/>
        <v>🟢 Over-injection</v>
      </c>
      <c r="I333" s="6">
        <f t="shared" si="55"/>
        <v>-0.11431999999999931</v>
      </c>
      <c r="J333" s="3">
        <v>4.0262000000000002</v>
      </c>
      <c r="K333" s="6">
        <f t="shared" si="56"/>
        <v>2.2995000000000001</v>
      </c>
      <c r="L333" s="6">
        <f t="shared" si="57"/>
        <v>3.0660000000000003</v>
      </c>
      <c r="M333" s="6">
        <f t="shared" si="58"/>
        <v>0.11431999999999931</v>
      </c>
      <c r="N333" s="6">
        <f t="shared" si="59"/>
        <v>0</v>
      </c>
      <c r="O333" s="6">
        <f t="shared" si="60"/>
        <v>0</v>
      </c>
      <c r="P333" s="6">
        <f t="shared" si="61"/>
        <v>-92.055036799999456</v>
      </c>
      <c r="Q333" s="3">
        <v>-92.055036800000011</v>
      </c>
      <c r="R333" s="6">
        <f t="shared" si="62"/>
        <v>5.5422333389287814E-13</v>
      </c>
      <c r="S333" s="6" t="str">
        <f t="shared" si="63"/>
        <v>OK</v>
      </c>
    </row>
    <row r="334" spans="1:19" x14ac:dyDescent="0.25">
      <c r="A334" s="3" t="str">
        <f t="shared" si="64"/>
        <v>02.07.2026</v>
      </c>
      <c r="B334" s="5">
        <v>29</v>
      </c>
      <c r="C334" s="5" t="s">
        <v>89</v>
      </c>
      <c r="D334" s="3">
        <v>15.33</v>
      </c>
      <c r="E334" s="3">
        <v>15.444319999999999</v>
      </c>
      <c r="F334" s="6">
        <f t="shared" si="52"/>
        <v>0.11431999999999931</v>
      </c>
      <c r="G334" s="6">
        <f t="shared" si="53"/>
        <v>7.4572733202869735E-3</v>
      </c>
      <c r="H334" s="6" t="str">
        <f t="shared" si="54"/>
        <v>🟢 Over-injection</v>
      </c>
      <c r="I334" s="6">
        <f t="shared" si="55"/>
        <v>-0.11431999999999931</v>
      </c>
      <c r="J334" s="3">
        <v>3.3857999999999997</v>
      </c>
      <c r="K334" s="6">
        <f t="shared" si="56"/>
        <v>2.2995000000000001</v>
      </c>
      <c r="L334" s="6">
        <f t="shared" si="57"/>
        <v>3.0660000000000003</v>
      </c>
      <c r="M334" s="6">
        <f t="shared" si="58"/>
        <v>0.11431999999999931</v>
      </c>
      <c r="N334" s="6">
        <f t="shared" si="59"/>
        <v>0</v>
      </c>
      <c r="O334" s="6">
        <f t="shared" si="60"/>
        <v>0</v>
      </c>
      <c r="P334" s="6">
        <f t="shared" si="61"/>
        <v>-77.412931199999534</v>
      </c>
      <c r="Q334" s="3">
        <v>-77.412931200000003</v>
      </c>
      <c r="R334" s="6">
        <f t="shared" si="62"/>
        <v>4.6895820560166612E-13</v>
      </c>
      <c r="S334" s="6" t="str">
        <f t="shared" si="63"/>
        <v>OK</v>
      </c>
    </row>
    <row r="335" spans="1:19" x14ac:dyDescent="0.25">
      <c r="A335" s="3" t="str">
        <f t="shared" si="64"/>
        <v>02.07.2026</v>
      </c>
      <c r="B335" s="5">
        <v>30</v>
      </c>
      <c r="C335" s="5" t="s">
        <v>88</v>
      </c>
      <c r="D335" s="3">
        <v>15.33</v>
      </c>
      <c r="E335" s="3">
        <v>15.444319999999999</v>
      </c>
      <c r="F335" s="6">
        <f t="shared" si="52"/>
        <v>0.11431999999999931</v>
      </c>
      <c r="G335" s="6">
        <f t="shared" si="53"/>
        <v>7.4572733202869735E-3</v>
      </c>
      <c r="H335" s="6" t="str">
        <f t="shared" si="54"/>
        <v>🟢 Over-injection</v>
      </c>
      <c r="I335" s="6">
        <f t="shared" si="55"/>
        <v>-0.11431999999999931</v>
      </c>
      <c r="J335" s="3">
        <v>3.2308999999999997</v>
      </c>
      <c r="K335" s="6">
        <f t="shared" si="56"/>
        <v>2.2995000000000001</v>
      </c>
      <c r="L335" s="6">
        <f t="shared" si="57"/>
        <v>3.0660000000000003</v>
      </c>
      <c r="M335" s="6">
        <f t="shared" si="58"/>
        <v>0.11431999999999931</v>
      </c>
      <c r="N335" s="6">
        <f t="shared" si="59"/>
        <v>0</v>
      </c>
      <c r="O335" s="6">
        <f t="shared" si="60"/>
        <v>0</v>
      </c>
      <c r="P335" s="6">
        <f t="shared" si="61"/>
        <v>-73.871297599999551</v>
      </c>
      <c r="Q335" s="3">
        <v>-73.871297599999991</v>
      </c>
      <c r="R335" s="6">
        <f t="shared" si="62"/>
        <v>4.4053649617126212E-13</v>
      </c>
      <c r="S335" s="6" t="str">
        <f t="shared" si="63"/>
        <v>OK</v>
      </c>
    </row>
    <row r="336" spans="1:19" x14ac:dyDescent="0.25">
      <c r="A336" s="3" t="str">
        <f t="shared" si="64"/>
        <v>02.07.2026</v>
      </c>
      <c r="B336" s="5">
        <v>31</v>
      </c>
      <c r="C336" s="5" t="s">
        <v>87</v>
      </c>
      <c r="D336" s="3">
        <v>15.33</v>
      </c>
      <c r="E336" s="3">
        <v>15.444319999999999</v>
      </c>
      <c r="F336" s="6">
        <f t="shared" si="52"/>
        <v>0.11431999999999931</v>
      </c>
      <c r="G336" s="6">
        <f t="shared" si="53"/>
        <v>7.4572733202869735E-3</v>
      </c>
      <c r="H336" s="6" t="str">
        <f t="shared" si="54"/>
        <v>🟢 Over-injection</v>
      </c>
      <c r="I336" s="6">
        <f t="shared" si="55"/>
        <v>-0.11431999999999931</v>
      </c>
      <c r="J336" s="3">
        <v>2.9752999999999998</v>
      </c>
      <c r="K336" s="6">
        <f t="shared" si="56"/>
        <v>2.2995000000000001</v>
      </c>
      <c r="L336" s="6">
        <f t="shared" si="57"/>
        <v>3.0660000000000003</v>
      </c>
      <c r="M336" s="6">
        <f t="shared" si="58"/>
        <v>0.11431999999999931</v>
      </c>
      <c r="N336" s="6">
        <f t="shared" si="59"/>
        <v>0</v>
      </c>
      <c r="O336" s="6">
        <f t="shared" si="60"/>
        <v>0</v>
      </c>
      <c r="P336" s="6">
        <f t="shared" si="61"/>
        <v>-68.027259199999591</v>
      </c>
      <c r="Q336" s="3">
        <v>-68.027259200000003</v>
      </c>
      <c r="R336" s="6">
        <f t="shared" si="62"/>
        <v>4.1211478674085811E-13</v>
      </c>
      <c r="S336" s="6" t="str">
        <f t="shared" si="63"/>
        <v>OK</v>
      </c>
    </row>
    <row r="337" spans="1:19" x14ac:dyDescent="0.25">
      <c r="A337" s="3" t="str">
        <f t="shared" si="64"/>
        <v>02.07.2026</v>
      </c>
      <c r="B337" s="5">
        <v>32</v>
      </c>
      <c r="C337" s="5" t="s">
        <v>86</v>
      </c>
      <c r="D337" s="3">
        <v>15.33</v>
      </c>
      <c r="E337" s="3">
        <v>15.444319999999999</v>
      </c>
      <c r="F337" s="6">
        <f t="shared" si="52"/>
        <v>0.11431999999999931</v>
      </c>
      <c r="G337" s="6">
        <f t="shared" si="53"/>
        <v>7.4572733202869735E-3</v>
      </c>
      <c r="H337" s="6" t="str">
        <f t="shared" si="54"/>
        <v>🟢 Over-injection</v>
      </c>
      <c r="I337" s="6">
        <f t="shared" si="55"/>
        <v>-0.11431999999999931</v>
      </c>
      <c r="J337" s="3">
        <v>2.6016000000000004</v>
      </c>
      <c r="K337" s="6">
        <f t="shared" si="56"/>
        <v>2.2995000000000001</v>
      </c>
      <c r="L337" s="6">
        <f t="shared" si="57"/>
        <v>3.0660000000000003</v>
      </c>
      <c r="M337" s="6">
        <f t="shared" si="58"/>
        <v>0.11431999999999931</v>
      </c>
      <c r="N337" s="6">
        <f t="shared" si="59"/>
        <v>0</v>
      </c>
      <c r="O337" s="6">
        <f t="shared" si="60"/>
        <v>0</v>
      </c>
      <c r="P337" s="6">
        <f t="shared" si="61"/>
        <v>-59.482982399999656</v>
      </c>
      <c r="Q337" s="3">
        <v>-59.482982400000019</v>
      </c>
      <c r="R337" s="6">
        <f t="shared" si="62"/>
        <v>3.6237679523765109E-13</v>
      </c>
      <c r="S337" s="6" t="str">
        <f t="shared" si="63"/>
        <v>OK</v>
      </c>
    </row>
    <row r="338" spans="1:19" x14ac:dyDescent="0.25">
      <c r="A338" s="3" t="str">
        <f t="shared" si="64"/>
        <v>02.07.2026</v>
      </c>
      <c r="B338" s="5">
        <v>33</v>
      </c>
      <c r="C338" s="5" t="s">
        <v>85</v>
      </c>
      <c r="D338" s="3">
        <v>14.33</v>
      </c>
      <c r="E338" s="3">
        <v>15.11523</v>
      </c>
      <c r="F338" s="6">
        <f t="shared" ref="F338:F401" si="65">E338-D338</f>
        <v>0.78523000000000032</v>
      </c>
      <c r="G338" s="6">
        <f t="shared" ref="G338:G401" si="66">IF(D338=0,0,F338/D338)</f>
        <v>5.4796231681786482E-2</v>
      </c>
      <c r="H338" s="6" t="str">
        <f t="shared" ref="H338:H401" si="67">IF(E338&gt;D338,"🟢 Over-injection",IF(E338&lt;D338,"🔴 Under-injection","⚪ Nil"))</f>
        <v>🟢 Over-injection</v>
      </c>
      <c r="I338" s="6">
        <f t="shared" ref="I338:I401" si="68">-F338</f>
        <v>-0.78523000000000032</v>
      </c>
      <c r="J338" s="3">
        <v>2.2565</v>
      </c>
      <c r="K338" s="6">
        <f t="shared" ref="K338:K401" si="69">MIN(ABS(D338)*$B$7,$B$8)</f>
        <v>2.1494999999999997</v>
      </c>
      <c r="L338" s="6">
        <f t="shared" ref="L338:L401" si="70">MIN(ABS(D338)*$B$9,$B$10)</f>
        <v>2.8660000000000001</v>
      </c>
      <c r="M338" s="6">
        <f t="shared" ref="M338:M401" si="71">MIN(ABS(F338),K338)</f>
        <v>0.78523000000000032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-354.37429900000018</v>
      </c>
      <c r="Q338" s="3">
        <v>-354.37429900000001</v>
      </c>
      <c r="R338" s="6">
        <f t="shared" ref="R338:R401" si="75">P338-Q338</f>
        <v>0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02.07.2026</v>
      </c>
      <c r="B339" s="5">
        <v>34</v>
      </c>
      <c r="C339" s="5" t="s">
        <v>84</v>
      </c>
      <c r="D339" s="3">
        <v>14.33</v>
      </c>
      <c r="E339" s="3">
        <v>14.479760000000001</v>
      </c>
      <c r="F339" s="6">
        <f t="shared" si="65"/>
        <v>0.14976000000000056</v>
      </c>
      <c r="G339" s="6">
        <f t="shared" si="66"/>
        <v>1.0450802512212181E-2</v>
      </c>
      <c r="H339" s="6" t="str">
        <f t="shared" si="67"/>
        <v>🟢 Over-injection</v>
      </c>
      <c r="I339" s="6">
        <f t="shared" si="68"/>
        <v>-0.14976000000000056</v>
      </c>
      <c r="J339" s="3">
        <v>2.2504</v>
      </c>
      <c r="K339" s="6">
        <f t="shared" si="69"/>
        <v>2.1494999999999997</v>
      </c>
      <c r="L339" s="6">
        <f t="shared" si="70"/>
        <v>2.8660000000000001</v>
      </c>
      <c r="M339" s="6">
        <f t="shared" si="71"/>
        <v>0.14976000000000056</v>
      </c>
      <c r="N339" s="6">
        <f t="shared" si="72"/>
        <v>0</v>
      </c>
      <c r="O339" s="6">
        <f t="shared" si="73"/>
        <v>0</v>
      </c>
      <c r="P339" s="6">
        <f t="shared" si="74"/>
        <v>-67.403980800000255</v>
      </c>
      <c r="Q339" s="3">
        <v>-67.403980800000014</v>
      </c>
      <c r="R339" s="6">
        <f t="shared" si="75"/>
        <v>-2.4158453015843406E-13</v>
      </c>
      <c r="S339" s="6" t="str">
        <f t="shared" si="76"/>
        <v>OK</v>
      </c>
    </row>
    <row r="340" spans="1:19" x14ac:dyDescent="0.25">
      <c r="A340" s="3" t="str">
        <f t="shared" ref="A340:A403" si="77">A339</f>
        <v>02.07.2026</v>
      </c>
      <c r="B340" s="5">
        <v>35</v>
      </c>
      <c r="C340" s="5" t="s">
        <v>83</v>
      </c>
      <c r="D340" s="3">
        <v>15.83</v>
      </c>
      <c r="E340" s="3">
        <v>15.62589</v>
      </c>
      <c r="F340" s="6">
        <f t="shared" si="65"/>
        <v>-0.20411000000000001</v>
      </c>
      <c r="G340" s="6">
        <f t="shared" si="66"/>
        <v>-1.289387239418825E-2</v>
      </c>
      <c r="H340" s="6" t="str">
        <f t="shared" si="67"/>
        <v>🔴 Under-injection</v>
      </c>
      <c r="I340" s="6">
        <f t="shared" si="68"/>
        <v>0.20411000000000001</v>
      </c>
      <c r="J340" s="3">
        <v>2.1006</v>
      </c>
      <c r="K340" s="6">
        <f t="shared" si="69"/>
        <v>2.3744999999999998</v>
      </c>
      <c r="L340" s="6">
        <f t="shared" si="70"/>
        <v>3.1660000000000004</v>
      </c>
      <c r="M340" s="6">
        <f t="shared" si="71"/>
        <v>0.20411000000000001</v>
      </c>
      <c r="N340" s="6">
        <f t="shared" si="72"/>
        <v>0</v>
      </c>
      <c r="O340" s="6">
        <f t="shared" si="73"/>
        <v>0</v>
      </c>
      <c r="P340" s="6">
        <f t="shared" si="74"/>
        <v>112.54778482500001</v>
      </c>
      <c r="Q340" s="3">
        <v>112.54778482500002</v>
      </c>
      <c r="R340" s="6">
        <f t="shared" si="75"/>
        <v>0</v>
      </c>
      <c r="S340" s="6" t="str">
        <f t="shared" si="76"/>
        <v>OK</v>
      </c>
    </row>
    <row r="341" spans="1:19" x14ac:dyDescent="0.25">
      <c r="A341" s="3" t="str">
        <f t="shared" si="77"/>
        <v>02.07.2026</v>
      </c>
      <c r="B341" s="5">
        <v>36</v>
      </c>
      <c r="C341" s="5" t="s">
        <v>82</v>
      </c>
      <c r="D341" s="3">
        <v>14.33</v>
      </c>
      <c r="E341" s="3">
        <v>15.97767</v>
      </c>
      <c r="F341" s="6">
        <f t="shared" si="65"/>
        <v>1.6476699999999997</v>
      </c>
      <c r="G341" s="6">
        <f t="shared" si="66"/>
        <v>0.11498046057222608</v>
      </c>
      <c r="H341" s="6" t="str">
        <f t="shared" si="67"/>
        <v>🟢 Over-injection</v>
      </c>
      <c r="I341" s="6">
        <f t="shared" si="68"/>
        <v>-1.6476699999999997</v>
      </c>
      <c r="J341" s="3">
        <v>1.8140000000000001</v>
      </c>
      <c r="K341" s="6">
        <f t="shared" si="69"/>
        <v>2.1494999999999997</v>
      </c>
      <c r="L341" s="6">
        <f t="shared" si="70"/>
        <v>2.8660000000000001</v>
      </c>
      <c r="M341" s="6">
        <f t="shared" si="71"/>
        <v>1.6476699999999997</v>
      </c>
      <c r="N341" s="6">
        <f t="shared" si="72"/>
        <v>0</v>
      </c>
      <c r="O341" s="6">
        <f t="shared" si="73"/>
        <v>0</v>
      </c>
      <c r="P341" s="6">
        <f t="shared" si="74"/>
        <v>-597.774676</v>
      </c>
      <c r="Q341" s="3">
        <v>-597.774676</v>
      </c>
      <c r="R341" s="6">
        <f t="shared" si="75"/>
        <v>0</v>
      </c>
      <c r="S341" s="6" t="str">
        <f t="shared" si="76"/>
        <v>OK</v>
      </c>
    </row>
    <row r="342" spans="1:19" x14ac:dyDescent="0.25">
      <c r="A342" s="3" t="str">
        <f t="shared" si="77"/>
        <v>02.07.2026</v>
      </c>
      <c r="B342" s="5">
        <v>37</v>
      </c>
      <c r="C342" s="5" t="s">
        <v>81</v>
      </c>
      <c r="D342" s="3">
        <v>14.33</v>
      </c>
      <c r="E342" s="3">
        <v>15.97767</v>
      </c>
      <c r="F342" s="6">
        <f t="shared" si="65"/>
        <v>1.6476699999999997</v>
      </c>
      <c r="G342" s="6">
        <f t="shared" si="66"/>
        <v>0.11498046057222608</v>
      </c>
      <c r="H342" s="6" t="str">
        <f t="shared" si="67"/>
        <v>🟢 Over-injection</v>
      </c>
      <c r="I342" s="6">
        <f t="shared" si="68"/>
        <v>-1.6476699999999997</v>
      </c>
      <c r="J342" s="3">
        <v>1.3755000000000002</v>
      </c>
      <c r="K342" s="6">
        <f t="shared" si="69"/>
        <v>2.1494999999999997</v>
      </c>
      <c r="L342" s="6">
        <f t="shared" si="70"/>
        <v>2.8660000000000001</v>
      </c>
      <c r="M342" s="6">
        <f t="shared" si="71"/>
        <v>1.6476699999999997</v>
      </c>
      <c r="N342" s="6">
        <f t="shared" si="72"/>
        <v>0</v>
      </c>
      <c r="O342" s="6">
        <f t="shared" si="73"/>
        <v>0</v>
      </c>
      <c r="P342" s="6">
        <f t="shared" si="74"/>
        <v>-453.27401700000001</v>
      </c>
      <c r="Q342" s="3">
        <v>-453.27401700000007</v>
      </c>
      <c r="R342" s="6">
        <f t="shared" si="75"/>
        <v>0</v>
      </c>
      <c r="S342" s="6" t="str">
        <f t="shared" si="76"/>
        <v>OK</v>
      </c>
    </row>
    <row r="343" spans="1:19" x14ac:dyDescent="0.25">
      <c r="A343" s="3" t="str">
        <f t="shared" si="77"/>
        <v>02.07.2026</v>
      </c>
      <c r="B343" s="5">
        <v>38</v>
      </c>
      <c r="C343" s="5" t="s">
        <v>80</v>
      </c>
      <c r="D343" s="3">
        <v>15.83</v>
      </c>
      <c r="E343" s="3">
        <v>15.97767</v>
      </c>
      <c r="F343" s="6">
        <f t="shared" si="65"/>
        <v>0.14766999999999975</v>
      </c>
      <c r="G343" s="6">
        <f t="shared" si="66"/>
        <v>9.3284902084649242E-3</v>
      </c>
      <c r="H343" s="6" t="str">
        <f t="shared" si="67"/>
        <v>🟢 Over-injection</v>
      </c>
      <c r="I343" s="6">
        <f t="shared" si="68"/>
        <v>-0.14766999999999975</v>
      </c>
      <c r="J343" s="3">
        <v>1.3718000000000001</v>
      </c>
      <c r="K343" s="6">
        <f t="shared" si="69"/>
        <v>2.3744999999999998</v>
      </c>
      <c r="L343" s="6">
        <f t="shared" si="70"/>
        <v>3.1660000000000004</v>
      </c>
      <c r="M343" s="6">
        <f t="shared" si="71"/>
        <v>0.14766999999999975</v>
      </c>
      <c r="N343" s="6">
        <f t="shared" si="72"/>
        <v>0</v>
      </c>
      <c r="O343" s="6">
        <f t="shared" si="73"/>
        <v>0</v>
      </c>
      <c r="P343" s="6">
        <f t="shared" si="74"/>
        <v>-40.514741199999932</v>
      </c>
      <c r="Q343" s="3">
        <v>-40.514741200000003</v>
      </c>
      <c r="R343" s="6">
        <f t="shared" si="75"/>
        <v>7.1054273576010019E-14</v>
      </c>
      <c r="S343" s="6" t="str">
        <f t="shared" si="76"/>
        <v>OK</v>
      </c>
    </row>
    <row r="344" spans="1:19" x14ac:dyDescent="0.25">
      <c r="A344" s="3" t="str">
        <f t="shared" si="77"/>
        <v>02.07.2026</v>
      </c>
      <c r="B344" s="5">
        <v>39</v>
      </c>
      <c r="C344" s="5" t="s">
        <v>79</v>
      </c>
      <c r="D344" s="3">
        <v>15.83</v>
      </c>
      <c r="E344" s="3">
        <v>15.97767</v>
      </c>
      <c r="F344" s="6">
        <f t="shared" si="65"/>
        <v>0.14766999999999975</v>
      </c>
      <c r="G344" s="6">
        <f t="shared" si="66"/>
        <v>9.3284902084649242E-3</v>
      </c>
      <c r="H344" s="6" t="str">
        <f t="shared" si="67"/>
        <v>🟢 Over-injection</v>
      </c>
      <c r="I344" s="6">
        <f t="shared" si="68"/>
        <v>-0.14766999999999975</v>
      </c>
      <c r="J344" s="3">
        <v>1.3786</v>
      </c>
      <c r="K344" s="6">
        <f t="shared" si="69"/>
        <v>2.3744999999999998</v>
      </c>
      <c r="L344" s="6">
        <f t="shared" si="70"/>
        <v>3.1660000000000004</v>
      </c>
      <c r="M344" s="6">
        <f t="shared" si="71"/>
        <v>0.14766999999999975</v>
      </c>
      <c r="N344" s="6">
        <f t="shared" si="72"/>
        <v>0</v>
      </c>
      <c r="O344" s="6">
        <f t="shared" si="73"/>
        <v>0</v>
      </c>
      <c r="P344" s="6">
        <f t="shared" si="74"/>
        <v>-40.715572399999935</v>
      </c>
      <c r="Q344" s="3">
        <v>-40.715572400000006</v>
      </c>
      <c r="R344" s="6">
        <f t="shared" si="75"/>
        <v>7.1054273576010019E-14</v>
      </c>
      <c r="S344" s="6" t="str">
        <f t="shared" si="76"/>
        <v>OK</v>
      </c>
    </row>
    <row r="345" spans="1:19" x14ac:dyDescent="0.25">
      <c r="A345" s="3" t="str">
        <f t="shared" si="77"/>
        <v>02.07.2026</v>
      </c>
      <c r="B345" s="5">
        <v>40</v>
      </c>
      <c r="C345" s="5" t="s">
        <v>78</v>
      </c>
      <c r="D345" s="3">
        <v>15.83</v>
      </c>
      <c r="E345" s="3">
        <v>15.97767</v>
      </c>
      <c r="F345" s="6">
        <f t="shared" si="65"/>
        <v>0.14766999999999975</v>
      </c>
      <c r="G345" s="6">
        <f t="shared" si="66"/>
        <v>9.3284902084649242E-3</v>
      </c>
      <c r="H345" s="6" t="str">
        <f t="shared" si="67"/>
        <v>🟢 Over-injection</v>
      </c>
      <c r="I345" s="6">
        <f t="shared" si="68"/>
        <v>-0.14766999999999975</v>
      </c>
      <c r="J345" s="3">
        <v>1.379</v>
      </c>
      <c r="K345" s="6">
        <f t="shared" si="69"/>
        <v>2.3744999999999998</v>
      </c>
      <c r="L345" s="6">
        <f t="shared" si="70"/>
        <v>3.1660000000000004</v>
      </c>
      <c r="M345" s="6">
        <f t="shared" si="71"/>
        <v>0.14766999999999975</v>
      </c>
      <c r="N345" s="6">
        <f t="shared" si="72"/>
        <v>0</v>
      </c>
      <c r="O345" s="6">
        <f t="shared" si="73"/>
        <v>0</v>
      </c>
      <c r="P345" s="6">
        <f t="shared" si="74"/>
        <v>-40.727385999999925</v>
      </c>
      <c r="Q345" s="3">
        <v>-40.727385999999996</v>
      </c>
      <c r="R345" s="6">
        <f t="shared" si="75"/>
        <v>7.1054273576010019E-14</v>
      </c>
      <c r="S345" s="6" t="str">
        <f t="shared" si="76"/>
        <v>OK</v>
      </c>
    </row>
    <row r="346" spans="1:19" x14ac:dyDescent="0.25">
      <c r="A346" s="3" t="str">
        <f t="shared" si="77"/>
        <v>02.07.2026</v>
      </c>
      <c r="B346" s="5">
        <v>41</v>
      </c>
      <c r="C346" s="5" t="s">
        <v>77</v>
      </c>
      <c r="D346" s="3">
        <v>15.83</v>
      </c>
      <c r="E346" s="3">
        <v>15.97767</v>
      </c>
      <c r="F346" s="6">
        <f t="shared" si="65"/>
        <v>0.14766999999999975</v>
      </c>
      <c r="G346" s="6">
        <f t="shared" si="66"/>
        <v>9.3284902084649242E-3</v>
      </c>
      <c r="H346" s="6" t="str">
        <f t="shared" si="67"/>
        <v>🟢 Over-injection</v>
      </c>
      <c r="I346" s="6">
        <f t="shared" si="68"/>
        <v>-0.14766999999999975</v>
      </c>
      <c r="J346" s="3">
        <v>1.1629</v>
      </c>
      <c r="K346" s="6">
        <f t="shared" si="69"/>
        <v>2.3744999999999998</v>
      </c>
      <c r="L346" s="6">
        <f t="shared" si="70"/>
        <v>3.1660000000000004</v>
      </c>
      <c r="M346" s="6">
        <f t="shared" si="71"/>
        <v>0.14766999999999975</v>
      </c>
      <c r="N346" s="6">
        <f t="shared" si="72"/>
        <v>0</v>
      </c>
      <c r="O346" s="6">
        <f t="shared" si="73"/>
        <v>0</v>
      </c>
      <c r="P346" s="6">
        <f t="shared" si="74"/>
        <v>-34.34508859999994</v>
      </c>
      <c r="Q346" s="3">
        <v>-34.345088599999997</v>
      </c>
      <c r="R346" s="6">
        <f t="shared" si="75"/>
        <v>5.6843418860808015E-14</v>
      </c>
      <c r="S346" s="6" t="str">
        <f t="shared" si="76"/>
        <v>OK</v>
      </c>
    </row>
    <row r="347" spans="1:19" x14ac:dyDescent="0.25">
      <c r="A347" s="3" t="str">
        <f t="shared" si="77"/>
        <v>02.07.2026</v>
      </c>
      <c r="B347" s="5">
        <v>42</v>
      </c>
      <c r="C347" s="5" t="s">
        <v>76</v>
      </c>
      <c r="D347" s="3">
        <v>15.83</v>
      </c>
      <c r="E347" s="3">
        <v>15.97767</v>
      </c>
      <c r="F347" s="6">
        <f t="shared" si="65"/>
        <v>0.14766999999999975</v>
      </c>
      <c r="G347" s="6">
        <f t="shared" si="66"/>
        <v>9.3284902084649242E-3</v>
      </c>
      <c r="H347" s="6" t="str">
        <f t="shared" si="67"/>
        <v>🟢 Over-injection</v>
      </c>
      <c r="I347" s="6">
        <f t="shared" si="68"/>
        <v>-0.14766999999999975</v>
      </c>
      <c r="J347" s="3">
        <v>1.3069999999999999</v>
      </c>
      <c r="K347" s="6">
        <f t="shared" si="69"/>
        <v>2.3744999999999998</v>
      </c>
      <c r="L347" s="6">
        <f t="shared" si="70"/>
        <v>3.1660000000000004</v>
      </c>
      <c r="M347" s="6">
        <f t="shared" si="71"/>
        <v>0.14766999999999975</v>
      </c>
      <c r="N347" s="6">
        <f t="shared" si="72"/>
        <v>0</v>
      </c>
      <c r="O347" s="6">
        <f t="shared" si="73"/>
        <v>0</v>
      </c>
      <c r="P347" s="6">
        <f t="shared" si="74"/>
        <v>-38.600937999999935</v>
      </c>
      <c r="Q347" s="3">
        <v>-38.600937999999999</v>
      </c>
      <c r="R347" s="6">
        <f t="shared" si="75"/>
        <v>6.3948846218409017E-14</v>
      </c>
      <c r="S347" s="6" t="str">
        <f t="shared" si="76"/>
        <v>OK</v>
      </c>
    </row>
    <row r="348" spans="1:19" x14ac:dyDescent="0.25">
      <c r="A348" s="3" t="str">
        <f t="shared" si="77"/>
        <v>02.07.2026</v>
      </c>
      <c r="B348" s="5">
        <v>43</v>
      </c>
      <c r="C348" s="5" t="s">
        <v>75</v>
      </c>
      <c r="D348" s="3">
        <v>15.83</v>
      </c>
      <c r="E348" s="3">
        <v>15.98901</v>
      </c>
      <c r="F348" s="6">
        <f t="shared" si="65"/>
        <v>0.15901000000000032</v>
      </c>
      <c r="G348" s="6">
        <f t="shared" si="66"/>
        <v>1.0044851547694271E-2</v>
      </c>
      <c r="H348" s="6" t="str">
        <f t="shared" si="67"/>
        <v>🟢 Over-injection</v>
      </c>
      <c r="I348" s="6">
        <f t="shared" si="68"/>
        <v>-0.15901000000000032</v>
      </c>
      <c r="J348" s="3">
        <v>1.2351000000000001</v>
      </c>
      <c r="K348" s="6">
        <f t="shared" si="69"/>
        <v>2.3744999999999998</v>
      </c>
      <c r="L348" s="6">
        <f t="shared" si="70"/>
        <v>3.1660000000000004</v>
      </c>
      <c r="M348" s="6">
        <f t="shared" si="71"/>
        <v>0.15901000000000032</v>
      </c>
      <c r="N348" s="6">
        <f t="shared" si="72"/>
        <v>0</v>
      </c>
      <c r="O348" s="6">
        <f t="shared" si="73"/>
        <v>0</v>
      </c>
      <c r="P348" s="6">
        <f t="shared" si="74"/>
        <v>-39.278650200000087</v>
      </c>
      <c r="Q348" s="3">
        <v>-39.278650200000008</v>
      </c>
      <c r="R348" s="6">
        <f t="shared" si="75"/>
        <v>-7.815970093361102E-14</v>
      </c>
      <c r="S348" s="6" t="str">
        <f t="shared" si="76"/>
        <v>OK</v>
      </c>
    </row>
    <row r="349" spans="1:19" x14ac:dyDescent="0.25">
      <c r="A349" s="3" t="str">
        <f t="shared" si="77"/>
        <v>02.07.2026</v>
      </c>
      <c r="B349" s="5">
        <v>44</v>
      </c>
      <c r="C349" s="5" t="s">
        <v>74</v>
      </c>
      <c r="D349" s="3">
        <v>15.83</v>
      </c>
      <c r="E349" s="3">
        <v>15.98901</v>
      </c>
      <c r="F349" s="6">
        <f t="shared" si="65"/>
        <v>0.15901000000000032</v>
      </c>
      <c r="G349" s="6">
        <f t="shared" si="66"/>
        <v>1.0044851547694271E-2</v>
      </c>
      <c r="H349" s="6" t="str">
        <f t="shared" si="67"/>
        <v>🟢 Over-injection</v>
      </c>
      <c r="I349" s="6">
        <f t="shared" si="68"/>
        <v>-0.15901000000000032</v>
      </c>
      <c r="J349" s="3">
        <v>1.0934999999999999</v>
      </c>
      <c r="K349" s="6">
        <f t="shared" si="69"/>
        <v>2.3744999999999998</v>
      </c>
      <c r="L349" s="6">
        <f t="shared" si="70"/>
        <v>3.1660000000000004</v>
      </c>
      <c r="M349" s="6">
        <f t="shared" si="71"/>
        <v>0.15901000000000032</v>
      </c>
      <c r="N349" s="6">
        <f t="shared" si="72"/>
        <v>0</v>
      </c>
      <c r="O349" s="6">
        <f t="shared" si="73"/>
        <v>0</v>
      </c>
      <c r="P349" s="6">
        <f t="shared" si="74"/>
        <v>-34.775487000000069</v>
      </c>
      <c r="Q349" s="3">
        <v>-34.775486999999998</v>
      </c>
      <c r="R349" s="6">
        <f t="shared" si="75"/>
        <v>-7.1054273576010019E-14</v>
      </c>
      <c r="S349" s="6" t="str">
        <f t="shared" si="76"/>
        <v>OK</v>
      </c>
    </row>
    <row r="350" spans="1:19" x14ac:dyDescent="0.25">
      <c r="A350" s="3" t="str">
        <f t="shared" si="77"/>
        <v>02.07.2026</v>
      </c>
      <c r="B350" s="5">
        <v>45</v>
      </c>
      <c r="C350" s="5" t="s">
        <v>73</v>
      </c>
      <c r="D350" s="3">
        <v>15.83</v>
      </c>
      <c r="E350" s="3">
        <v>15.98901</v>
      </c>
      <c r="F350" s="6">
        <f t="shared" si="65"/>
        <v>0.15901000000000032</v>
      </c>
      <c r="G350" s="6">
        <f t="shared" si="66"/>
        <v>1.0044851547694271E-2</v>
      </c>
      <c r="H350" s="6" t="str">
        <f t="shared" si="67"/>
        <v>🟢 Over-injection</v>
      </c>
      <c r="I350" s="6">
        <f t="shared" si="68"/>
        <v>-0.15901000000000032</v>
      </c>
      <c r="J350" s="3">
        <v>1.093</v>
      </c>
      <c r="K350" s="6">
        <f t="shared" si="69"/>
        <v>2.3744999999999998</v>
      </c>
      <c r="L350" s="6">
        <f t="shared" si="70"/>
        <v>3.1660000000000004</v>
      </c>
      <c r="M350" s="6">
        <f t="shared" si="71"/>
        <v>0.15901000000000032</v>
      </c>
      <c r="N350" s="6">
        <f t="shared" si="72"/>
        <v>0</v>
      </c>
      <c r="O350" s="6">
        <f t="shared" si="73"/>
        <v>0</v>
      </c>
      <c r="P350" s="6">
        <f t="shared" si="74"/>
        <v>-34.75958600000007</v>
      </c>
      <c r="Q350" s="3">
        <v>-34.759585999999999</v>
      </c>
      <c r="R350" s="6">
        <f t="shared" si="75"/>
        <v>-7.1054273576010019E-14</v>
      </c>
      <c r="S350" s="6" t="str">
        <f t="shared" si="76"/>
        <v>OK</v>
      </c>
    </row>
    <row r="351" spans="1:19" x14ac:dyDescent="0.25">
      <c r="A351" s="3" t="str">
        <f t="shared" si="77"/>
        <v>02.07.2026</v>
      </c>
      <c r="B351" s="5">
        <v>46</v>
      </c>
      <c r="C351" s="5" t="s">
        <v>72</v>
      </c>
      <c r="D351" s="3">
        <v>15.83</v>
      </c>
      <c r="E351" s="3">
        <v>15.98901</v>
      </c>
      <c r="F351" s="6">
        <f t="shared" si="65"/>
        <v>0.15901000000000032</v>
      </c>
      <c r="G351" s="6">
        <f t="shared" si="66"/>
        <v>1.0044851547694271E-2</v>
      </c>
      <c r="H351" s="6" t="str">
        <f t="shared" si="67"/>
        <v>🟢 Over-injection</v>
      </c>
      <c r="I351" s="6">
        <f t="shared" si="68"/>
        <v>-0.15901000000000032</v>
      </c>
      <c r="J351" s="3">
        <v>1.0920000000000001</v>
      </c>
      <c r="K351" s="6">
        <f t="shared" si="69"/>
        <v>2.3744999999999998</v>
      </c>
      <c r="L351" s="6">
        <f t="shared" si="70"/>
        <v>3.1660000000000004</v>
      </c>
      <c r="M351" s="6">
        <f t="shared" si="71"/>
        <v>0.15901000000000032</v>
      </c>
      <c r="N351" s="6">
        <f t="shared" si="72"/>
        <v>0</v>
      </c>
      <c r="O351" s="6">
        <f t="shared" si="73"/>
        <v>0</v>
      </c>
      <c r="P351" s="6">
        <f t="shared" si="74"/>
        <v>-34.727784000000071</v>
      </c>
      <c r="Q351" s="3">
        <v>-34.727784000000014</v>
      </c>
      <c r="R351" s="6">
        <f t="shared" si="75"/>
        <v>-5.6843418860808015E-14</v>
      </c>
      <c r="S351" s="6" t="str">
        <f t="shared" si="76"/>
        <v>OK</v>
      </c>
    </row>
    <row r="352" spans="1:19" x14ac:dyDescent="0.25">
      <c r="A352" s="3" t="str">
        <f t="shared" si="77"/>
        <v>02.07.2026</v>
      </c>
      <c r="B352" s="5">
        <v>47</v>
      </c>
      <c r="C352" s="5" t="s">
        <v>71</v>
      </c>
      <c r="D352" s="3">
        <v>15.83</v>
      </c>
      <c r="E352" s="3">
        <v>15.98901</v>
      </c>
      <c r="F352" s="6">
        <f t="shared" si="65"/>
        <v>0.15901000000000032</v>
      </c>
      <c r="G352" s="6">
        <f t="shared" si="66"/>
        <v>1.0044851547694271E-2</v>
      </c>
      <c r="H352" s="6" t="str">
        <f t="shared" si="67"/>
        <v>🟢 Over-injection</v>
      </c>
      <c r="I352" s="6">
        <f t="shared" si="68"/>
        <v>-0.15901000000000032</v>
      </c>
      <c r="J352" s="3">
        <v>1.0226999999999999</v>
      </c>
      <c r="K352" s="6">
        <f t="shared" si="69"/>
        <v>2.3744999999999998</v>
      </c>
      <c r="L352" s="6">
        <f t="shared" si="70"/>
        <v>3.1660000000000004</v>
      </c>
      <c r="M352" s="6">
        <f t="shared" si="71"/>
        <v>0.15901000000000032</v>
      </c>
      <c r="N352" s="6">
        <f t="shared" si="72"/>
        <v>0</v>
      </c>
      <c r="O352" s="6">
        <f t="shared" si="73"/>
        <v>0</v>
      </c>
      <c r="P352" s="6">
        <f t="shared" si="74"/>
        <v>-32.523905400000068</v>
      </c>
      <c r="Q352" s="3">
        <v>-32.523905400000004</v>
      </c>
      <c r="R352" s="6">
        <f t="shared" si="75"/>
        <v>-6.3948846218409017E-14</v>
      </c>
      <c r="S352" s="6" t="str">
        <f t="shared" si="76"/>
        <v>OK</v>
      </c>
    </row>
    <row r="353" spans="1:19" x14ac:dyDescent="0.25">
      <c r="A353" s="3" t="str">
        <f t="shared" si="77"/>
        <v>02.07.2026</v>
      </c>
      <c r="B353" s="5">
        <v>48</v>
      </c>
      <c r="C353" s="5" t="s">
        <v>70</v>
      </c>
      <c r="D353" s="3">
        <v>15.83</v>
      </c>
      <c r="E353" s="3">
        <v>15.97767</v>
      </c>
      <c r="F353" s="6">
        <f t="shared" si="65"/>
        <v>0.14766999999999975</v>
      </c>
      <c r="G353" s="6">
        <f t="shared" si="66"/>
        <v>9.3284902084649242E-3</v>
      </c>
      <c r="H353" s="6" t="str">
        <f t="shared" si="67"/>
        <v>🟢 Over-injection</v>
      </c>
      <c r="I353" s="6">
        <f t="shared" si="68"/>
        <v>-0.14766999999999975</v>
      </c>
      <c r="J353" s="3">
        <v>1.0920999999999998</v>
      </c>
      <c r="K353" s="6">
        <f t="shared" si="69"/>
        <v>2.3744999999999998</v>
      </c>
      <c r="L353" s="6">
        <f t="shared" si="70"/>
        <v>3.1660000000000004</v>
      </c>
      <c r="M353" s="6">
        <f t="shared" si="71"/>
        <v>0.14766999999999975</v>
      </c>
      <c r="N353" s="6">
        <f t="shared" si="72"/>
        <v>0</v>
      </c>
      <c r="O353" s="6">
        <f t="shared" si="73"/>
        <v>0</v>
      </c>
      <c r="P353" s="6">
        <f t="shared" si="74"/>
        <v>-32.25408139999994</v>
      </c>
      <c r="Q353" s="3">
        <v>-32.254081399999997</v>
      </c>
      <c r="R353" s="6">
        <f t="shared" si="75"/>
        <v>5.6843418860808015E-14</v>
      </c>
      <c r="S353" s="6" t="str">
        <f t="shared" si="76"/>
        <v>OK</v>
      </c>
    </row>
    <row r="354" spans="1:19" x14ac:dyDescent="0.25">
      <c r="A354" s="3" t="str">
        <f t="shared" si="77"/>
        <v>02.07.2026</v>
      </c>
      <c r="B354" s="5">
        <v>49</v>
      </c>
      <c r="C354" s="5" t="s">
        <v>69</v>
      </c>
      <c r="D354" s="3">
        <v>15.83</v>
      </c>
      <c r="E354" s="3">
        <v>15.98901</v>
      </c>
      <c r="F354" s="6">
        <f t="shared" si="65"/>
        <v>0.15901000000000032</v>
      </c>
      <c r="G354" s="6">
        <f t="shared" si="66"/>
        <v>1.0044851547694271E-2</v>
      </c>
      <c r="H354" s="6" t="str">
        <f t="shared" si="67"/>
        <v>🟢 Over-injection</v>
      </c>
      <c r="I354" s="6">
        <f t="shared" si="68"/>
        <v>-0.15901000000000032</v>
      </c>
      <c r="J354" s="3">
        <v>1.0920999999999998</v>
      </c>
      <c r="K354" s="6">
        <f t="shared" si="69"/>
        <v>2.3744999999999998</v>
      </c>
      <c r="L354" s="6">
        <f t="shared" si="70"/>
        <v>3.1660000000000004</v>
      </c>
      <c r="M354" s="6">
        <f t="shared" si="71"/>
        <v>0.15901000000000032</v>
      </c>
      <c r="N354" s="6">
        <f t="shared" si="72"/>
        <v>0</v>
      </c>
      <c r="O354" s="6">
        <f t="shared" si="73"/>
        <v>0</v>
      </c>
      <c r="P354" s="6">
        <f t="shared" si="74"/>
        <v>-34.730964200000066</v>
      </c>
      <c r="Q354" s="3">
        <v>-34.730964199999995</v>
      </c>
      <c r="R354" s="6">
        <f t="shared" si="75"/>
        <v>-7.1054273576010019E-14</v>
      </c>
      <c r="S354" s="6" t="str">
        <f t="shared" si="76"/>
        <v>OK</v>
      </c>
    </row>
    <row r="355" spans="1:19" x14ac:dyDescent="0.25">
      <c r="A355" s="3" t="str">
        <f t="shared" si="77"/>
        <v>02.07.2026</v>
      </c>
      <c r="B355" s="5">
        <v>50</v>
      </c>
      <c r="C355" s="5" t="s">
        <v>68</v>
      </c>
      <c r="D355" s="3">
        <v>15.83</v>
      </c>
      <c r="E355" s="3">
        <v>15.98901</v>
      </c>
      <c r="F355" s="6">
        <f t="shared" si="65"/>
        <v>0.15901000000000032</v>
      </c>
      <c r="G355" s="6">
        <f t="shared" si="66"/>
        <v>1.0044851547694271E-2</v>
      </c>
      <c r="H355" s="6" t="str">
        <f t="shared" si="67"/>
        <v>🟢 Over-injection</v>
      </c>
      <c r="I355" s="6">
        <f t="shared" si="68"/>
        <v>-0.15901000000000032</v>
      </c>
      <c r="J355" s="3">
        <v>1.0923</v>
      </c>
      <c r="K355" s="6">
        <f t="shared" si="69"/>
        <v>2.3744999999999998</v>
      </c>
      <c r="L355" s="6">
        <f t="shared" si="70"/>
        <v>3.1660000000000004</v>
      </c>
      <c r="M355" s="6">
        <f t="shared" si="71"/>
        <v>0.15901000000000032</v>
      </c>
      <c r="N355" s="6">
        <f t="shared" si="72"/>
        <v>0</v>
      </c>
      <c r="O355" s="6">
        <f t="shared" si="73"/>
        <v>0</v>
      </c>
      <c r="P355" s="6">
        <f t="shared" si="74"/>
        <v>-34.737324600000079</v>
      </c>
      <c r="Q355" s="3">
        <v>-34.737324600000008</v>
      </c>
      <c r="R355" s="6">
        <f t="shared" si="75"/>
        <v>-7.1054273576010019E-14</v>
      </c>
      <c r="S355" s="6" t="str">
        <f t="shared" si="76"/>
        <v>OK</v>
      </c>
    </row>
    <row r="356" spans="1:19" x14ac:dyDescent="0.25">
      <c r="A356" s="3" t="str">
        <f t="shared" si="77"/>
        <v>02.07.2026</v>
      </c>
      <c r="B356" s="5">
        <v>51</v>
      </c>
      <c r="C356" s="5" t="s">
        <v>67</v>
      </c>
      <c r="D356" s="3">
        <v>15.83</v>
      </c>
      <c r="E356" s="3">
        <v>15.98901</v>
      </c>
      <c r="F356" s="6">
        <f t="shared" si="65"/>
        <v>0.15901000000000032</v>
      </c>
      <c r="G356" s="6">
        <f t="shared" si="66"/>
        <v>1.0044851547694271E-2</v>
      </c>
      <c r="H356" s="6" t="str">
        <f t="shared" si="67"/>
        <v>🟢 Over-injection</v>
      </c>
      <c r="I356" s="6">
        <f t="shared" si="68"/>
        <v>-0.15901000000000032</v>
      </c>
      <c r="J356" s="3">
        <v>1.0920999999999998</v>
      </c>
      <c r="K356" s="6">
        <f t="shared" si="69"/>
        <v>2.3744999999999998</v>
      </c>
      <c r="L356" s="6">
        <f t="shared" si="70"/>
        <v>3.1660000000000004</v>
      </c>
      <c r="M356" s="6">
        <f t="shared" si="71"/>
        <v>0.15901000000000032</v>
      </c>
      <c r="N356" s="6">
        <f t="shared" si="72"/>
        <v>0</v>
      </c>
      <c r="O356" s="6">
        <f t="shared" si="73"/>
        <v>0</v>
      </c>
      <c r="P356" s="6">
        <f t="shared" si="74"/>
        <v>-34.730964200000066</v>
      </c>
      <c r="Q356" s="3">
        <v>-34.730964199999995</v>
      </c>
      <c r="R356" s="6">
        <f t="shared" si="75"/>
        <v>-7.1054273576010019E-14</v>
      </c>
      <c r="S356" s="6" t="str">
        <f t="shared" si="76"/>
        <v>OK</v>
      </c>
    </row>
    <row r="357" spans="1:19" x14ac:dyDescent="0.25">
      <c r="A357" s="3" t="str">
        <f t="shared" si="77"/>
        <v>02.07.2026</v>
      </c>
      <c r="B357" s="5">
        <v>52</v>
      </c>
      <c r="C357" s="5" t="s">
        <v>66</v>
      </c>
      <c r="D357" s="3">
        <v>15.83</v>
      </c>
      <c r="E357" s="3">
        <v>15.98901</v>
      </c>
      <c r="F357" s="6">
        <f t="shared" si="65"/>
        <v>0.15901000000000032</v>
      </c>
      <c r="G357" s="6">
        <f t="shared" si="66"/>
        <v>1.0044851547694271E-2</v>
      </c>
      <c r="H357" s="6" t="str">
        <f t="shared" si="67"/>
        <v>🟢 Over-injection</v>
      </c>
      <c r="I357" s="6">
        <f t="shared" si="68"/>
        <v>-0.15901000000000032</v>
      </c>
      <c r="J357" s="3">
        <v>1.0920999999999998</v>
      </c>
      <c r="K357" s="6">
        <f t="shared" si="69"/>
        <v>2.3744999999999998</v>
      </c>
      <c r="L357" s="6">
        <f t="shared" si="70"/>
        <v>3.1660000000000004</v>
      </c>
      <c r="M357" s="6">
        <f t="shared" si="71"/>
        <v>0.15901000000000032</v>
      </c>
      <c r="N357" s="6">
        <f t="shared" si="72"/>
        <v>0</v>
      </c>
      <c r="O357" s="6">
        <f t="shared" si="73"/>
        <v>0</v>
      </c>
      <c r="P357" s="6">
        <f t="shared" si="74"/>
        <v>-34.730964200000066</v>
      </c>
      <c r="Q357" s="3">
        <v>-34.730964199999995</v>
      </c>
      <c r="R357" s="6">
        <f t="shared" si="75"/>
        <v>-7.1054273576010019E-14</v>
      </c>
      <c r="S357" s="6" t="str">
        <f t="shared" si="76"/>
        <v>OK</v>
      </c>
    </row>
    <row r="358" spans="1:19" x14ac:dyDescent="0.25">
      <c r="A358" s="3" t="str">
        <f t="shared" si="77"/>
        <v>02.07.2026</v>
      </c>
      <c r="B358" s="5">
        <v>53</v>
      </c>
      <c r="C358" s="5" t="s">
        <v>65</v>
      </c>
      <c r="D358" s="3">
        <v>15.83</v>
      </c>
      <c r="E358" s="3">
        <v>15.98901</v>
      </c>
      <c r="F358" s="6">
        <f t="shared" si="65"/>
        <v>0.15901000000000032</v>
      </c>
      <c r="G358" s="6">
        <f t="shared" si="66"/>
        <v>1.0044851547694271E-2</v>
      </c>
      <c r="H358" s="6" t="str">
        <f t="shared" si="67"/>
        <v>🟢 Over-injection</v>
      </c>
      <c r="I358" s="6">
        <f t="shared" si="68"/>
        <v>-0.15901000000000032</v>
      </c>
      <c r="J358" s="3">
        <v>1.0212999999999999</v>
      </c>
      <c r="K358" s="6">
        <f t="shared" si="69"/>
        <v>2.3744999999999998</v>
      </c>
      <c r="L358" s="6">
        <f t="shared" si="70"/>
        <v>3.1660000000000004</v>
      </c>
      <c r="M358" s="6">
        <f t="shared" si="71"/>
        <v>0.15901000000000032</v>
      </c>
      <c r="N358" s="6">
        <f t="shared" si="72"/>
        <v>0</v>
      </c>
      <c r="O358" s="6">
        <f t="shared" si="73"/>
        <v>0</v>
      </c>
      <c r="P358" s="6">
        <f t="shared" si="74"/>
        <v>-32.479382600000065</v>
      </c>
      <c r="Q358" s="3">
        <v>-32.479382600000001</v>
      </c>
      <c r="R358" s="6">
        <f t="shared" si="75"/>
        <v>-6.3948846218409017E-14</v>
      </c>
      <c r="S358" s="6" t="str">
        <f t="shared" si="76"/>
        <v>OK</v>
      </c>
    </row>
    <row r="359" spans="1:19" x14ac:dyDescent="0.25">
      <c r="A359" s="3" t="str">
        <f t="shared" si="77"/>
        <v>02.07.2026</v>
      </c>
      <c r="B359" s="5">
        <v>54</v>
      </c>
      <c r="C359" s="5" t="s">
        <v>64</v>
      </c>
      <c r="D359" s="3">
        <v>15.83</v>
      </c>
      <c r="E359" s="3">
        <v>15.97767</v>
      </c>
      <c r="F359" s="6">
        <f t="shared" si="65"/>
        <v>0.14766999999999975</v>
      </c>
      <c r="G359" s="6">
        <f t="shared" si="66"/>
        <v>9.3284902084649242E-3</v>
      </c>
      <c r="H359" s="6" t="str">
        <f t="shared" si="67"/>
        <v>🟢 Over-injection</v>
      </c>
      <c r="I359" s="6">
        <f t="shared" si="68"/>
        <v>-0.14766999999999975</v>
      </c>
      <c r="J359" s="3">
        <v>1.0922000000000001</v>
      </c>
      <c r="K359" s="6">
        <f t="shared" si="69"/>
        <v>2.3744999999999998</v>
      </c>
      <c r="L359" s="6">
        <f t="shared" si="70"/>
        <v>3.1660000000000004</v>
      </c>
      <c r="M359" s="6">
        <f t="shared" si="71"/>
        <v>0.14766999999999975</v>
      </c>
      <c r="N359" s="6">
        <f t="shared" si="72"/>
        <v>0</v>
      </c>
      <c r="O359" s="6">
        <f t="shared" si="73"/>
        <v>0</v>
      </c>
      <c r="P359" s="6">
        <f t="shared" si="74"/>
        <v>-32.257034799999943</v>
      </c>
      <c r="Q359" s="3">
        <v>-32.2570348</v>
      </c>
      <c r="R359" s="6">
        <f t="shared" si="75"/>
        <v>5.6843418860808015E-14</v>
      </c>
      <c r="S359" s="6" t="str">
        <f t="shared" si="76"/>
        <v>OK</v>
      </c>
    </row>
    <row r="360" spans="1:19" x14ac:dyDescent="0.25">
      <c r="A360" s="3" t="str">
        <f t="shared" si="77"/>
        <v>02.07.2026</v>
      </c>
      <c r="B360" s="5">
        <v>55</v>
      </c>
      <c r="C360" s="5" t="s">
        <v>63</v>
      </c>
      <c r="D360" s="3">
        <v>15.83</v>
      </c>
      <c r="E360" s="3">
        <v>15.97767</v>
      </c>
      <c r="F360" s="6">
        <f t="shared" si="65"/>
        <v>0.14766999999999975</v>
      </c>
      <c r="G360" s="6">
        <f t="shared" si="66"/>
        <v>9.3284902084649242E-3</v>
      </c>
      <c r="H360" s="6" t="str">
        <f t="shared" si="67"/>
        <v>🟢 Over-injection</v>
      </c>
      <c r="I360" s="6">
        <f t="shared" si="68"/>
        <v>-0.14766999999999975</v>
      </c>
      <c r="J360" s="3">
        <v>1.0965</v>
      </c>
      <c r="K360" s="6">
        <f t="shared" si="69"/>
        <v>2.3744999999999998</v>
      </c>
      <c r="L360" s="6">
        <f t="shared" si="70"/>
        <v>3.1660000000000004</v>
      </c>
      <c r="M360" s="6">
        <f t="shared" si="71"/>
        <v>0.14766999999999975</v>
      </c>
      <c r="N360" s="6">
        <f t="shared" si="72"/>
        <v>0</v>
      </c>
      <c r="O360" s="6">
        <f t="shared" si="73"/>
        <v>0</v>
      </c>
      <c r="P360" s="6">
        <f t="shared" si="74"/>
        <v>-32.384030999999943</v>
      </c>
      <c r="Q360" s="3">
        <v>-32.384031</v>
      </c>
      <c r="R360" s="6">
        <f t="shared" si="75"/>
        <v>5.6843418860808015E-14</v>
      </c>
      <c r="S360" s="6" t="str">
        <f t="shared" si="76"/>
        <v>OK</v>
      </c>
    </row>
    <row r="361" spans="1:19" x14ac:dyDescent="0.25">
      <c r="A361" s="3" t="str">
        <f t="shared" si="77"/>
        <v>02.07.2026</v>
      </c>
      <c r="B361" s="5">
        <v>56</v>
      </c>
      <c r="C361" s="5" t="s">
        <v>62</v>
      </c>
      <c r="D361" s="3">
        <v>15.83</v>
      </c>
      <c r="E361" s="3">
        <v>15.98901</v>
      </c>
      <c r="F361" s="6">
        <f t="shared" si="65"/>
        <v>0.15901000000000032</v>
      </c>
      <c r="G361" s="6">
        <f t="shared" si="66"/>
        <v>1.0044851547694271E-2</v>
      </c>
      <c r="H361" s="6" t="str">
        <f t="shared" si="67"/>
        <v>🟢 Over-injection</v>
      </c>
      <c r="I361" s="6">
        <f t="shared" si="68"/>
        <v>-0.15901000000000032</v>
      </c>
      <c r="J361" s="3">
        <v>1.1020000000000001</v>
      </c>
      <c r="K361" s="6">
        <f t="shared" si="69"/>
        <v>2.3744999999999998</v>
      </c>
      <c r="L361" s="6">
        <f t="shared" si="70"/>
        <v>3.1660000000000004</v>
      </c>
      <c r="M361" s="6">
        <f t="shared" si="71"/>
        <v>0.15901000000000032</v>
      </c>
      <c r="N361" s="6">
        <f t="shared" si="72"/>
        <v>0</v>
      </c>
      <c r="O361" s="6">
        <f t="shared" si="73"/>
        <v>0</v>
      </c>
      <c r="P361" s="6">
        <f t="shared" si="74"/>
        <v>-35.045804000000075</v>
      </c>
      <c r="Q361" s="3">
        <v>-35.045804000000004</v>
      </c>
      <c r="R361" s="6">
        <f t="shared" si="75"/>
        <v>-7.1054273576010019E-14</v>
      </c>
      <c r="S361" s="6" t="str">
        <f t="shared" si="76"/>
        <v>OK</v>
      </c>
    </row>
    <row r="362" spans="1:19" x14ac:dyDescent="0.25">
      <c r="A362" s="3" t="str">
        <f t="shared" si="77"/>
        <v>02.07.2026</v>
      </c>
      <c r="B362" s="5">
        <v>57</v>
      </c>
      <c r="C362" s="5" t="s">
        <v>61</v>
      </c>
      <c r="D362" s="3">
        <v>15.83</v>
      </c>
      <c r="E362" s="3">
        <v>15.98901</v>
      </c>
      <c r="F362" s="6">
        <f t="shared" si="65"/>
        <v>0.15901000000000032</v>
      </c>
      <c r="G362" s="6">
        <f t="shared" si="66"/>
        <v>1.0044851547694271E-2</v>
      </c>
      <c r="H362" s="6" t="str">
        <f t="shared" si="67"/>
        <v>🟢 Over-injection</v>
      </c>
      <c r="I362" s="6">
        <f t="shared" si="68"/>
        <v>-0.15901000000000032</v>
      </c>
      <c r="J362" s="3">
        <v>1.3500999999999999</v>
      </c>
      <c r="K362" s="6">
        <f t="shared" si="69"/>
        <v>2.3744999999999998</v>
      </c>
      <c r="L362" s="6">
        <f t="shared" si="70"/>
        <v>3.1660000000000004</v>
      </c>
      <c r="M362" s="6">
        <f t="shared" si="71"/>
        <v>0.15901000000000032</v>
      </c>
      <c r="N362" s="6">
        <f t="shared" si="72"/>
        <v>0</v>
      </c>
      <c r="O362" s="6">
        <f t="shared" si="73"/>
        <v>0</v>
      </c>
      <c r="P362" s="6">
        <f t="shared" si="74"/>
        <v>-42.935880200000085</v>
      </c>
      <c r="Q362" s="3">
        <v>-42.9358802</v>
      </c>
      <c r="R362" s="6">
        <f t="shared" si="75"/>
        <v>-8.5265128291212022E-14</v>
      </c>
      <c r="S362" s="6" t="str">
        <f t="shared" si="76"/>
        <v>OK</v>
      </c>
    </row>
    <row r="363" spans="1:19" x14ac:dyDescent="0.25">
      <c r="A363" s="3" t="str">
        <f t="shared" si="77"/>
        <v>02.07.2026</v>
      </c>
      <c r="B363" s="5">
        <v>58</v>
      </c>
      <c r="C363" s="5" t="s">
        <v>60</v>
      </c>
      <c r="D363" s="3">
        <v>15.83</v>
      </c>
      <c r="E363" s="3">
        <v>15.98901</v>
      </c>
      <c r="F363" s="6">
        <f t="shared" si="65"/>
        <v>0.15901000000000032</v>
      </c>
      <c r="G363" s="6">
        <f t="shared" si="66"/>
        <v>1.0044851547694271E-2</v>
      </c>
      <c r="H363" s="6" t="str">
        <f t="shared" si="67"/>
        <v>🟢 Over-injection</v>
      </c>
      <c r="I363" s="6">
        <f t="shared" si="68"/>
        <v>-0.15901000000000032</v>
      </c>
      <c r="J363" s="3">
        <v>1.5393000000000001</v>
      </c>
      <c r="K363" s="6">
        <f t="shared" si="69"/>
        <v>2.3744999999999998</v>
      </c>
      <c r="L363" s="6">
        <f t="shared" si="70"/>
        <v>3.1660000000000004</v>
      </c>
      <c r="M363" s="6">
        <f t="shared" si="71"/>
        <v>0.15901000000000032</v>
      </c>
      <c r="N363" s="6">
        <f t="shared" si="72"/>
        <v>0</v>
      </c>
      <c r="O363" s="6">
        <f t="shared" si="73"/>
        <v>0</v>
      </c>
      <c r="P363" s="6">
        <f t="shared" si="74"/>
        <v>-48.952818600000107</v>
      </c>
      <c r="Q363" s="3">
        <v>-48.952818600000008</v>
      </c>
      <c r="R363" s="6">
        <f t="shared" si="75"/>
        <v>-9.9475983006414026E-14</v>
      </c>
      <c r="S363" s="6" t="str">
        <f t="shared" si="76"/>
        <v>OK</v>
      </c>
    </row>
    <row r="364" spans="1:19" x14ac:dyDescent="0.25">
      <c r="A364" s="3" t="str">
        <f t="shared" si="77"/>
        <v>02.07.2026</v>
      </c>
      <c r="B364" s="5">
        <v>59</v>
      </c>
      <c r="C364" s="5" t="s">
        <v>59</v>
      </c>
      <c r="D364" s="3">
        <v>15.83</v>
      </c>
      <c r="E364" s="3">
        <v>15.98901</v>
      </c>
      <c r="F364" s="6">
        <f t="shared" si="65"/>
        <v>0.15901000000000032</v>
      </c>
      <c r="G364" s="6">
        <f t="shared" si="66"/>
        <v>1.0044851547694271E-2</v>
      </c>
      <c r="H364" s="6" t="str">
        <f t="shared" si="67"/>
        <v>🟢 Over-injection</v>
      </c>
      <c r="I364" s="6">
        <f t="shared" si="68"/>
        <v>-0.15901000000000032</v>
      </c>
      <c r="J364" s="3">
        <v>1.5985</v>
      </c>
      <c r="K364" s="6">
        <f t="shared" si="69"/>
        <v>2.3744999999999998</v>
      </c>
      <c r="L364" s="6">
        <f t="shared" si="70"/>
        <v>3.1660000000000004</v>
      </c>
      <c r="M364" s="6">
        <f t="shared" si="71"/>
        <v>0.15901000000000032</v>
      </c>
      <c r="N364" s="6">
        <f t="shared" si="72"/>
        <v>0</v>
      </c>
      <c r="O364" s="6">
        <f t="shared" si="73"/>
        <v>0</v>
      </c>
      <c r="P364" s="6">
        <f t="shared" si="74"/>
        <v>-50.835497000000103</v>
      </c>
      <c r="Q364" s="3">
        <v>-50.835497000000004</v>
      </c>
      <c r="R364" s="6">
        <f t="shared" si="75"/>
        <v>-9.9475983006414026E-14</v>
      </c>
      <c r="S364" s="6" t="str">
        <f t="shared" si="76"/>
        <v>OK</v>
      </c>
    </row>
    <row r="365" spans="1:19" x14ac:dyDescent="0.25">
      <c r="A365" s="3" t="str">
        <f t="shared" si="77"/>
        <v>02.07.2026</v>
      </c>
      <c r="B365" s="5">
        <v>60</v>
      </c>
      <c r="C365" s="5" t="s">
        <v>58</v>
      </c>
      <c r="D365" s="3">
        <v>15.83</v>
      </c>
      <c r="E365" s="3">
        <v>15.98901</v>
      </c>
      <c r="F365" s="6">
        <f t="shared" si="65"/>
        <v>0.15901000000000032</v>
      </c>
      <c r="G365" s="6">
        <f t="shared" si="66"/>
        <v>1.0044851547694271E-2</v>
      </c>
      <c r="H365" s="6" t="str">
        <f t="shared" si="67"/>
        <v>🟢 Over-injection</v>
      </c>
      <c r="I365" s="6">
        <f t="shared" si="68"/>
        <v>-0.15901000000000032</v>
      </c>
      <c r="J365" s="3">
        <v>1.7250999999999999</v>
      </c>
      <c r="K365" s="6">
        <f t="shared" si="69"/>
        <v>2.3744999999999998</v>
      </c>
      <c r="L365" s="6">
        <f t="shared" si="70"/>
        <v>3.1660000000000004</v>
      </c>
      <c r="M365" s="6">
        <f t="shared" si="71"/>
        <v>0.15901000000000032</v>
      </c>
      <c r="N365" s="6">
        <f t="shared" si="72"/>
        <v>0</v>
      </c>
      <c r="O365" s="6">
        <f t="shared" si="73"/>
        <v>0</v>
      </c>
      <c r="P365" s="6">
        <f t="shared" si="74"/>
        <v>-54.861630200000107</v>
      </c>
      <c r="Q365" s="3">
        <v>-54.861630200000008</v>
      </c>
      <c r="R365" s="6">
        <f t="shared" si="75"/>
        <v>-9.9475983006414026E-14</v>
      </c>
      <c r="S365" s="6" t="str">
        <f t="shared" si="76"/>
        <v>OK</v>
      </c>
    </row>
    <row r="366" spans="1:19" x14ac:dyDescent="0.25">
      <c r="A366" s="3" t="str">
        <f t="shared" si="77"/>
        <v>02.07.2026</v>
      </c>
      <c r="B366" s="5">
        <v>61</v>
      </c>
      <c r="C366" s="5" t="s">
        <v>57</v>
      </c>
      <c r="D366" s="3">
        <v>15.83</v>
      </c>
      <c r="E366" s="3">
        <v>15.98901</v>
      </c>
      <c r="F366" s="6">
        <f t="shared" si="65"/>
        <v>0.15901000000000032</v>
      </c>
      <c r="G366" s="6">
        <f t="shared" si="66"/>
        <v>1.0044851547694271E-2</v>
      </c>
      <c r="H366" s="6" t="str">
        <f t="shared" si="67"/>
        <v>🟢 Over-injection</v>
      </c>
      <c r="I366" s="6">
        <f t="shared" si="68"/>
        <v>-0.15901000000000032</v>
      </c>
      <c r="J366" s="3">
        <v>1.9534</v>
      </c>
      <c r="K366" s="6">
        <f t="shared" si="69"/>
        <v>2.3744999999999998</v>
      </c>
      <c r="L366" s="6">
        <f t="shared" si="70"/>
        <v>3.1660000000000004</v>
      </c>
      <c r="M366" s="6">
        <f t="shared" si="71"/>
        <v>0.15901000000000032</v>
      </c>
      <c r="N366" s="6">
        <f t="shared" si="72"/>
        <v>0</v>
      </c>
      <c r="O366" s="6">
        <f t="shared" si="73"/>
        <v>0</v>
      </c>
      <c r="P366" s="6">
        <f t="shared" si="74"/>
        <v>-62.122026800000135</v>
      </c>
      <c r="Q366" s="3">
        <v>-62.122026800000008</v>
      </c>
      <c r="R366" s="6">
        <f t="shared" si="75"/>
        <v>-1.2789769243681803E-13</v>
      </c>
      <c r="S366" s="6" t="str">
        <f t="shared" si="76"/>
        <v>OK</v>
      </c>
    </row>
    <row r="367" spans="1:19" x14ac:dyDescent="0.25">
      <c r="A367" s="3" t="str">
        <f t="shared" si="77"/>
        <v>02.07.2026</v>
      </c>
      <c r="B367" s="5">
        <v>62</v>
      </c>
      <c r="C367" s="5" t="s">
        <v>56</v>
      </c>
      <c r="D367" s="3">
        <v>15.83</v>
      </c>
      <c r="E367" s="3">
        <v>16.00037</v>
      </c>
      <c r="F367" s="6">
        <f t="shared" si="65"/>
        <v>0.17037000000000013</v>
      </c>
      <c r="G367" s="6">
        <f t="shared" si="66"/>
        <v>1.0762476310802283E-2</v>
      </c>
      <c r="H367" s="6" t="str">
        <f t="shared" si="67"/>
        <v>🟢 Over-injection</v>
      </c>
      <c r="I367" s="6">
        <f t="shared" si="68"/>
        <v>-0.17037000000000013</v>
      </c>
      <c r="J367" s="3">
        <v>2.1938999999999997</v>
      </c>
      <c r="K367" s="6">
        <f t="shared" si="69"/>
        <v>2.3744999999999998</v>
      </c>
      <c r="L367" s="6">
        <f t="shared" si="70"/>
        <v>3.1660000000000004</v>
      </c>
      <c r="M367" s="6">
        <f t="shared" si="71"/>
        <v>0.17037000000000013</v>
      </c>
      <c r="N367" s="6">
        <f t="shared" si="72"/>
        <v>0</v>
      </c>
      <c r="O367" s="6">
        <f t="shared" si="73"/>
        <v>0</v>
      </c>
      <c r="P367" s="6">
        <f t="shared" si="74"/>
        <v>-74.754948600000048</v>
      </c>
      <c r="Q367" s="3">
        <v>-74.754948599999977</v>
      </c>
      <c r="R367" s="6">
        <f t="shared" si="75"/>
        <v>0</v>
      </c>
      <c r="S367" s="6" t="str">
        <f t="shared" si="76"/>
        <v>OK</v>
      </c>
    </row>
    <row r="368" spans="1:19" x14ac:dyDescent="0.25">
      <c r="A368" s="3" t="str">
        <f t="shared" si="77"/>
        <v>02.07.2026</v>
      </c>
      <c r="B368" s="5">
        <v>63</v>
      </c>
      <c r="C368" s="5" t="s">
        <v>55</v>
      </c>
      <c r="D368" s="3">
        <v>15.83</v>
      </c>
      <c r="E368" s="3">
        <v>16.00037</v>
      </c>
      <c r="F368" s="6">
        <f t="shared" si="65"/>
        <v>0.17037000000000013</v>
      </c>
      <c r="G368" s="6">
        <f t="shared" si="66"/>
        <v>1.0762476310802283E-2</v>
      </c>
      <c r="H368" s="6" t="str">
        <f t="shared" si="67"/>
        <v>🟢 Over-injection</v>
      </c>
      <c r="I368" s="6">
        <f t="shared" si="68"/>
        <v>-0.17037000000000013</v>
      </c>
      <c r="J368" s="3">
        <v>2.3150999999999997</v>
      </c>
      <c r="K368" s="6">
        <f t="shared" si="69"/>
        <v>2.3744999999999998</v>
      </c>
      <c r="L368" s="6">
        <f t="shared" si="70"/>
        <v>3.1660000000000004</v>
      </c>
      <c r="M368" s="6">
        <f t="shared" si="71"/>
        <v>0.17037000000000013</v>
      </c>
      <c r="N368" s="6">
        <f t="shared" si="72"/>
        <v>0</v>
      </c>
      <c r="O368" s="6">
        <f t="shared" si="73"/>
        <v>0</v>
      </c>
      <c r="P368" s="6">
        <f t="shared" si="74"/>
        <v>-78.884717400000056</v>
      </c>
      <c r="Q368" s="3">
        <v>-78.8847174</v>
      </c>
      <c r="R368" s="6">
        <f t="shared" si="75"/>
        <v>0</v>
      </c>
      <c r="S368" s="6" t="str">
        <f t="shared" si="76"/>
        <v>OK</v>
      </c>
    </row>
    <row r="369" spans="1:19" x14ac:dyDescent="0.25">
      <c r="A369" s="3" t="str">
        <f t="shared" si="77"/>
        <v>02.07.2026</v>
      </c>
      <c r="B369" s="5">
        <v>64</v>
      </c>
      <c r="C369" s="5" t="s">
        <v>54</v>
      </c>
      <c r="D369" s="3">
        <v>15.83</v>
      </c>
      <c r="E369" s="3">
        <v>16.00037</v>
      </c>
      <c r="F369" s="6">
        <f t="shared" si="65"/>
        <v>0.17037000000000013</v>
      </c>
      <c r="G369" s="6">
        <f t="shared" si="66"/>
        <v>1.0762476310802283E-2</v>
      </c>
      <c r="H369" s="6" t="str">
        <f t="shared" si="67"/>
        <v>🟢 Over-injection</v>
      </c>
      <c r="I369" s="6">
        <f t="shared" si="68"/>
        <v>-0.17037000000000013</v>
      </c>
      <c r="J369" s="3">
        <v>2.3815</v>
      </c>
      <c r="K369" s="6">
        <f t="shared" si="69"/>
        <v>2.3744999999999998</v>
      </c>
      <c r="L369" s="6">
        <f t="shared" si="70"/>
        <v>3.1660000000000004</v>
      </c>
      <c r="M369" s="6">
        <f t="shared" si="71"/>
        <v>0.17037000000000013</v>
      </c>
      <c r="N369" s="6">
        <f t="shared" si="72"/>
        <v>0</v>
      </c>
      <c r="O369" s="6">
        <f t="shared" si="73"/>
        <v>0</v>
      </c>
      <c r="P369" s="6">
        <f t="shared" si="74"/>
        <v>-81.147231000000076</v>
      </c>
      <c r="Q369" s="3">
        <v>-81.147231000000005</v>
      </c>
      <c r="R369" s="6">
        <f t="shared" si="75"/>
        <v>0</v>
      </c>
      <c r="S369" s="6" t="str">
        <f t="shared" si="76"/>
        <v>OK</v>
      </c>
    </row>
    <row r="370" spans="1:19" x14ac:dyDescent="0.25">
      <c r="A370" s="3" t="str">
        <f t="shared" si="77"/>
        <v>02.07.2026</v>
      </c>
      <c r="B370" s="5">
        <v>65</v>
      </c>
      <c r="C370" s="5" t="s">
        <v>53</v>
      </c>
      <c r="D370" s="3">
        <v>14.33</v>
      </c>
      <c r="E370" s="3">
        <v>16.27271</v>
      </c>
      <c r="F370" s="6">
        <f t="shared" si="65"/>
        <v>1.9427099999999999</v>
      </c>
      <c r="G370" s="6">
        <f t="shared" si="66"/>
        <v>0.13556943475226796</v>
      </c>
      <c r="H370" s="6" t="str">
        <f t="shared" si="67"/>
        <v>🟢 Over-injection</v>
      </c>
      <c r="I370" s="6">
        <f t="shared" si="68"/>
        <v>-1.9427099999999999</v>
      </c>
      <c r="J370" s="3">
        <v>2.5272999999999999</v>
      </c>
      <c r="K370" s="6">
        <f t="shared" si="69"/>
        <v>2.1494999999999997</v>
      </c>
      <c r="L370" s="6">
        <f t="shared" si="70"/>
        <v>2.8660000000000001</v>
      </c>
      <c r="M370" s="6">
        <f t="shared" si="71"/>
        <v>1.9427099999999999</v>
      </c>
      <c r="N370" s="6">
        <f t="shared" si="72"/>
        <v>0</v>
      </c>
      <c r="O370" s="6">
        <f t="shared" si="73"/>
        <v>0</v>
      </c>
      <c r="P370" s="6">
        <f t="shared" si="74"/>
        <v>-981.96219659999997</v>
      </c>
      <c r="Q370" s="3">
        <v>-981.96219660000008</v>
      </c>
      <c r="R370" s="6">
        <f t="shared" si="75"/>
        <v>0</v>
      </c>
      <c r="S370" s="6" t="str">
        <f t="shared" si="76"/>
        <v>OK</v>
      </c>
    </row>
    <row r="371" spans="1:19" x14ac:dyDescent="0.25">
      <c r="A371" s="3" t="str">
        <f t="shared" si="77"/>
        <v>02.07.2026</v>
      </c>
      <c r="B371" s="5">
        <v>66</v>
      </c>
      <c r="C371" s="5" t="s">
        <v>52</v>
      </c>
      <c r="D371" s="3">
        <v>16.13</v>
      </c>
      <c r="E371" s="3">
        <v>16.44293</v>
      </c>
      <c r="F371" s="6">
        <f t="shared" si="65"/>
        <v>0.31293000000000148</v>
      </c>
      <c r="G371" s="6">
        <f t="shared" si="66"/>
        <v>1.940049597024188E-2</v>
      </c>
      <c r="H371" s="6" t="str">
        <f t="shared" si="67"/>
        <v>🟢 Over-injection</v>
      </c>
      <c r="I371" s="6">
        <f t="shared" si="68"/>
        <v>-0.31293000000000148</v>
      </c>
      <c r="J371" s="3">
        <v>2.5125000000000002</v>
      </c>
      <c r="K371" s="6">
        <f t="shared" si="69"/>
        <v>2.4194999999999998</v>
      </c>
      <c r="L371" s="6">
        <f t="shared" si="70"/>
        <v>3.226</v>
      </c>
      <c r="M371" s="6">
        <f t="shared" si="71"/>
        <v>0.31293000000000148</v>
      </c>
      <c r="N371" s="6">
        <f t="shared" si="72"/>
        <v>0</v>
      </c>
      <c r="O371" s="6">
        <f t="shared" si="73"/>
        <v>0</v>
      </c>
      <c r="P371" s="6">
        <f t="shared" si="74"/>
        <v>-157.24732500000076</v>
      </c>
      <c r="Q371" s="3">
        <v>-157.24732500000002</v>
      </c>
      <c r="R371" s="6">
        <f t="shared" si="75"/>
        <v>-7.3896444519050419E-13</v>
      </c>
      <c r="S371" s="6" t="str">
        <f t="shared" si="76"/>
        <v>OK</v>
      </c>
    </row>
    <row r="372" spans="1:19" x14ac:dyDescent="0.25">
      <c r="A372" s="3" t="str">
        <f t="shared" si="77"/>
        <v>02.07.2026</v>
      </c>
      <c r="B372" s="5">
        <v>67</v>
      </c>
      <c r="C372" s="5" t="s">
        <v>51</v>
      </c>
      <c r="D372" s="3">
        <v>16.13</v>
      </c>
      <c r="E372" s="3">
        <v>16.454280000000001</v>
      </c>
      <c r="F372" s="6">
        <f t="shared" si="65"/>
        <v>0.32428000000000168</v>
      </c>
      <c r="G372" s="6">
        <f t="shared" si="66"/>
        <v>2.010415375077506E-2</v>
      </c>
      <c r="H372" s="6" t="str">
        <f t="shared" si="67"/>
        <v>🟢 Over-injection</v>
      </c>
      <c r="I372" s="6">
        <f t="shared" si="68"/>
        <v>-0.32428000000000168</v>
      </c>
      <c r="J372" s="3">
        <v>2.5377999999999998</v>
      </c>
      <c r="K372" s="6">
        <f t="shared" si="69"/>
        <v>2.4194999999999998</v>
      </c>
      <c r="L372" s="6">
        <f t="shared" si="70"/>
        <v>3.226</v>
      </c>
      <c r="M372" s="6">
        <f t="shared" si="71"/>
        <v>0.32428000000000168</v>
      </c>
      <c r="N372" s="6">
        <f t="shared" si="72"/>
        <v>0</v>
      </c>
      <c r="O372" s="6">
        <f t="shared" si="73"/>
        <v>0</v>
      </c>
      <c r="P372" s="6">
        <f t="shared" si="74"/>
        <v>-164.59155680000086</v>
      </c>
      <c r="Q372" s="3">
        <v>-164.59155680000001</v>
      </c>
      <c r="R372" s="6">
        <f t="shared" si="75"/>
        <v>-8.5265128291212022E-13</v>
      </c>
      <c r="S372" s="6" t="str">
        <f t="shared" si="76"/>
        <v>OK</v>
      </c>
    </row>
    <row r="373" spans="1:19" x14ac:dyDescent="0.25">
      <c r="A373" s="3" t="str">
        <f t="shared" si="77"/>
        <v>02.07.2026</v>
      </c>
      <c r="B373" s="5">
        <v>68</v>
      </c>
      <c r="C373" s="5" t="s">
        <v>50</v>
      </c>
      <c r="D373" s="3">
        <v>16.13</v>
      </c>
      <c r="E373" s="3">
        <v>16.454280000000001</v>
      </c>
      <c r="F373" s="6">
        <f t="shared" si="65"/>
        <v>0.32428000000000168</v>
      </c>
      <c r="G373" s="6">
        <f t="shared" si="66"/>
        <v>2.010415375077506E-2</v>
      </c>
      <c r="H373" s="6" t="str">
        <f t="shared" si="67"/>
        <v>🟢 Over-injection</v>
      </c>
      <c r="I373" s="6">
        <f t="shared" si="68"/>
        <v>-0.32428000000000168</v>
      </c>
      <c r="J373" s="3">
        <v>2.5773000000000001</v>
      </c>
      <c r="K373" s="6">
        <f t="shared" si="69"/>
        <v>2.4194999999999998</v>
      </c>
      <c r="L373" s="6">
        <f t="shared" si="70"/>
        <v>3.226</v>
      </c>
      <c r="M373" s="6">
        <f t="shared" si="71"/>
        <v>0.32428000000000168</v>
      </c>
      <c r="N373" s="6">
        <f t="shared" si="72"/>
        <v>0</v>
      </c>
      <c r="O373" s="6">
        <f t="shared" si="73"/>
        <v>0</v>
      </c>
      <c r="P373" s="6">
        <f t="shared" si="74"/>
        <v>-167.15336880000089</v>
      </c>
      <c r="Q373" s="3">
        <v>-167.15336880000001</v>
      </c>
      <c r="R373" s="6">
        <f t="shared" si="75"/>
        <v>-8.8107299234252423E-13</v>
      </c>
      <c r="S373" s="6" t="str">
        <f t="shared" si="76"/>
        <v>OK</v>
      </c>
    </row>
    <row r="374" spans="1:19" x14ac:dyDescent="0.25">
      <c r="A374" s="3" t="str">
        <f t="shared" si="77"/>
        <v>02.07.2026</v>
      </c>
      <c r="B374" s="5">
        <v>69</v>
      </c>
      <c r="C374" s="5" t="s">
        <v>49</v>
      </c>
      <c r="D374" s="3">
        <v>17.13</v>
      </c>
      <c r="E374" s="3">
        <v>17.702529999999999</v>
      </c>
      <c r="F374" s="6">
        <f t="shared" si="65"/>
        <v>0.57253000000000043</v>
      </c>
      <c r="G374" s="6">
        <f t="shared" si="66"/>
        <v>3.3422650321074165E-2</v>
      </c>
      <c r="H374" s="6" t="str">
        <f t="shared" si="67"/>
        <v>🟢 Over-injection</v>
      </c>
      <c r="I374" s="6">
        <f t="shared" si="68"/>
        <v>-0.57253000000000043</v>
      </c>
      <c r="J374" s="3">
        <v>2.7199</v>
      </c>
      <c r="K374" s="6">
        <f t="shared" si="69"/>
        <v>2.5694999999999997</v>
      </c>
      <c r="L374" s="6">
        <f t="shared" si="70"/>
        <v>3.4260000000000002</v>
      </c>
      <c r="M374" s="6">
        <f t="shared" si="71"/>
        <v>0.57253000000000043</v>
      </c>
      <c r="N374" s="6">
        <f t="shared" si="72"/>
        <v>0</v>
      </c>
      <c r="O374" s="6">
        <f t="shared" si="73"/>
        <v>0</v>
      </c>
      <c r="P374" s="6">
        <f t="shared" si="74"/>
        <v>-311.44486940000024</v>
      </c>
      <c r="Q374" s="3">
        <v>-311.44486940000002</v>
      </c>
      <c r="R374" s="6">
        <f t="shared" si="75"/>
        <v>0</v>
      </c>
      <c r="S374" s="6" t="str">
        <f t="shared" si="76"/>
        <v>OK</v>
      </c>
    </row>
    <row r="375" spans="1:19" x14ac:dyDescent="0.25">
      <c r="A375" s="3" t="str">
        <f t="shared" si="77"/>
        <v>02.07.2026</v>
      </c>
      <c r="B375" s="5">
        <v>70</v>
      </c>
      <c r="C375" s="5" t="s">
        <v>48</v>
      </c>
      <c r="D375" s="3">
        <v>17.13</v>
      </c>
      <c r="E375" s="3">
        <v>18.73517</v>
      </c>
      <c r="F375" s="6">
        <f t="shared" si="65"/>
        <v>1.6051700000000011</v>
      </c>
      <c r="G375" s="6">
        <f t="shared" si="66"/>
        <v>9.3705195563339241E-2</v>
      </c>
      <c r="H375" s="6" t="str">
        <f t="shared" si="67"/>
        <v>🟢 Over-injection</v>
      </c>
      <c r="I375" s="6">
        <f t="shared" si="68"/>
        <v>-1.6051700000000011</v>
      </c>
      <c r="J375" s="3">
        <v>2.9731000000000001</v>
      </c>
      <c r="K375" s="6">
        <f t="shared" si="69"/>
        <v>2.5694999999999997</v>
      </c>
      <c r="L375" s="6">
        <f t="shared" si="70"/>
        <v>3.4260000000000002</v>
      </c>
      <c r="M375" s="6">
        <f t="shared" si="71"/>
        <v>1.6051700000000011</v>
      </c>
      <c r="N375" s="6">
        <f t="shared" si="72"/>
        <v>0</v>
      </c>
      <c r="O375" s="6">
        <f t="shared" si="73"/>
        <v>0</v>
      </c>
      <c r="P375" s="6">
        <f t="shared" si="74"/>
        <v>-954.46618540000088</v>
      </c>
      <c r="Q375" s="3">
        <v>-954.46618540000009</v>
      </c>
      <c r="R375" s="6">
        <f t="shared" si="75"/>
        <v>0</v>
      </c>
      <c r="S375" s="6" t="str">
        <f t="shared" si="76"/>
        <v>OK</v>
      </c>
    </row>
    <row r="376" spans="1:19" x14ac:dyDescent="0.25">
      <c r="A376" s="3" t="str">
        <f t="shared" si="77"/>
        <v>02.07.2026</v>
      </c>
      <c r="B376" s="5">
        <v>71</v>
      </c>
      <c r="C376" s="5" t="s">
        <v>47</v>
      </c>
      <c r="D376" s="3">
        <v>17.13</v>
      </c>
      <c r="E376" s="3">
        <v>18.73517</v>
      </c>
      <c r="F376" s="6">
        <f t="shared" si="65"/>
        <v>1.6051700000000011</v>
      </c>
      <c r="G376" s="6">
        <f t="shared" si="66"/>
        <v>9.3705195563339241E-2</v>
      </c>
      <c r="H376" s="6" t="str">
        <f t="shared" si="67"/>
        <v>🟢 Over-injection</v>
      </c>
      <c r="I376" s="6">
        <f t="shared" si="68"/>
        <v>-1.6051700000000011</v>
      </c>
      <c r="J376" s="3">
        <v>2.8026</v>
      </c>
      <c r="K376" s="6">
        <f t="shared" si="69"/>
        <v>2.5694999999999997</v>
      </c>
      <c r="L376" s="6">
        <f t="shared" si="70"/>
        <v>3.4260000000000002</v>
      </c>
      <c r="M376" s="6">
        <f t="shared" si="71"/>
        <v>1.6051700000000011</v>
      </c>
      <c r="N376" s="6">
        <f t="shared" si="72"/>
        <v>0</v>
      </c>
      <c r="O376" s="6">
        <f t="shared" si="73"/>
        <v>0</v>
      </c>
      <c r="P376" s="6">
        <f t="shared" si="74"/>
        <v>-899.72988840000073</v>
      </c>
      <c r="Q376" s="3">
        <v>-899.72988840000005</v>
      </c>
      <c r="R376" s="6">
        <f t="shared" si="75"/>
        <v>0</v>
      </c>
      <c r="S376" s="6" t="str">
        <f t="shared" si="76"/>
        <v>OK</v>
      </c>
    </row>
    <row r="377" spans="1:19" x14ac:dyDescent="0.25">
      <c r="A377" s="3" t="str">
        <f t="shared" si="77"/>
        <v>02.07.2026</v>
      </c>
      <c r="B377" s="5">
        <v>72</v>
      </c>
      <c r="C377" s="5" t="s">
        <v>46</v>
      </c>
      <c r="D377" s="3">
        <v>17.13</v>
      </c>
      <c r="E377" s="3">
        <v>18.73517</v>
      </c>
      <c r="F377" s="6">
        <f t="shared" si="65"/>
        <v>1.6051700000000011</v>
      </c>
      <c r="G377" s="6">
        <f t="shared" si="66"/>
        <v>9.3705195563339241E-2</v>
      </c>
      <c r="H377" s="6" t="str">
        <f t="shared" si="67"/>
        <v>🟢 Over-injection</v>
      </c>
      <c r="I377" s="6">
        <f t="shared" si="68"/>
        <v>-1.6051700000000011</v>
      </c>
      <c r="J377" s="3">
        <v>3.2004000000000001</v>
      </c>
      <c r="K377" s="6">
        <f t="shared" si="69"/>
        <v>2.5694999999999997</v>
      </c>
      <c r="L377" s="6">
        <f t="shared" si="70"/>
        <v>3.4260000000000002</v>
      </c>
      <c r="M377" s="6">
        <f t="shared" si="71"/>
        <v>1.6051700000000011</v>
      </c>
      <c r="N377" s="6">
        <f t="shared" si="72"/>
        <v>0</v>
      </c>
      <c r="O377" s="6">
        <f t="shared" si="73"/>
        <v>0</v>
      </c>
      <c r="P377" s="6">
        <f t="shared" si="74"/>
        <v>-1027.4372136000009</v>
      </c>
      <c r="Q377" s="3">
        <v>-1027.4372136000002</v>
      </c>
      <c r="R377" s="6">
        <f t="shared" si="75"/>
        <v>0</v>
      </c>
      <c r="S377" s="6" t="str">
        <f t="shared" si="76"/>
        <v>OK</v>
      </c>
    </row>
    <row r="378" spans="1:19" x14ac:dyDescent="0.25">
      <c r="A378" s="3" t="str">
        <f t="shared" si="77"/>
        <v>02.07.2026</v>
      </c>
      <c r="B378" s="5">
        <v>73</v>
      </c>
      <c r="C378" s="5" t="s">
        <v>45</v>
      </c>
      <c r="D378" s="3">
        <v>18.63</v>
      </c>
      <c r="E378" s="3">
        <v>18.74653</v>
      </c>
      <c r="F378" s="6">
        <f t="shared" si="65"/>
        <v>0.11653000000000091</v>
      </c>
      <c r="G378" s="6">
        <f t="shared" si="66"/>
        <v>6.2549651100376226E-3</v>
      </c>
      <c r="H378" s="6" t="str">
        <f t="shared" si="67"/>
        <v>🟢 Over-injection</v>
      </c>
      <c r="I378" s="6">
        <f t="shared" si="68"/>
        <v>-0.11653000000000091</v>
      </c>
      <c r="J378" s="3">
        <v>3.5825</v>
      </c>
      <c r="K378" s="6">
        <f t="shared" si="69"/>
        <v>2.7944999999999998</v>
      </c>
      <c r="L378" s="6">
        <f t="shared" si="70"/>
        <v>3.726</v>
      </c>
      <c r="M378" s="6">
        <f t="shared" si="71"/>
        <v>0.11653000000000091</v>
      </c>
      <c r="N378" s="6">
        <f t="shared" si="72"/>
        <v>0</v>
      </c>
      <c r="O378" s="6">
        <f t="shared" si="73"/>
        <v>0</v>
      </c>
      <c r="P378" s="6">
        <f t="shared" si="74"/>
        <v>-83.493745000000658</v>
      </c>
      <c r="Q378" s="3">
        <v>-83.49374499999999</v>
      </c>
      <c r="R378" s="6">
        <f t="shared" si="75"/>
        <v>-6.6791017161449417E-13</v>
      </c>
      <c r="S378" s="6" t="str">
        <f t="shared" si="76"/>
        <v>OK</v>
      </c>
    </row>
    <row r="379" spans="1:19" x14ac:dyDescent="0.25">
      <c r="A379" s="3" t="str">
        <f t="shared" si="77"/>
        <v>02.07.2026</v>
      </c>
      <c r="B379" s="5">
        <v>74</v>
      </c>
      <c r="C379" s="5" t="s">
        <v>44</v>
      </c>
      <c r="D379" s="3">
        <v>18.63</v>
      </c>
      <c r="E379" s="3">
        <v>18.74653</v>
      </c>
      <c r="F379" s="6">
        <f t="shared" si="65"/>
        <v>0.11653000000000091</v>
      </c>
      <c r="G379" s="6">
        <f t="shared" si="66"/>
        <v>6.2549651100376226E-3</v>
      </c>
      <c r="H379" s="6" t="str">
        <f t="shared" si="67"/>
        <v>🟢 Over-injection</v>
      </c>
      <c r="I379" s="6">
        <f t="shared" si="68"/>
        <v>-0.11653000000000091</v>
      </c>
      <c r="J379" s="3">
        <v>3.8736999999999999</v>
      </c>
      <c r="K379" s="6">
        <f t="shared" si="69"/>
        <v>2.7944999999999998</v>
      </c>
      <c r="L379" s="6">
        <f t="shared" si="70"/>
        <v>3.726</v>
      </c>
      <c r="M379" s="6">
        <f t="shared" si="71"/>
        <v>0.11653000000000091</v>
      </c>
      <c r="N379" s="6">
        <f t="shared" si="72"/>
        <v>0</v>
      </c>
      <c r="O379" s="6">
        <f t="shared" si="73"/>
        <v>0</v>
      </c>
      <c r="P379" s="6">
        <f t="shared" si="74"/>
        <v>-90.28045220000071</v>
      </c>
      <c r="Q379" s="3">
        <v>-90.280452199999999</v>
      </c>
      <c r="R379" s="6">
        <f t="shared" si="75"/>
        <v>-7.1054273576010019E-13</v>
      </c>
      <c r="S379" s="6" t="str">
        <f t="shared" si="76"/>
        <v>OK</v>
      </c>
    </row>
    <row r="380" spans="1:19" x14ac:dyDescent="0.25">
      <c r="A380" s="3" t="str">
        <f t="shared" si="77"/>
        <v>02.07.2026</v>
      </c>
      <c r="B380" s="5">
        <v>75</v>
      </c>
      <c r="C380" s="5" t="s">
        <v>43</v>
      </c>
      <c r="D380" s="3">
        <v>18.63</v>
      </c>
      <c r="E380" s="3">
        <v>18.74653</v>
      </c>
      <c r="F380" s="6">
        <f t="shared" si="65"/>
        <v>0.11653000000000091</v>
      </c>
      <c r="G380" s="6">
        <f t="shared" si="66"/>
        <v>6.2549651100376226E-3</v>
      </c>
      <c r="H380" s="6" t="str">
        <f t="shared" si="67"/>
        <v>🟢 Over-injection</v>
      </c>
      <c r="I380" s="6">
        <f t="shared" si="68"/>
        <v>-0.11653000000000091</v>
      </c>
      <c r="J380" s="3">
        <v>4.3304999999999998</v>
      </c>
      <c r="K380" s="6">
        <f t="shared" si="69"/>
        <v>2.7944999999999998</v>
      </c>
      <c r="L380" s="6">
        <f t="shared" si="70"/>
        <v>3.726</v>
      </c>
      <c r="M380" s="6">
        <f t="shared" si="71"/>
        <v>0.11653000000000091</v>
      </c>
      <c r="N380" s="6">
        <f t="shared" si="72"/>
        <v>0</v>
      </c>
      <c r="O380" s="6">
        <f t="shared" si="73"/>
        <v>0</v>
      </c>
      <c r="P380" s="6">
        <f t="shared" si="74"/>
        <v>-100.92663300000079</v>
      </c>
      <c r="Q380" s="3">
        <v>-100.92663299999998</v>
      </c>
      <c r="R380" s="6">
        <f t="shared" si="75"/>
        <v>-8.1001871876651421E-13</v>
      </c>
      <c r="S380" s="6" t="str">
        <f t="shared" si="76"/>
        <v>OK</v>
      </c>
    </row>
    <row r="381" spans="1:19" x14ac:dyDescent="0.25">
      <c r="A381" s="3" t="str">
        <f t="shared" si="77"/>
        <v>02.07.2026</v>
      </c>
      <c r="B381" s="5">
        <v>76</v>
      </c>
      <c r="C381" s="5" t="s">
        <v>42</v>
      </c>
      <c r="D381" s="3">
        <v>18.63</v>
      </c>
      <c r="E381" s="3">
        <v>18.75787</v>
      </c>
      <c r="F381" s="6">
        <f t="shared" si="65"/>
        <v>0.12787000000000148</v>
      </c>
      <c r="G381" s="6">
        <f t="shared" si="66"/>
        <v>6.863660762211567E-3</v>
      </c>
      <c r="H381" s="6" t="str">
        <f t="shared" si="67"/>
        <v>🟢 Over-injection</v>
      </c>
      <c r="I381" s="6">
        <f t="shared" si="68"/>
        <v>-0.12787000000000148</v>
      </c>
      <c r="J381" s="3">
        <v>5.5821000000000005</v>
      </c>
      <c r="K381" s="6">
        <f t="shared" si="69"/>
        <v>2.7944999999999998</v>
      </c>
      <c r="L381" s="6">
        <f t="shared" si="70"/>
        <v>3.726</v>
      </c>
      <c r="M381" s="6">
        <f t="shared" si="71"/>
        <v>0.12787000000000148</v>
      </c>
      <c r="N381" s="6">
        <f t="shared" si="72"/>
        <v>0</v>
      </c>
      <c r="O381" s="6">
        <f t="shared" si="73"/>
        <v>0</v>
      </c>
      <c r="P381" s="6">
        <f t="shared" si="74"/>
        <v>-142.75662540000167</v>
      </c>
      <c r="Q381" s="3">
        <v>-142.75662540000002</v>
      </c>
      <c r="R381" s="6">
        <f t="shared" si="75"/>
        <v>-1.6484591469634324E-12</v>
      </c>
      <c r="S381" s="6" t="str">
        <f t="shared" si="76"/>
        <v>OK</v>
      </c>
    </row>
    <row r="382" spans="1:19" x14ac:dyDescent="0.25">
      <c r="A382" s="3" t="str">
        <f t="shared" si="77"/>
        <v>02.07.2026</v>
      </c>
      <c r="B382" s="5">
        <v>77</v>
      </c>
      <c r="C382" s="5" t="s">
        <v>41</v>
      </c>
      <c r="D382" s="3">
        <v>16.63</v>
      </c>
      <c r="E382" s="3">
        <v>17.73657</v>
      </c>
      <c r="F382" s="6">
        <f t="shared" si="65"/>
        <v>1.1065700000000014</v>
      </c>
      <c r="G382" s="6">
        <f t="shared" si="66"/>
        <v>6.6540589296452277E-2</v>
      </c>
      <c r="H382" s="6" t="str">
        <f t="shared" si="67"/>
        <v>🟢 Over-injection</v>
      </c>
      <c r="I382" s="6">
        <f t="shared" si="68"/>
        <v>-1.1065700000000014</v>
      </c>
      <c r="J382" s="3">
        <v>7.5447000000000006</v>
      </c>
      <c r="K382" s="6">
        <f t="shared" si="69"/>
        <v>2.4944999999999999</v>
      </c>
      <c r="L382" s="6">
        <f t="shared" si="70"/>
        <v>3.3260000000000001</v>
      </c>
      <c r="M382" s="6">
        <f t="shared" si="71"/>
        <v>1.1065700000000014</v>
      </c>
      <c r="N382" s="6">
        <f t="shared" si="72"/>
        <v>0</v>
      </c>
      <c r="O382" s="6">
        <f t="shared" si="73"/>
        <v>0</v>
      </c>
      <c r="P382" s="6">
        <f t="shared" si="74"/>
        <v>-1669.7477358000024</v>
      </c>
      <c r="Q382" s="3">
        <v>-1669.7477358000003</v>
      </c>
      <c r="R382" s="6">
        <f t="shared" si="75"/>
        <v>-2.0463630789890885E-12</v>
      </c>
      <c r="S382" s="6" t="str">
        <f t="shared" si="76"/>
        <v>OK</v>
      </c>
    </row>
    <row r="383" spans="1:19" x14ac:dyDescent="0.25">
      <c r="A383" s="3" t="str">
        <f t="shared" si="77"/>
        <v>02.07.2026</v>
      </c>
      <c r="B383" s="5">
        <v>78</v>
      </c>
      <c r="C383" s="5" t="s">
        <v>40</v>
      </c>
      <c r="D383" s="3">
        <v>16.600000000000001</v>
      </c>
      <c r="E383" s="3">
        <v>16.772010000000002</v>
      </c>
      <c r="F383" s="6">
        <f t="shared" si="65"/>
        <v>0.17201000000000022</v>
      </c>
      <c r="G383" s="6">
        <f t="shared" si="66"/>
        <v>1.0362048192771096E-2</v>
      </c>
      <c r="H383" s="6" t="str">
        <f t="shared" si="67"/>
        <v>🟢 Over-injection</v>
      </c>
      <c r="I383" s="6">
        <f t="shared" si="68"/>
        <v>-0.17201000000000022</v>
      </c>
      <c r="J383" s="3">
        <v>10</v>
      </c>
      <c r="K383" s="6">
        <f t="shared" si="69"/>
        <v>2.4900000000000002</v>
      </c>
      <c r="L383" s="6">
        <f t="shared" si="70"/>
        <v>3.3200000000000003</v>
      </c>
      <c r="M383" s="6">
        <f t="shared" si="71"/>
        <v>0.17201000000000022</v>
      </c>
      <c r="N383" s="6">
        <f t="shared" si="72"/>
        <v>0</v>
      </c>
      <c r="O383" s="6">
        <f t="shared" si="73"/>
        <v>0</v>
      </c>
      <c r="P383" s="6">
        <f t="shared" si="74"/>
        <v>-344.02000000000044</v>
      </c>
      <c r="Q383" s="3">
        <v>-344.02</v>
      </c>
      <c r="R383" s="6">
        <f t="shared" si="75"/>
        <v>-4.5474735088646412E-13</v>
      </c>
      <c r="S383" s="6" t="str">
        <f t="shared" si="76"/>
        <v>OK</v>
      </c>
    </row>
    <row r="384" spans="1:19" x14ac:dyDescent="0.25">
      <c r="A384" s="3" t="str">
        <f t="shared" si="77"/>
        <v>02.07.2026</v>
      </c>
      <c r="B384" s="5">
        <v>79</v>
      </c>
      <c r="C384" s="5" t="s">
        <v>39</v>
      </c>
      <c r="D384" s="3">
        <v>18.079999999999998</v>
      </c>
      <c r="E384" s="3">
        <v>18.099710000000002</v>
      </c>
      <c r="F384" s="6">
        <f t="shared" si="65"/>
        <v>1.9710000000003447E-2</v>
      </c>
      <c r="G384" s="6">
        <f t="shared" si="66"/>
        <v>1.0901548672568278E-3</v>
      </c>
      <c r="H384" s="6" t="str">
        <f t="shared" si="67"/>
        <v>🟢 Over-injection</v>
      </c>
      <c r="I384" s="6">
        <f t="shared" si="68"/>
        <v>-1.9710000000003447E-2</v>
      </c>
      <c r="J384" s="3">
        <v>10</v>
      </c>
      <c r="K384" s="6">
        <f t="shared" si="69"/>
        <v>2.7119999999999997</v>
      </c>
      <c r="L384" s="6">
        <f t="shared" si="70"/>
        <v>3.6159999999999997</v>
      </c>
      <c r="M384" s="6">
        <f t="shared" si="71"/>
        <v>1.9710000000003447E-2</v>
      </c>
      <c r="N384" s="6">
        <f t="shared" si="72"/>
        <v>0</v>
      </c>
      <c r="O384" s="6">
        <f t="shared" si="73"/>
        <v>0</v>
      </c>
      <c r="P384" s="6">
        <f t="shared" si="74"/>
        <v>-39.420000000006894</v>
      </c>
      <c r="Q384" s="3">
        <v>-39.419999999999995</v>
      </c>
      <c r="R384" s="6">
        <f t="shared" si="75"/>
        <v>-6.8993699642305728E-12</v>
      </c>
      <c r="S384" s="6" t="str">
        <f t="shared" si="76"/>
        <v>OK</v>
      </c>
    </row>
    <row r="385" spans="1:19" x14ac:dyDescent="0.25">
      <c r="A385" s="3" t="str">
        <f t="shared" si="77"/>
        <v>02.07.2026</v>
      </c>
      <c r="B385" s="5">
        <v>80</v>
      </c>
      <c r="C385" s="5" t="s">
        <v>38</v>
      </c>
      <c r="D385" s="3">
        <v>18.149999999999999</v>
      </c>
      <c r="E385" s="3">
        <v>18.428789999999999</v>
      </c>
      <c r="F385" s="6">
        <f t="shared" si="65"/>
        <v>0.27879000000000076</v>
      </c>
      <c r="G385" s="6">
        <f t="shared" si="66"/>
        <v>1.536033057851244E-2</v>
      </c>
      <c r="H385" s="6" t="str">
        <f t="shared" si="67"/>
        <v>🟢 Over-injection</v>
      </c>
      <c r="I385" s="6">
        <f t="shared" si="68"/>
        <v>-0.27879000000000076</v>
      </c>
      <c r="J385" s="3">
        <v>10</v>
      </c>
      <c r="K385" s="6">
        <f t="shared" si="69"/>
        <v>2.7224999999999997</v>
      </c>
      <c r="L385" s="6">
        <f t="shared" si="70"/>
        <v>3.63</v>
      </c>
      <c r="M385" s="6">
        <f t="shared" si="71"/>
        <v>0.27879000000000076</v>
      </c>
      <c r="N385" s="6">
        <f t="shared" si="72"/>
        <v>0</v>
      </c>
      <c r="O385" s="6">
        <f t="shared" si="73"/>
        <v>0</v>
      </c>
      <c r="P385" s="6">
        <f t="shared" si="74"/>
        <v>-557.58000000000152</v>
      </c>
      <c r="Q385" s="3">
        <v>-557.57999999999993</v>
      </c>
      <c r="R385" s="6">
        <f t="shared" si="75"/>
        <v>-1.5916157281026244E-12</v>
      </c>
      <c r="S385" s="6" t="str">
        <f t="shared" si="76"/>
        <v>OK</v>
      </c>
    </row>
    <row r="386" spans="1:19" x14ac:dyDescent="0.25">
      <c r="A386" s="3" t="str">
        <f t="shared" si="77"/>
        <v>02.07.2026</v>
      </c>
      <c r="B386" s="5">
        <v>81</v>
      </c>
      <c r="C386" s="5" t="s">
        <v>37</v>
      </c>
      <c r="D386" s="3">
        <v>19.07</v>
      </c>
      <c r="E386" s="3">
        <v>18.939440000000001</v>
      </c>
      <c r="F386" s="6">
        <f t="shared" si="65"/>
        <v>-0.13055999999999912</v>
      </c>
      <c r="G386" s="6">
        <f t="shared" si="66"/>
        <v>-6.8463555322495605E-3</v>
      </c>
      <c r="H386" s="6" t="str">
        <f t="shared" si="67"/>
        <v>🔴 Under-injection</v>
      </c>
      <c r="I386" s="6">
        <f t="shared" si="68"/>
        <v>0.13055999999999912</v>
      </c>
      <c r="J386" s="3">
        <v>10</v>
      </c>
      <c r="K386" s="6">
        <f t="shared" si="69"/>
        <v>2.8605</v>
      </c>
      <c r="L386" s="6">
        <f t="shared" si="70"/>
        <v>3.8140000000000001</v>
      </c>
      <c r="M386" s="6">
        <f t="shared" si="71"/>
        <v>0.13055999999999912</v>
      </c>
      <c r="N386" s="6">
        <f t="shared" si="72"/>
        <v>0</v>
      </c>
      <c r="O386" s="6">
        <f t="shared" si="73"/>
        <v>0</v>
      </c>
      <c r="P386" s="6">
        <f t="shared" si="74"/>
        <v>342.7199999999977</v>
      </c>
      <c r="Q386" s="3">
        <v>342.72</v>
      </c>
      <c r="R386" s="6">
        <f t="shared" si="75"/>
        <v>-2.3305801732931286E-12</v>
      </c>
      <c r="S386" s="6" t="str">
        <f t="shared" si="76"/>
        <v>OK</v>
      </c>
    </row>
    <row r="387" spans="1:19" x14ac:dyDescent="0.25">
      <c r="A387" s="3" t="str">
        <f t="shared" si="77"/>
        <v>02.07.2026</v>
      </c>
      <c r="B387" s="5">
        <v>82</v>
      </c>
      <c r="C387" s="5" t="s">
        <v>36</v>
      </c>
      <c r="D387" s="3">
        <v>19.11</v>
      </c>
      <c r="E387" s="3">
        <v>19.438739999999999</v>
      </c>
      <c r="F387" s="6">
        <f t="shared" si="65"/>
        <v>0.32873999999999981</v>
      </c>
      <c r="G387" s="6">
        <f t="shared" si="66"/>
        <v>1.7202511773940336E-2</v>
      </c>
      <c r="H387" s="6" t="str">
        <f t="shared" si="67"/>
        <v>🟢 Over-injection</v>
      </c>
      <c r="I387" s="6">
        <f t="shared" si="68"/>
        <v>-0.32873999999999981</v>
      </c>
      <c r="J387" s="3">
        <v>10</v>
      </c>
      <c r="K387" s="6">
        <f t="shared" si="69"/>
        <v>2.8664999999999998</v>
      </c>
      <c r="L387" s="6">
        <f t="shared" si="70"/>
        <v>3.8220000000000001</v>
      </c>
      <c r="M387" s="6">
        <f t="shared" si="71"/>
        <v>0.32873999999999981</v>
      </c>
      <c r="N387" s="6">
        <f t="shared" si="72"/>
        <v>0</v>
      </c>
      <c r="O387" s="6">
        <f t="shared" si="73"/>
        <v>0</v>
      </c>
      <c r="P387" s="6">
        <f t="shared" si="74"/>
        <v>-657.47999999999956</v>
      </c>
      <c r="Q387" s="3">
        <v>-657.4799999999999</v>
      </c>
      <c r="R387" s="6">
        <f t="shared" si="75"/>
        <v>0</v>
      </c>
      <c r="S387" s="6" t="str">
        <f t="shared" si="76"/>
        <v>OK</v>
      </c>
    </row>
    <row r="388" spans="1:19" x14ac:dyDescent="0.25">
      <c r="A388" s="3" t="str">
        <f t="shared" si="77"/>
        <v>02.07.2026</v>
      </c>
      <c r="B388" s="5">
        <v>83</v>
      </c>
      <c r="C388" s="5" t="s">
        <v>35</v>
      </c>
      <c r="D388" s="3">
        <v>20.58</v>
      </c>
      <c r="E388" s="3">
        <v>20.425999999999998</v>
      </c>
      <c r="F388" s="6">
        <f t="shared" si="65"/>
        <v>-0.15399999999999991</v>
      </c>
      <c r="G388" s="6">
        <f t="shared" si="66"/>
        <v>-7.4829931972789079E-3</v>
      </c>
      <c r="H388" s="6" t="str">
        <f t="shared" si="67"/>
        <v>🔴 Under-injection</v>
      </c>
      <c r="I388" s="6">
        <f t="shared" si="68"/>
        <v>0.15399999999999991</v>
      </c>
      <c r="J388" s="3">
        <v>10</v>
      </c>
      <c r="K388" s="6">
        <f t="shared" si="69"/>
        <v>3.0869999999999997</v>
      </c>
      <c r="L388" s="6">
        <f t="shared" si="70"/>
        <v>4.1159999999999997</v>
      </c>
      <c r="M388" s="6">
        <f t="shared" si="71"/>
        <v>0.15399999999999991</v>
      </c>
      <c r="N388" s="6">
        <f t="shared" si="72"/>
        <v>0</v>
      </c>
      <c r="O388" s="6">
        <f t="shared" si="73"/>
        <v>0</v>
      </c>
      <c r="P388" s="6">
        <f t="shared" si="74"/>
        <v>404.24999999999983</v>
      </c>
      <c r="Q388" s="3">
        <v>404.25</v>
      </c>
      <c r="R388" s="6">
        <f t="shared" si="75"/>
        <v>0</v>
      </c>
      <c r="S388" s="6" t="str">
        <f t="shared" si="76"/>
        <v>OK</v>
      </c>
    </row>
    <row r="389" spans="1:19" x14ac:dyDescent="0.25">
      <c r="A389" s="3" t="str">
        <f t="shared" si="77"/>
        <v>02.07.2026</v>
      </c>
      <c r="B389" s="5">
        <v>84</v>
      </c>
      <c r="C389" s="5" t="s">
        <v>34</v>
      </c>
      <c r="D389" s="3">
        <v>20.57</v>
      </c>
      <c r="E389" s="3">
        <v>20.811820000000001</v>
      </c>
      <c r="F389" s="6">
        <f t="shared" si="65"/>
        <v>0.24182000000000059</v>
      </c>
      <c r="G389" s="6">
        <f t="shared" si="66"/>
        <v>1.1755955274671881E-2</v>
      </c>
      <c r="H389" s="6" t="str">
        <f t="shared" si="67"/>
        <v>🟢 Over-injection</v>
      </c>
      <c r="I389" s="6">
        <f t="shared" si="68"/>
        <v>-0.24182000000000059</v>
      </c>
      <c r="J389" s="3">
        <v>10</v>
      </c>
      <c r="K389" s="6">
        <f t="shared" si="69"/>
        <v>3.0855000000000001</v>
      </c>
      <c r="L389" s="6">
        <f t="shared" si="70"/>
        <v>4.1139999999999999</v>
      </c>
      <c r="M389" s="6">
        <f t="shared" si="71"/>
        <v>0.24182000000000059</v>
      </c>
      <c r="N389" s="6">
        <f t="shared" si="72"/>
        <v>0</v>
      </c>
      <c r="O389" s="6">
        <f t="shared" si="73"/>
        <v>0</v>
      </c>
      <c r="P389" s="6">
        <f t="shared" si="74"/>
        <v>-483.64000000000124</v>
      </c>
      <c r="Q389" s="3">
        <v>-483.64</v>
      </c>
      <c r="R389" s="6">
        <f t="shared" si="75"/>
        <v>-1.2505552149377763E-12</v>
      </c>
      <c r="S389" s="6" t="str">
        <f t="shared" si="76"/>
        <v>OK</v>
      </c>
    </row>
    <row r="390" spans="1:19" x14ac:dyDescent="0.25">
      <c r="A390" s="3" t="str">
        <f t="shared" si="77"/>
        <v>02.07.2026</v>
      </c>
      <c r="B390" s="5">
        <v>85</v>
      </c>
      <c r="C390" s="5" t="s">
        <v>33</v>
      </c>
      <c r="D390" s="3">
        <v>20.57</v>
      </c>
      <c r="E390" s="3">
        <v>21.49269</v>
      </c>
      <c r="F390" s="6">
        <f t="shared" si="65"/>
        <v>0.92268999999999934</v>
      </c>
      <c r="G390" s="6">
        <f t="shared" si="66"/>
        <v>4.4856101118133172E-2</v>
      </c>
      <c r="H390" s="6" t="str">
        <f t="shared" si="67"/>
        <v>🟢 Over-injection</v>
      </c>
      <c r="I390" s="6">
        <f t="shared" si="68"/>
        <v>-0.92268999999999934</v>
      </c>
      <c r="J390" s="3">
        <v>10</v>
      </c>
      <c r="K390" s="6">
        <f t="shared" si="69"/>
        <v>3.0855000000000001</v>
      </c>
      <c r="L390" s="6">
        <f t="shared" si="70"/>
        <v>4.1139999999999999</v>
      </c>
      <c r="M390" s="6">
        <f t="shared" si="71"/>
        <v>0.92268999999999934</v>
      </c>
      <c r="N390" s="6">
        <f t="shared" si="72"/>
        <v>0</v>
      </c>
      <c r="O390" s="6">
        <f t="shared" si="73"/>
        <v>0</v>
      </c>
      <c r="P390" s="6">
        <f t="shared" si="74"/>
        <v>-1845.3799999999987</v>
      </c>
      <c r="Q390" s="3">
        <v>-1845.38</v>
      </c>
      <c r="R390" s="6">
        <f t="shared" si="75"/>
        <v>0</v>
      </c>
      <c r="S390" s="6" t="str">
        <f t="shared" si="76"/>
        <v>OK</v>
      </c>
    </row>
    <row r="391" spans="1:19" x14ac:dyDescent="0.25">
      <c r="A391" s="3" t="str">
        <f t="shared" si="77"/>
        <v>02.07.2026</v>
      </c>
      <c r="B391" s="5">
        <v>86</v>
      </c>
      <c r="C391" s="5" t="s">
        <v>32</v>
      </c>
      <c r="D391" s="3">
        <v>20.59</v>
      </c>
      <c r="E391" s="3">
        <v>21.696950000000001</v>
      </c>
      <c r="F391" s="6">
        <f t="shared" si="65"/>
        <v>1.1069500000000012</v>
      </c>
      <c r="G391" s="6">
        <f t="shared" si="66"/>
        <v>5.3761534725595007E-2</v>
      </c>
      <c r="H391" s="6" t="str">
        <f t="shared" si="67"/>
        <v>🟢 Over-injection</v>
      </c>
      <c r="I391" s="6">
        <f t="shared" si="68"/>
        <v>-1.1069500000000012</v>
      </c>
      <c r="J391" s="3">
        <v>10</v>
      </c>
      <c r="K391" s="6">
        <f t="shared" si="69"/>
        <v>3.0884999999999998</v>
      </c>
      <c r="L391" s="6">
        <f t="shared" si="70"/>
        <v>4.1180000000000003</v>
      </c>
      <c r="M391" s="6">
        <f t="shared" si="71"/>
        <v>1.1069500000000012</v>
      </c>
      <c r="N391" s="6">
        <f t="shared" si="72"/>
        <v>0</v>
      </c>
      <c r="O391" s="6">
        <f t="shared" si="73"/>
        <v>0</v>
      </c>
      <c r="P391" s="6">
        <f t="shared" si="74"/>
        <v>-2213.9000000000024</v>
      </c>
      <c r="Q391" s="3">
        <v>-2213.9</v>
      </c>
      <c r="R391" s="6">
        <f t="shared" si="75"/>
        <v>0</v>
      </c>
      <c r="S391" s="6" t="str">
        <f t="shared" si="76"/>
        <v>OK</v>
      </c>
    </row>
    <row r="392" spans="1:19" x14ac:dyDescent="0.25">
      <c r="A392" s="3" t="str">
        <f t="shared" si="77"/>
        <v>02.07.2026</v>
      </c>
      <c r="B392" s="5">
        <v>87</v>
      </c>
      <c r="C392" s="5" t="s">
        <v>31</v>
      </c>
      <c r="D392" s="3">
        <v>21.64</v>
      </c>
      <c r="E392" s="3">
        <v>21.685600000000001</v>
      </c>
      <c r="F392" s="6">
        <f t="shared" si="65"/>
        <v>4.5600000000000307E-2</v>
      </c>
      <c r="G392" s="6">
        <f t="shared" si="66"/>
        <v>2.1072088724584247E-3</v>
      </c>
      <c r="H392" s="6" t="str">
        <f t="shared" si="67"/>
        <v>🟢 Over-injection</v>
      </c>
      <c r="I392" s="6">
        <f t="shared" si="68"/>
        <v>-4.5600000000000307E-2</v>
      </c>
      <c r="J392" s="3">
        <v>10</v>
      </c>
      <c r="K392" s="6">
        <f t="shared" si="69"/>
        <v>3.246</v>
      </c>
      <c r="L392" s="6">
        <f t="shared" si="70"/>
        <v>4.3280000000000003</v>
      </c>
      <c r="M392" s="6">
        <f t="shared" si="71"/>
        <v>4.5600000000000307E-2</v>
      </c>
      <c r="N392" s="6">
        <f t="shared" si="72"/>
        <v>0</v>
      </c>
      <c r="O392" s="6">
        <f t="shared" si="73"/>
        <v>0</v>
      </c>
      <c r="P392" s="6">
        <f t="shared" si="74"/>
        <v>-91.200000000000614</v>
      </c>
      <c r="Q392" s="3">
        <v>-91.2</v>
      </c>
      <c r="R392" s="6">
        <f t="shared" si="75"/>
        <v>-6.1106675275368616E-13</v>
      </c>
      <c r="S392" s="6" t="str">
        <f t="shared" si="76"/>
        <v>OK</v>
      </c>
    </row>
    <row r="393" spans="1:19" x14ac:dyDescent="0.25">
      <c r="A393" s="3" t="str">
        <f t="shared" si="77"/>
        <v>02.07.2026</v>
      </c>
      <c r="B393" s="5">
        <v>88</v>
      </c>
      <c r="C393" s="5" t="s">
        <v>30</v>
      </c>
      <c r="D393" s="3">
        <v>21.57</v>
      </c>
      <c r="E393" s="3">
        <v>21.685600000000001</v>
      </c>
      <c r="F393" s="6">
        <f t="shared" si="65"/>
        <v>0.11560000000000059</v>
      </c>
      <c r="G393" s="6">
        <f t="shared" si="66"/>
        <v>5.3592953175707276E-3</v>
      </c>
      <c r="H393" s="6" t="str">
        <f t="shared" si="67"/>
        <v>🟢 Over-injection</v>
      </c>
      <c r="I393" s="6">
        <f t="shared" si="68"/>
        <v>-0.11560000000000059</v>
      </c>
      <c r="J393" s="3">
        <v>10</v>
      </c>
      <c r="K393" s="6">
        <f t="shared" si="69"/>
        <v>3.2355</v>
      </c>
      <c r="L393" s="6">
        <f t="shared" si="70"/>
        <v>4.3140000000000001</v>
      </c>
      <c r="M393" s="6">
        <f t="shared" si="71"/>
        <v>0.11560000000000059</v>
      </c>
      <c r="N393" s="6">
        <f t="shared" si="72"/>
        <v>0</v>
      </c>
      <c r="O393" s="6">
        <f t="shared" si="73"/>
        <v>0</v>
      </c>
      <c r="P393" s="6">
        <f t="shared" si="74"/>
        <v>-231.20000000000118</v>
      </c>
      <c r="Q393" s="3">
        <v>-231.2</v>
      </c>
      <c r="R393" s="6">
        <f t="shared" si="75"/>
        <v>-1.1937117960769683E-12</v>
      </c>
      <c r="S393" s="6" t="str">
        <f t="shared" si="76"/>
        <v>OK</v>
      </c>
    </row>
    <row r="394" spans="1:19" x14ac:dyDescent="0.25">
      <c r="A394" s="3" t="str">
        <f t="shared" si="77"/>
        <v>02.07.2026</v>
      </c>
      <c r="B394" s="5">
        <v>89</v>
      </c>
      <c r="C394" s="5" t="s">
        <v>29</v>
      </c>
      <c r="D394" s="3">
        <v>21.57</v>
      </c>
      <c r="E394" s="3">
        <v>21.685600000000001</v>
      </c>
      <c r="F394" s="6">
        <f t="shared" si="65"/>
        <v>0.11560000000000059</v>
      </c>
      <c r="G394" s="6">
        <f t="shared" si="66"/>
        <v>5.3592953175707276E-3</v>
      </c>
      <c r="H394" s="6" t="str">
        <f t="shared" si="67"/>
        <v>🟢 Over-injection</v>
      </c>
      <c r="I394" s="6">
        <f t="shared" si="68"/>
        <v>-0.11560000000000059</v>
      </c>
      <c r="J394" s="3">
        <v>10</v>
      </c>
      <c r="K394" s="6">
        <f t="shared" si="69"/>
        <v>3.2355</v>
      </c>
      <c r="L394" s="6">
        <f t="shared" si="70"/>
        <v>4.3140000000000001</v>
      </c>
      <c r="M394" s="6">
        <f t="shared" si="71"/>
        <v>0.11560000000000059</v>
      </c>
      <c r="N394" s="6">
        <f t="shared" si="72"/>
        <v>0</v>
      </c>
      <c r="O394" s="6">
        <f t="shared" si="73"/>
        <v>0</v>
      </c>
      <c r="P394" s="6">
        <f t="shared" si="74"/>
        <v>-231.20000000000118</v>
      </c>
      <c r="Q394" s="3">
        <v>-231.2</v>
      </c>
      <c r="R394" s="6">
        <f t="shared" si="75"/>
        <v>-1.1937117960769683E-12</v>
      </c>
      <c r="S394" s="6" t="str">
        <f t="shared" si="76"/>
        <v>OK</v>
      </c>
    </row>
    <row r="395" spans="1:19" x14ac:dyDescent="0.25">
      <c r="A395" s="3" t="str">
        <f t="shared" si="77"/>
        <v>02.07.2026</v>
      </c>
      <c r="B395" s="5">
        <v>90</v>
      </c>
      <c r="C395" s="5" t="s">
        <v>28</v>
      </c>
      <c r="D395" s="3">
        <v>21.59</v>
      </c>
      <c r="E395" s="3">
        <v>21.765039999999999</v>
      </c>
      <c r="F395" s="6">
        <f t="shared" si="65"/>
        <v>0.1750399999999992</v>
      </c>
      <c r="G395" s="6">
        <f t="shared" si="66"/>
        <v>8.1074571560907464E-3</v>
      </c>
      <c r="H395" s="6" t="str">
        <f t="shared" si="67"/>
        <v>🟢 Over-injection</v>
      </c>
      <c r="I395" s="6">
        <f t="shared" si="68"/>
        <v>-0.1750399999999992</v>
      </c>
      <c r="J395" s="3">
        <v>10</v>
      </c>
      <c r="K395" s="6">
        <f t="shared" si="69"/>
        <v>3.2384999999999997</v>
      </c>
      <c r="L395" s="6">
        <f t="shared" si="70"/>
        <v>4.3180000000000005</v>
      </c>
      <c r="M395" s="6">
        <f t="shared" si="71"/>
        <v>0.1750399999999992</v>
      </c>
      <c r="N395" s="6">
        <f t="shared" si="72"/>
        <v>0</v>
      </c>
      <c r="O395" s="6">
        <f t="shared" si="73"/>
        <v>0</v>
      </c>
      <c r="P395" s="6">
        <f t="shared" si="74"/>
        <v>-350.07999999999839</v>
      </c>
      <c r="Q395" s="3">
        <v>-350.08</v>
      </c>
      <c r="R395" s="6">
        <f t="shared" si="75"/>
        <v>1.5916157281026244E-12</v>
      </c>
      <c r="S395" s="6" t="str">
        <f t="shared" si="76"/>
        <v>OK</v>
      </c>
    </row>
    <row r="396" spans="1:19" x14ac:dyDescent="0.25">
      <c r="A396" s="3" t="str">
        <f t="shared" si="77"/>
        <v>02.07.2026</v>
      </c>
      <c r="B396" s="5">
        <v>91</v>
      </c>
      <c r="C396" s="5" t="s">
        <v>27</v>
      </c>
      <c r="D396" s="3">
        <v>21.6</v>
      </c>
      <c r="E396" s="3">
        <v>21.674250000000001</v>
      </c>
      <c r="F396" s="6">
        <f t="shared" si="65"/>
        <v>7.4249999999999261E-2</v>
      </c>
      <c r="G396" s="6">
        <f t="shared" si="66"/>
        <v>3.4374999999999658E-3</v>
      </c>
      <c r="H396" s="6" t="str">
        <f t="shared" si="67"/>
        <v>🟢 Over-injection</v>
      </c>
      <c r="I396" s="6">
        <f t="shared" si="68"/>
        <v>-7.4249999999999261E-2</v>
      </c>
      <c r="J396" s="3">
        <v>10</v>
      </c>
      <c r="K396" s="6">
        <f t="shared" si="69"/>
        <v>3.24</v>
      </c>
      <c r="L396" s="6">
        <f t="shared" si="70"/>
        <v>4.32</v>
      </c>
      <c r="M396" s="6">
        <f t="shared" si="71"/>
        <v>7.4249999999999261E-2</v>
      </c>
      <c r="N396" s="6">
        <f t="shared" si="72"/>
        <v>0</v>
      </c>
      <c r="O396" s="6">
        <f t="shared" si="73"/>
        <v>0</v>
      </c>
      <c r="P396" s="6">
        <f t="shared" si="74"/>
        <v>-148.49999999999852</v>
      </c>
      <c r="Q396" s="3">
        <v>-148.5</v>
      </c>
      <c r="R396" s="6">
        <f t="shared" si="75"/>
        <v>1.4779288903810084E-12</v>
      </c>
      <c r="S396" s="6" t="str">
        <f t="shared" si="76"/>
        <v>OK</v>
      </c>
    </row>
    <row r="397" spans="1:19" x14ac:dyDescent="0.25">
      <c r="A397" s="3" t="str">
        <f t="shared" si="77"/>
        <v>02.07.2026</v>
      </c>
      <c r="B397" s="5">
        <v>92</v>
      </c>
      <c r="C397" s="5" t="s">
        <v>26</v>
      </c>
      <c r="D397" s="3">
        <v>21.6</v>
      </c>
      <c r="E397" s="3">
        <v>21.674250000000001</v>
      </c>
      <c r="F397" s="6">
        <f t="shared" si="65"/>
        <v>7.4249999999999261E-2</v>
      </c>
      <c r="G397" s="6">
        <f t="shared" si="66"/>
        <v>3.4374999999999658E-3</v>
      </c>
      <c r="H397" s="6" t="str">
        <f t="shared" si="67"/>
        <v>🟢 Over-injection</v>
      </c>
      <c r="I397" s="6">
        <f t="shared" si="68"/>
        <v>-7.4249999999999261E-2</v>
      </c>
      <c r="J397" s="3">
        <v>10</v>
      </c>
      <c r="K397" s="6">
        <f t="shared" si="69"/>
        <v>3.24</v>
      </c>
      <c r="L397" s="6">
        <f t="shared" si="70"/>
        <v>4.32</v>
      </c>
      <c r="M397" s="6">
        <f t="shared" si="71"/>
        <v>7.4249999999999261E-2</v>
      </c>
      <c r="N397" s="6">
        <f t="shared" si="72"/>
        <v>0</v>
      </c>
      <c r="O397" s="6">
        <f t="shared" si="73"/>
        <v>0</v>
      </c>
      <c r="P397" s="6">
        <f t="shared" si="74"/>
        <v>-148.49999999999852</v>
      </c>
      <c r="Q397" s="3">
        <v>-148.5</v>
      </c>
      <c r="R397" s="6">
        <f t="shared" si="75"/>
        <v>1.4779288903810084E-12</v>
      </c>
      <c r="S397" s="6" t="str">
        <f t="shared" si="76"/>
        <v>OK</v>
      </c>
    </row>
    <row r="398" spans="1:19" x14ac:dyDescent="0.25">
      <c r="A398" s="3" t="str">
        <f t="shared" si="77"/>
        <v>02.07.2026</v>
      </c>
      <c r="B398" s="5">
        <v>93</v>
      </c>
      <c r="C398" s="5" t="s">
        <v>25</v>
      </c>
      <c r="D398" s="3">
        <v>21.59</v>
      </c>
      <c r="E398" s="3">
        <v>21.674250000000001</v>
      </c>
      <c r="F398" s="6">
        <f t="shared" si="65"/>
        <v>8.4250000000000824E-2</v>
      </c>
      <c r="G398" s="6">
        <f t="shared" si="66"/>
        <v>3.902269569245059E-3</v>
      </c>
      <c r="H398" s="6" t="str">
        <f t="shared" si="67"/>
        <v>🟢 Over-injection</v>
      </c>
      <c r="I398" s="6">
        <f t="shared" si="68"/>
        <v>-8.4250000000000824E-2</v>
      </c>
      <c r="J398" s="3">
        <v>10</v>
      </c>
      <c r="K398" s="6">
        <f t="shared" si="69"/>
        <v>3.2384999999999997</v>
      </c>
      <c r="L398" s="6">
        <f t="shared" si="70"/>
        <v>4.3180000000000005</v>
      </c>
      <c r="M398" s="6">
        <f t="shared" si="71"/>
        <v>8.4250000000000824E-2</v>
      </c>
      <c r="N398" s="6">
        <f t="shared" si="72"/>
        <v>0</v>
      </c>
      <c r="O398" s="6">
        <f t="shared" si="73"/>
        <v>0</v>
      </c>
      <c r="P398" s="6">
        <f t="shared" si="74"/>
        <v>-168.50000000000168</v>
      </c>
      <c r="Q398" s="3">
        <v>-168.5</v>
      </c>
      <c r="R398" s="6">
        <f t="shared" si="75"/>
        <v>-1.6768808563938364E-12</v>
      </c>
      <c r="S398" s="6" t="str">
        <f t="shared" si="76"/>
        <v>OK</v>
      </c>
    </row>
    <row r="399" spans="1:19" x14ac:dyDescent="0.25">
      <c r="A399" s="3" t="str">
        <f t="shared" si="77"/>
        <v>02.07.2026</v>
      </c>
      <c r="B399" s="5">
        <v>94</v>
      </c>
      <c r="C399" s="5" t="s">
        <v>24</v>
      </c>
      <c r="D399" s="3">
        <v>21.59</v>
      </c>
      <c r="E399" s="3">
        <v>21.674250000000001</v>
      </c>
      <c r="F399" s="6">
        <f t="shared" si="65"/>
        <v>8.4250000000000824E-2</v>
      </c>
      <c r="G399" s="6">
        <f t="shared" si="66"/>
        <v>3.902269569245059E-3</v>
      </c>
      <c r="H399" s="6" t="str">
        <f t="shared" si="67"/>
        <v>🟢 Over-injection</v>
      </c>
      <c r="I399" s="6">
        <f t="shared" si="68"/>
        <v>-8.4250000000000824E-2</v>
      </c>
      <c r="J399" s="3">
        <v>10</v>
      </c>
      <c r="K399" s="6">
        <f t="shared" si="69"/>
        <v>3.2384999999999997</v>
      </c>
      <c r="L399" s="6">
        <f t="shared" si="70"/>
        <v>4.3180000000000005</v>
      </c>
      <c r="M399" s="6">
        <f t="shared" si="71"/>
        <v>8.4250000000000824E-2</v>
      </c>
      <c r="N399" s="6">
        <f t="shared" si="72"/>
        <v>0</v>
      </c>
      <c r="O399" s="6">
        <f t="shared" si="73"/>
        <v>0</v>
      </c>
      <c r="P399" s="6">
        <f t="shared" si="74"/>
        <v>-168.50000000000168</v>
      </c>
      <c r="Q399" s="3">
        <v>-168.5</v>
      </c>
      <c r="R399" s="6">
        <f t="shared" si="75"/>
        <v>-1.6768808563938364E-12</v>
      </c>
      <c r="S399" s="6" t="str">
        <f t="shared" si="76"/>
        <v>OK</v>
      </c>
    </row>
    <row r="400" spans="1:19" x14ac:dyDescent="0.25">
      <c r="A400" s="3" t="str">
        <f t="shared" si="77"/>
        <v>02.07.2026</v>
      </c>
      <c r="B400" s="5">
        <v>95</v>
      </c>
      <c r="C400" s="5" t="s">
        <v>23</v>
      </c>
      <c r="D400" s="3">
        <v>21.59</v>
      </c>
      <c r="E400" s="3">
        <v>21.6629</v>
      </c>
      <c r="F400" s="6">
        <f t="shared" si="65"/>
        <v>7.2900000000000631E-2</v>
      </c>
      <c r="G400" s="6">
        <f t="shared" si="66"/>
        <v>3.3765632237147121E-3</v>
      </c>
      <c r="H400" s="6" t="str">
        <f t="shared" si="67"/>
        <v>🟢 Over-injection</v>
      </c>
      <c r="I400" s="6">
        <f t="shared" si="68"/>
        <v>-7.2900000000000631E-2</v>
      </c>
      <c r="J400" s="3">
        <v>10</v>
      </c>
      <c r="K400" s="6">
        <f t="shared" si="69"/>
        <v>3.2384999999999997</v>
      </c>
      <c r="L400" s="6">
        <f t="shared" si="70"/>
        <v>4.3180000000000005</v>
      </c>
      <c r="M400" s="6">
        <f t="shared" si="71"/>
        <v>7.2900000000000631E-2</v>
      </c>
      <c r="N400" s="6">
        <f t="shared" si="72"/>
        <v>0</v>
      </c>
      <c r="O400" s="6">
        <f t="shared" si="73"/>
        <v>0</v>
      </c>
      <c r="P400" s="6">
        <f t="shared" si="74"/>
        <v>-145.80000000000126</v>
      </c>
      <c r="Q400" s="3">
        <v>-145.80000000000001</v>
      </c>
      <c r="R400" s="6">
        <f t="shared" si="75"/>
        <v>-1.2505552149377763E-12</v>
      </c>
      <c r="S400" s="6" t="str">
        <f t="shared" si="76"/>
        <v>OK</v>
      </c>
    </row>
    <row r="401" spans="1:19" x14ac:dyDescent="0.25">
      <c r="A401" s="3" t="str">
        <f t="shared" si="77"/>
        <v>02.07.2026</v>
      </c>
      <c r="B401" s="5">
        <v>96</v>
      </c>
      <c r="C401" s="5" t="s">
        <v>22</v>
      </c>
      <c r="D401" s="3">
        <v>21.58</v>
      </c>
      <c r="E401" s="3">
        <v>21.6629</v>
      </c>
      <c r="F401" s="6">
        <f t="shared" si="65"/>
        <v>8.2900000000002194E-2</v>
      </c>
      <c r="G401" s="6">
        <f t="shared" si="66"/>
        <v>3.8415199258573771E-3</v>
      </c>
      <c r="H401" s="6" t="str">
        <f t="shared" si="67"/>
        <v>🟢 Over-injection</v>
      </c>
      <c r="I401" s="6">
        <f t="shared" si="68"/>
        <v>-8.2900000000002194E-2</v>
      </c>
      <c r="J401" s="3">
        <v>10</v>
      </c>
      <c r="K401" s="6">
        <f t="shared" si="69"/>
        <v>3.2369999999999997</v>
      </c>
      <c r="L401" s="6">
        <f t="shared" si="70"/>
        <v>4.3159999999999998</v>
      </c>
      <c r="M401" s="6">
        <f t="shared" si="71"/>
        <v>8.2900000000002194E-2</v>
      </c>
      <c r="N401" s="6">
        <f t="shared" si="72"/>
        <v>0</v>
      </c>
      <c r="O401" s="6">
        <f t="shared" si="73"/>
        <v>0</v>
      </c>
      <c r="P401" s="6">
        <f t="shared" si="74"/>
        <v>-165.80000000000439</v>
      </c>
      <c r="Q401" s="3">
        <v>-165.8</v>
      </c>
      <c r="R401" s="6">
        <f t="shared" si="75"/>
        <v>-4.3769432522822171E-12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20</v>
      </c>
      <c r="E402" s="3">
        <v>20.369260000000001</v>
      </c>
      <c r="F402" s="6">
        <f t="shared" ref="F402:F465" si="78">E402-D402</f>
        <v>0.36926000000000059</v>
      </c>
      <c r="G402" s="6">
        <f t="shared" ref="G402:G465" si="79">IF(D402=0,0,F402/D402)</f>
        <v>1.8463000000000028E-2</v>
      </c>
      <c r="H402" s="6" t="str">
        <f t="shared" ref="H402:H465" si="80">IF(E402&gt;D402,"🟢 Over-injection",IF(E402&lt;D402,"🔴 Under-injection","⚪ Nil"))</f>
        <v>🟢 Over-injection</v>
      </c>
      <c r="I402" s="6">
        <f t="shared" ref="I402:I465" si="81">-F402</f>
        <v>-0.36926000000000059</v>
      </c>
      <c r="J402" s="3">
        <v>9.9998000000000005</v>
      </c>
      <c r="K402" s="6">
        <f t="shared" ref="K402:K465" si="82">MIN(ABS(D402)*$B$7,$B$8)</f>
        <v>3</v>
      </c>
      <c r="L402" s="6">
        <f t="shared" ref="L402:L465" si="83">MIN(ABS(D402)*$B$9,$B$10)</f>
        <v>4</v>
      </c>
      <c r="M402" s="6">
        <f t="shared" ref="M402:M465" si="84">MIN(ABS(F402),K402)</f>
        <v>0.36926000000000059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-738.50522960000126</v>
      </c>
      <c r="Q402" s="3">
        <v>-738.50522960000001</v>
      </c>
      <c r="R402" s="6">
        <f t="shared" ref="R402:R465" si="88">P402-Q402</f>
        <v>-1.2505552149377763E-12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03.07.2026</v>
      </c>
      <c r="B403" s="5">
        <v>2</v>
      </c>
      <c r="C403" s="5" t="s">
        <v>116</v>
      </c>
      <c r="D403" s="3">
        <v>20</v>
      </c>
      <c r="E403" s="3">
        <v>19.91534</v>
      </c>
      <c r="F403" s="6">
        <f t="shared" si="78"/>
        <v>-8.4659999999999513E-2</v>
      </c>
      <c r="G403" s="6">
        <f t="shared" si="79"/>
        <v>-4.2329999999999755E-3</v>
      </c>
      <c r="H403" s="6" t="str">
        <f t="shared" si="80"/>
        <v>🔴 Under-injection</v>
      </c>
      <c r="I403" s="6">
        <f t="shared" si="81"/>
        <v>8.4659999999999513E-2</v>
      </c>
      <c r="J403" s="3">
        <v>9.3119000000000014</v>
      </c>
      <c r="K403" s="6">
        <f t="shared" si="82"/>
        <v>3</v>
      </c>
      <c r="L403" s="6">
        <f t="shared" si="83"/>
        <v>4</v>
      </c>
      <c r="M403" s="6">
        <f t="shared" si="84"/>
        <v>8.4659999999999513E-2</v>
      </c>
      <c r="N403" s="6">
        <f t="shared" si="85"/>
        <v>0</v>
      </c>
      <c r="O403" s="6">
        <f t="shared" si="86"/>
        <v>0</v>
      </c>
      <c r="P403" s="6">
        <f t="shared" si="87"/>
        <v>206.94068167499881</v>
      </c>
      <c r="Q403" s="3">
        <v>206.94068167500004</v>
      </c>
      <c r="R403" s="6">
        <f t="shared" si="88"/>
        <v>-1.2221335055073723E-12</v>
      </c>
      <c r="S403" s="6" t="str">
        <f t="shared" si="89"/>
        <v>OK</v>
      </c>
    </row>
    <row r="404" spans="1:19" x14ac:dyDescent="0.25">
      <c r="A404" s="3" t="str">
        <f t="shared" ref="A404:A467" si="90">A403</f>
        <v>03.07.2026</v>
      </c>
      <c r="B404" s="5">
        <v>3</v>
      </c>
      <c r="C404" s="5" t="s">
        <v>115</v>
      </c>
      <c r="D404" s="3">
        <v>20</v>
      </c>
      <c r="E404" s="3">
        <v>19.91534</v>
      </c>
      <c r="F404" s="6">
        <f t="shared" si="78"/>
        <v>-8.4659999999999513E-2</v>
      </c>
      <c r="G404" s="6">
        <f t="shared" si="79"/>
        <v>-4.2329999999999755E-3</v>
      </c>
      <c r="H404" s="6" t="str">
        <f t="shared" si="80"/>
        <v>🔴 Under-injection</v>
      </c>
      <c r="I404" s="6">
        <f t="shared" si="81"/>
        <v>8.4659999999999513E-2</v>
      </c>
      <c r="J404" s="3">
        <v>8.7517999999999994</v>
      </c>
      <c r="K404" s="6">
        <f t="shared" si="82"/>
        <v>3</v>
      </c>
      <c r="L404" s="6">
        <f t="shared" si="83"/>
        <v>4</v>
      </c>
      <c r="M404" s="6">
        <f t="shared" si="84"/>
        <v>8.4659999999999513E-2</v>
      </c>
      <c r="N404" s="6">
        <f t="shared" si="85"/>
        <v>0</v>
      </c>
      <c r="O404" s="6">
        <f t="shared" si="86"/>
        <v>0</v>
      </c>
      <c r="P404" s="6">
        <f t="shared" si="87"/>
        <v>194.49343934999885</v>
      </c>
      <c r="Q404" s="3">
        <v>194.49343934999999</v>
      </c>
      <c r="R404" s="6">
        <f t="shared" si="88"/>
        <v>-1.1368683772161603E-12</v>
      </c>
      <c r="S404" s="6" t="str">
        <f t="shared" si="89"/>
        <v>OK</v>
      </c>
    </row>
    <row r="405" spans="1:19" x14ac:dyDescent="0.25">
      <c r="A405" s="3" t="str">
        <f t="shared" si="90"/>
        <v>03.07.2026</v>
      </c>
      <c r="B405" s="5">
        <v>4</v>
      </c>
      <c r="C405" s="5" t="s">
        <v>114</v>
      </c>
      <c r="D405" s="3">
        <v>20</v>
      </c>
      <c r="E405" s="3">
        <v>19.91534</v>
      </c>
      <c r="F405" s="6">
        <f t="shared" si="78"/>
        <v>-8.4659999999999513E-2</v>
      </c>
      <c r="G405" s="6">
        <f t="shared" si="79"/>
        <v>-4.2329999999999755E-3</v>
      </c>
      <c r="H405" s="6" t="str">
        <f t="shared" si="80"/>
        <v>🔴 Under-injection</v>
      </c>
      <c r="I405" s="6">
        <f t="shared" si="81"/>
        <v>8.4659999999999513E-2</v>
      </c>
      <c r="J405" s="3">
        <v>7.1029</v>
      </c>
      <c r="K405" s="6">
        <f t="shared" si="82"/>
        <v>3</v>
      </c>
      <c r="L405" s="6">
        <f t="shared" si="83"/>
        <v>4</v>
      </c>
      <c r="M405" s="6">
        <f t="shared" si="84"/>
        <v>8.4659999999999513E-2</v>
      </c>
      <c r="N405" s="6">
        <f t="shared" si="85"/>
        <v>0</v>
      </c>
      <c r="O405" s="6">
        <f t="shared" si="86"/>
        <v>0</v>
      </c>
      <c r="P405" s="6">
        <f t="shared" si="87"/>
        <v>157.84952242499909</v>
      </c>
      <c r="Q405" s="3">
        <v>157.849522425</v>
      </c>
      <c r="R405" s="6">
        <f t="shared" si="88"/>
        <v>-9.0949470177292824E-13</v>
      </c>
      <c r="S405" s="6" t="str">
        <f t="shared" si="89"/>
        <v>OK</v>
      </c>
    </row>
    <row r="406" spans="1:19" x14ac:dyDescent="0.25">
      <c r="A406" s="3" t="str">
        <f t="shared" si="90"/>
        <v>03.07.2026</v>
      </c>
      <c r="B406" s="5">
        <v>5</v>
      </c>
      <c r="C406" s="5" t="s">
        <v>113</v>
      </c>
      <c r="D406" s="3">
        <v>20</v>
      </c>
      <c r="E406" s="3">
        <v>19.904</v>
      </c>
      <c r="F406" s="6">
        <f t="shared" si="78"/>
        <v>-9.6000000000000085E-2</v>
      </c>
      <c r="G406" s="6">
        <f t="shared" si="79"/>
        <v>-4.8000000000000039E-3</v>
      </c>
      <c r="H406" s="6" t="str">
        <f t="shared" si="80"/>
        <v>🔴 Under-injection</v>
      </c>
      <c r="I406" s="6">
        <f t="shared" si="81"/>
        <v>9.6000000000000085E-2</v>
      </c>
      <c r="J406" s="3">
        <v>6.6301999999999994</v>
      </c>
      <c r="K406" s="6">
        <f t="shared" si="82"/>
        <v>3</v>
      </c>
      <c r="L406" s="6">
        <f t="shared" si="83"/>
        <v>4</v>
      </c>
      <c r="M406" s="6">
        <f t="shared" si="84"/>
        <v>9.6000000000000085E-2</v>
      </c>
      <c r="N406" s="6">
        <f t="shared" si="85"/>
        <v>0</v>
      </c>
      <c r="O406" s="6">
        <f t="shared" si="86"/>
        <v>0</v>
      </c>
      <c r="P406" s="6">
        <f t="shared" si="87"/>
        <v>167.08104000000014</v>
      </c>
      <c r="Q406" s="3">
        <v>167.08104</v>
      </c>
      <c r="R406" s="6">
        <f t="shared" si="88"/>
        <v>0</v>
      </c>
      <c r="S406" s="6" t="str">
        <f t="shared" si="89"/>
        <v>OK</v>
      </c>
    </row>
    <row r="407" spans="1:19" x14ac:dyDescent="0.25">
      <c r="A407" s="3" t="str">
        <f t="shared" si="90"/>
        <v>03.07.2026</v>
      </c>
      <c r="B407" s="5">
        <v>6</v>
      </c>
      <c r="C407" s="5" t="s">
        <v>112</v>
      </c>
      <c r="D407" s="3">
        <v>20</v>
      </c>
      <c r="E407" s="3">
        <v>19.904</v>
      </c>
      <c r="F407" s="6">
        <f t="shared" si="78"/>
        <v>-9.6000000000000085E-2</v>
      </c>
      <c r="G407" s="6">
        <f t="shared" si="79"/>
        <v>-4.8000000000000039E-3</v>
      </c>
      <c r="H407" s="6" t="str">
        <f t="shared" si="80"/>
        <v>🔴 Under-injection</v>
      </c>
      <c r="I407" s="6">
        <f t="shared" si="81"/>
        <v>9.6000000000000085E-2</v>
      </c>
      <c r="J407" s="3">
        <v>6.2345000000000006</v>
      </c>
      <c r="K407" s="6">
        <f t="shared" si="82"/>
        <v>3</v>
      </c>
      <c r="L407" s="6">
        <f t="shared" si="83"/>
        <v>4</v>
      </c>
      <c r="M407" s="6">
        <f t="shared" si="84"/>
        <v>9.6000000000000085E-2</v>
      </c>
      <c r="N407" s="6">
        <f t="shared" si="85"/>
        <v>0</v>
      </c>
      <c r="O407" s="6">
        <f t="shared" si="86"/>
        <v>0</v>
      </c>
      <c r="P407" s="6">
        <f t="shared" si="87"/>
        <v>157.10940000000016</v>
      </c>
      <c r="Q407" s="3">
        <v>157.10940000000002</v>
      </c>
      <c r="R407" s="6">
        <f t="shared" si="88"/>
        <v>0</v>
      </c>
      <c r="S407" s="6" t="str">
        <f t="shared" si="89"/>
        <v>OK</v>
      </c>
    </row>
    <row r="408" spans="1:19" x14ac:dyDescent="0.25">
      <c r="A408" s="3" t="str">
        <f t="shared" si="90"/>
        <v>03.07.2026</v>
      </c>
      <c r="B408" s="5">
        <v>7</v>
      </c>
      <c r="C408" s="5" t="s">
        <v>111</v>
      </c>
      <c r="D408" s="3">
        <v>20</v>
      </c>
      <c r="E408" s="3">
        <v>19.904</v>
      </c>
      <c r="F408" s="6">
        <f t="shared" si="78"/>
        <v>-9.6000000000000085E-2</v>
      </c>
      <c r="G408" s="6">
        <f t="shared" si="79"/>
        <v>-4.8000000000000039E-3</v>
      </c>
      <c r="H408" s="6" t="str">
        <f t="shared" si="80"/>
        <v>🔴 Under-injection</v>
      </c>
      <c r="I408" s="6">
        <f t="shared" si="81"/>
        <v>9.6000000000000085E-2</v>
      </c>
      <c r="J408" s="3">
        <v>5.7244000000000002</v>
      </c>
      <c r="K408" s="6">
        <f t="shared" si="82"/>
        <v>3</v>
      </c>
      <c r="L408" s="6">
        <f t="shared" si="83"/>
        <v>4</v>
      </c>
      <c r="M408" s="6">
        <f t="shared" si="84"/>
        <v>9.6000000000000085E-2</v>
      </c>
      <c r="N408" s="6">
        <f t="shared" si="85"/>
        <v>0</v>
      </c>
      <c r="O408" s="6">
        <f t="shared" si="86"/>
        <v>0</v>
      </c>
      <c r="P408" s="6">
        <f t="shared" si="87"/>
        <v>144.25488000000013</v>
      </c>
      <c r="Q408" s="3">
        <v>144.25488000000001</v>
      </c>
      <c r="R408" s="6">
        <f t="shared" si="88"/>
        <v>0</v>
      </c>
      <c r="S408" s="6" t="str">
        <f t="shared" si="89"/>
        <v>OK</v>
      </c>
    </row>
    <row r="409" spans="1:19" x14ac:dyDescent="0.25">
      <c r="A409" s="3" t="str">
        <f t="shared" si="90"/>
        <v>03.07.2026</v>
      </c>
      <c r="B409" s="5">
        <v>8</v>
      </c>
      <c r="C409" s="5" t="s">
        <v>110</v>
      </c>
      <c r="D409" s="3">
        <v>20</v>
      </c>
      <c r="E409" s="3">
        <v>19.904</v>
      </c>
      <c r="F409" s="6">
        <f t="shared" si="78"/>
        <v>-9.6000000000000085E-2</v>
      </c>
      <c r="G409" s="6">
        <f t="shared" si="79"/>
        <v>-4.8000000000000039E-3</v>
      </c>
      <c r="H409" s="6" t="str">
        <f t="shared" si="80"/>
        <v>🔴 Under-injection</v>
      </c>
      <c r="I409" s="6">
        <f t="shared" si="81"/>
        <v>9.6000000000000085E-2</v>
      </c>
      <c r="J409" s="3">
        <v>5.6440999999999999</v>
      </c>
      <c r="K409" s="6">
        <f t="shared" si="82"/>
        <v>3</v>
      </c>
      <c r="L409" s="6">
        <f t="shared" si="83"/>
        <v>4</v>
      </c>
      <c r="M409" s="6">
        <f t="shared" si="84"/>
        <v>9.6000000000000085E-2</v>
      </c>
      <c r="N409" s="6">
        <f t="shared" si="85"/>
        <v>0</v>
      </c>
      <c r="O409" s="6">
        <f t="shared" si="86"/>
        <v>0</v>
      </c>
      <c r="P409" s="6">
        <f t="shared" si="87"/>
        <v>142.23132000000012</v>
      </c>
      <c r="Q409" s="3">
        <v>142.23131999999998</v>
      </c>
      <c r="R409" s="6">
        <f t="shared" si="88"/>
        <v>0</v>
      </c>
      <c r="S409" s="6" t="str">
        <f t="shared" si="89"/>
        <v>OK</v>
      </c>
    </row>
    <row r="410" spans="1:19" x14ac:dyDescent="0.25">
      <c r="A410" s="3" t="str">
        <f t="shared" si="90"/>
        <v>03.07.2026</v>
      </c>
      <c r="B410" s="5">
        <v>9</v>
      </c>
      <c r="C410" s="5" t="s">
        <v>109</v>
      </c>
      <c r="D410" s="3">
        <v>17</v>
      </c>
      <c r="E410" s="3">
        <v>17.58905</v>
      </c>
      <c r="F410" s="6">
        <f t="shared" si="78"/>
        <v>0.5890500000000003</v>
      </c>
      <c r="G410" s="6">
        <f t="shared" si="79"/>
        <v>3.4650000000000014E-2</v>
      </c>
      <c r="H410" s="6" t="str">
        <f t="shared" si="80"/>
        <v>🟢 Over-injection</v>
      </c>
      <c r="I410" s="6">
        <f t="shared" si="81"/>
        <v>-0.5890500000000003</v>
      </c>
      <c r="J410" s="3">
        <v>4.6151</v>
      </c>
      <c r="K410" s="6">
        <f t="shared" si="82"/>
        <v>2.5499999999999998</v>
      </c>
      <c r="L410" s="6">
        <f t="shared" si="83"/>
        <v>3.4000000000000004</v>
      </c>
      <c r="M410" s="6">
        <f t="shared" si="84"/>
        <v>0.5890500000000003</v>
      </c>
      <c r="N410" s="6">
        <f t="shared" si="85"/>
        <v>0</v>
      </c>
      <c r="O410" s="6">
        <f t="shared" si="86"/>
        <v>0</v>
      </c>
      <c r="P410" s="6">
        <f t="shared" si="87"/>
        <v>-543.70493100000033</v>
      </c>
      <c r="Q410" s="3">
        <v>-543.70493099999999</v>
      </c>
      <c r="R410" s="6">
        <f t="shared" si="88"/>
        <v>0</v>
      </c>
      <c r="S410" s="6" t="str">
        <f t="shared" si="89"/>
        <v>OK</v>
      </c>
    </row>
    <row r="411" spans="1:19" x14ac:dyDescent="0.25">
      <c r="A411" s="3" t="str">
        <f t="shared" si="90"/>
        <v>03.07.2026</v>
      </c>
      <c r="B411" s="5">
        <v>10</v>
      </c>
      <c r="C411" s="5" t="s">
        <v>108</v>
      </c>
      <c r="D411" s="3">
        <v>17</v>
      </c>
      <c r="E411" s="3">
        <v>17.067060000000001</v>
      </c>
      <c r="F411" s="6">
        <f t="shared" si="78"/>
        <v>6.7060000000001452E-2</v>
      </c>
      <c r="G411" s="6">
        <f t="shared" si="79"/>
        <v>3.9447058823530263E-3</v>
      </c>
      <c r="H411" s="6" t="str">
        <f t="shared" si="80"/>
        <v>🟢 Over-injection</v>
      </c>
      <c r="I411" s="6">
        <f t="shared" si="81"/>
        <v>-6.7060000000001452E-2</v>
      </c>
      <c r="J411" s="3">
        <v>4.6440000000000001</v>
      </c>
      <c r="K411" s="6">
        <f t="shared" si="82"/>
        <v>2.5499999999999998</v>
      </c>
      <c r="L411" s="6">
        <f t="shared" si="83"/>
        <v>3.4000000000000004</v>
      </c>
      <c r="M411" s="6">
        <f t="shared" si="84"/>
        <v>6.7060000000001452E-2</v>
      </c>
      <c r="N411" s="6">
        <f t="shared" si="85"/>
        <v>0</v>
      </c>
      <c r="O411" s="6">
        <f t="shared" si="86"/>
        <v>0</v>
      </c>
      <c r="P411" s="6">
        <f t="shared" si="87"/>
        <v>-62.285328000001357</v>
      </c>
      <c r="Q411" s="3">
        <v>-62.285328</v>
      </c>
      <c r="R411" s="6">
        <f t="shared" si="88"/>
        <v>-1.3571366253017914E-12</v>
      </c>
      <c r="S411" s="6" t="str">
        <f t="shared" si="89"/>
        <v>OK</v>
      </c>
    </row>
    <row r="412" spans="1:19" x14ac:dyDescent="0.25">
      <c r="A412" s="3" t="str">
        <f t="shared" si="90"/>
        <v>03.07.2026</v>
      </c>
      <c r="B412" s="5">
        <v>11</v>
      </c>
      <c r="C412" s="5" t="s">
        <v>107</v>
      </c>
      <c r="D412" s="3">
        <v>17</v>
      </c>
      <c r="E412" s="3">
        <v>17.067060000000001</v>
      </c>
      <c r="F412" s="6">
        <f t="shared" si="78"/>
        <v>6.7060000000001452E-2</v>
      </c>
      <c r="G412" s="6">
        <f t="shared" si="79"/>
        <v>3.9447058823530263E-3</v>
      </c>
      <c r="H412" s="6" t="str">
        <f t="shared" si="80"/>
        <v>🟢 Over-injection</v>
      </c>
      <c r="I412" s="6">
        <f t="shared" si="81"/>
        <v>-6.7060000000001452E-2</v>
      </c>
      <c r="J412" s="3">
        <v>4.3499999999999996</v>
      </c>
      <c r="K412" s="6">
        <f t="shared" si="82"/>
        <v>2.5499999999999998</v>
      </c>
      <c r="L412" s="6">
        <f t="shared" si="83"/>
        <v>3.4000000000000004</v>
      </c>
      <c r="M412" s="6">
        <f t="shared" si="84"/>
        <v>6.7060000000001452E-2</v>
      </c>
      <c r="N412" s="6">
        <f t="shared" si="85"/>
        <v>0</v>
      </c>
      <c r="O412" s="6">
        <f t="shared" si="86"/>
        <v>0</v>
      </c>
      <c r="P412" s="6">
        <f t="shared" si="87"/>
        <v>-58.34220000000127</v>
      </c>
      <c r="Q412" s="3">
        <v>-58.342199999999998</v>
      </c>
      <c r="R412" s="6">
        <f t="shared" si="88"/>
        <v>-1.2718714970105793E-12</v>
      </c>
      <c r="S412" s="6" t="str">
        <f t="shared" si="89"/>
        <v>OK</v>
      </c>
    </row>
    <row r="413" spans="1:19" x14ac:dyDescent="0.25">
      <c r="A413" s="3" t="str">
        <f t="shared" si="90"/>
        <v>03.07.2026</v>
      </c>
      <c r="B413" s="5">
        <v>12</v>
      </c>
      <c r="C413" s="5" t="s">
        <v>106</v>
      </c>
      <c r="D413" s="3">
        <v>17</v>
      </c>
      <c r="E413" s="3">
        <v>17.078399999999998</v>
      </c>
      <c r="F413" s="6">
        <f t="shared" si="78"/>
        <v>7.8399999999998471E-2</v>
      </c>
      <c r="G413" s="6">
        <f t="shared" si="79"/>
        <v>4.6117647058822632E-3</v>
      </c>
      <c r="H413" s="6" t="str">
        <f t="shared" si="80"/>
        <v>🟢 Over-injection</v>
      </c>
      <c r="I413" s="6">
        <f t="shared" si="81"/>
        <v>-7.8399999999998471E-2</v>
      </c>
      <c r="J413" s="3">
        <v>4.2030000000000003</v>
      </c>
      <c r="K413" s="6">
        <f t="shared" si="82"/>
        <v>2.5499999999999998</v>
      </c>
      <c r="L413" s="6">
        <f t="shared" si="83"/>
        <v>3.4000000000000004</v>
      </c>
      <c r="M413" s="6">
        <f t="shared" si="84"/>
        <v>7.8399999999998471E-2</v>
      </c>
      <c r="N413" s="6">
        <f t="shared" si="85"/>
        <v>0</v>
      </c>
      <c r="O413" s="6">
        <f t="shared" si="86"/>
        <v>0</v>
      </c>
      <c r="P413" s="6">
        <f t="shared" si="87"/>
        <v>-65.903039999998725</v>
      </c>
      <c r="Q413" s="3">
        <v>-65.903040000000004</v>
      </c>
      <c r="R413" s="6">
        <f t="shared" si="88"/>
        <v>1.2789769243681803E-12</v>
      </c>
      <c r="S413" s="6" t="str">
        <f t="shared" si="89"/>
        <v>OK</v>
      </c>
    </row>
    <row r="414" spans="1:19" x14ac:dyDescent="0.25">
      <c r="A414" s="3" t="str">
        <f t="shared" si="90"/>
        <v>03.07.2026</v>
      </c>
      <c r="B414" s="5">
        <v>13</v>
      </c>
      <c r="C414" s="5" t="s">
        <v>105</v>
      </c>
      <c r="D414" s="3">
        <v>17</v>
      </c>
      <c r="E414" s="3">
        <v>17.078399999999998</v>
      </c>
      <c r="F414" s="6">
        <f t="shared" si="78"/>
        <v>7.8399999999998471E-2</v>
      </c>
      <c r="G414" s="6">
        <f t="shared" si="79"/>
        <v>4.6117647058822632E-3</v>
      </c>
      <c r="H414" s="6" t="str">
        <f t="shared" si="80"/>
        <v>🟢 Over-injection</v>
      </c>
      <c r="I414" s="6">
        <f t="shared" si="81"/>
        <v>-7.8399999999998471E-2</v>
      </c>
      <c r="J414" s="3">
        <v>4.0301999999999998</v>
      </c>
      <c r="K414" s="6">
        <f t="shared" si="82"/>
        <v>2.5499999999999998</v>
      </c>
      <c r="L414" s="6">
        <f t="shared" si="83"/>
        <v>3.4000000000000004</v>
      </c>
      <c r="M414" s="6">
        <f t="shared" si="84"/>
        <v>7.8399999999998471E-2</v>
      </c>
      <c r="N414" s="6">
        <f t="shared" si="85"/>
        <v>0</v>
      </c>
      <c r="O414" s="6">
        <f t="shared" si="86"/>
        <v>0</v>
      </c>
      <c r="P414" s="6">
        <f t="shared" si="87"/>
        <v>-63.193535999998758</v>
      </c>
      <c r="Q414" s="3">
        <v>-63.193535999999995</v>
      </c>
      <c r="R414" s="6">
        <f t="shared" si="88"/>
        <v>1.2363443602225743E-12</v>
      </c>
      <c r="S414" s="6" t="str">
        <f t="shared" si="89"/>
        <v>OK</v>
      </c>
    </row>
    <row r="415" spans="1:19" x14ac:dyDescent="0.25">
      <c r="A415" s="3" t="str">
        <f t="shared" si="90"/>
        <v>03.07.2026</v>
      </c>
      <c r="B415" s="5">
        <v>14</v>
      </c>
      <c r="C415" s="5" t="s">
        <v>104</v>
      </c>
      <c r="D415" s="3">
        <v>17</v>
      </c>
      <c r="E415" s="3">
        <v>17.078399999999998</v>
      </c>
      <c r="F415" s="6">
        <f t="shared" si="78"/>
        <v>7.8399999999998471E-2</v>
      </c>
      <c r="G415" s="6">
        <f t="shared" si="79"/>
        <v>4.6117647058822632E-3</v>
      </c>
      <c r="H415" s="6" t="str">
        <f t="shared" si="80"/>
        <v>🟢 Over-injection</v>
      </c>
      <c r="I415" s="6">
        <f t="shared" si="81"/>
        <v>-7.8399999999998471E-2</v>
      </c>
      <c r="J415" s="3">
        <v>4.0231000000000003</v>
      </c>
      <c r="K415" s="6">
        <f t="shared" si="82"/>
        <v>2.5499999999999998</v>
      </c>
      <c r="L415" s="6">
        <f t="shared" si="83"/>
        <v>3.4000000000000004</v>
      </c>
      <c r="M415" s="6">
        <f t="shared" si="84"/>
        <v>7.8399999999998471E-2</v>
      </c>
      <c r="N415" s="6">
        <f t="shared" si="85"/>
        <v>0</v>
      </c>
      <c r="O415" s="6">
        <f t="shared" si="86"/>
        <v>0</v>
      </c>
      <c r="P415" s="6">
        <f t="shared" si="87"/>
        <v>-63.082207999998779</v>
      </c>
      <c r="Q415" s="3">
        <v>-63.082208000000001</v>
      </c>
      <c r="R415" s="6">
        <f t="shared" si="88"/>
        <v>1.2221335055073723E-12</v>
      </c>
      <c r="S415" s="6" t="str">
        <f t="shared" si="89"/>
        <v>OK</v>
      </c>
    </row>
    <row r="416" spans="1:19" x14ac:dyDescent="0.25">
      <c r="A416" s="3" t="str">
        <f t="shared" si="90"/>
        <v>03.07.2026</v>
      </c>
      <c r="B416" s="5">
        <v>15</v>
      </c>
      <c r="C416" s="5" t="s">
        <v>103</v>
      </c>
      <c r="D416" s="3">
        <v>17</v>
      </c>
      <c r="E416" s="3">
        <v>17.078399999999998</v>
      </c>
      <c r="F416" s="6">
        <f t="shared" si="78"/>
        <v>7.8399999999998471E-2</v>
      </c>
      <c r="G416" s="6">
        <f t="shared" si="79"/>
        <v>4.6117647058822632E-3</v>
      </c>
      <c r="H416" s="6" t="str">
        <f t="shared" si="80"/>
        <v>🟢 Over-injection</v>
      </c>
      <c r="I416" s="6">
        <f t="shared" si="81"/>
        <v>-7.8399999999998471E-2</v>
      </c>
      <c r="J416" s="3">
        <v>4.0235000000000003</v>
      </c>
      <c r="K416" s="6">
        <f t="shared" si="82"/>
        <v>2.5499999999999998</v>
      </c>
      <c r="L416" s="6">
        <f t="shared" si="83"/>
        <v>3.4000000000000004</v>
      </c>
      <c r="M416" s="6">
        <f t="shared" si="84"/>
        <v>7.8399999999998471E-2</v>
      </c>
      <c r="N416" s="6">
        <f t="shared" si="85"/>
        <v>0</v>
      </c>
      <c r="O416" s="6">
        <f t="shared" si="86"/>
        <v>0</v>
      </c>
      <c r="P416" s="6">
        <f t="shared" si="87"/>
        <v>-63.088479999998782</v>
      </c>
      <c r="Q416" s="3">
        <v>-63.088480000000004</v>
      </c>
      <c r="R416" s="6">
        <f t="shared" si="88"/>
        <v>1.2221335055073723E-12</v>
      </c>
      <c r="S416" s="6" t="str">
        <f t="shared" si="89"/>
        <v>OK</v>
      </c>
    </row>
    <row r="417" spans="1:19" x14ac:dyDescent="0.25">
      <c r="A417" s="3" t="str">
        <f t="shared" si="90"/>
        <v>03.07.2026</v>
      </c>
      <c r="B417" s="5">
        <v>16</v>
      </c>
      <c r="C417" s="5" t="s">
        <v>102</v>
      </c>
      <c r="D417" s="3">
        <v>17</v>
      </c>
      <c r="E417" s="3">
        <v>17.089749999999999</v>
      </c>
      <c r="F417" s="6">
        <f t="shared" si="78"/>
        <v>8.9749999999998664E-2</v>
      </c>
      <c r="G417" s="6">
        <f t="shared" si="79"/>
        <v>5.2794117647058034E-3</v>
      </c>
      <c r="H417" s="6" t="str">
        <f t="shared" si="80"/>
        <v>🟢 Over-injection</v>
      </c>
      <c r="I417" s="6">
        <f t="shared" si="81"/>
        <v>-8.9749999999998664E-2</v>
      </c>
      <c r="J417" s="3">
        <v>4.0293000000000001</v>
      </c>
      <c r="K417" s="6">
        <f t="shared" si="82"/>
        <v>2.5499999999999998</v>
      </c>
      <c r="L417" s="6">
        <f t="shared" si="83"/>
        <v>3.4000000000000004</v>
      </c>
      <c r="M417" s="6">
        <f t="shared" si="84"/>
        <v>8.9749999999998664E-2</v>
      </c>
      <c r="N417" s="6">
        <f t="shared" si="85"/>
        <v>0</v>
      </c>
      <c r="O417" s="6">
        <f t="shared" si="86"/>
        <v>0</v>
      </c>
      <c r="P417" s="6">
        <f t="shared" si="87"/>
        <v>-72.325934999998921</v>
      </c>
      <c r="Q417" s="3">
        <v>-72.325934999999987</v>
      </c>
      <c r="R417" s="6">
        <f t="shared" si="88"/>
        <v>1.0658141036401503E-12</v>
      </c>
      <c r="S417" s="6" t="str">
        <f t="shared" si="89"/>
        <v>OK</v>
      </c>
    </row>
    <row r="418" spans="1:19" x14ac:dyDescent="0.25">
      <c r="A418" s="3" t="str">
        <f t="shared" si="90"/>
        <v>03.07.2026</v>
      </c>
      <c r="B418" s="5">
        <v>17</v>
      </c>
      <c r="C418" s="5" t="s">
        <v>101</v>
      </c>
      <c r="D418" s="3">
        <v>15</v>
      </c>
      <c r="E418" s="3">
        <v>15.77341</v>
      </c>
      <c r="F418" s="6">
        <f t="shared" si="78"/>
        <v>0.77341000000000015</v>
      </c>
      <c r="G418" s="6">
        <f t="shared" si="79"/>
        <v>5.1560666666666678E-2</v>
      </c>
      <c r="H418" s="6" t="str">
        <f t="shared" si="80"/>
        <v>🟢 Over-injection</v>
      </c>
      <c r="I418" s="6">
        <f t="shared" si="81"/>
        <v>-0.77341000000000015</v>
      </c>
      <c r="J418" s="3">
        <v>3.87</v>
      </c>
      <c r="K418" s="6">
        <f t="shared" si="82"/>
        <v>2.25</v>
      </c>
      <c r="L418" s="6">
        <f t="shared" si="83"/>
        <v>3</v>
      </c>
      <c r="M418" s="6">
        <f t="shared" si="84"/>
        <v>0.77341000000000015</v>
      </c>
      <c r="N418" s="6">
        <f t="shared" si="85"/>
        <v>0</v>
      </c>
      <c r="O418" s="6">
        <f t="shared" si="86"/>
        <v>0</v>
      </c>
      <c r="P418" s="6">
        <f t="shared" si="87"/>
        <v>-598.61934000000019</v>
      </c>
      <c r="Q418" s="3">
        <v>-598.61934000000008</v>
      </c>
      <c r="R418" s="6">
        <f t="shared" si="88"/>
        <v>0</v>
      </c>
      <c r="S418" s="6" t="str">
        <f t="shared" si="89"/>
        <v>OK</v>
      </c>
    </row>
    <row r="419" spans="1:19" x14ac:dyDescent="0.25">
      <c r="A419" s="3" t="str">
        <f t="shared" si="90"/>
        <v>03.07.2026</v>
      </c>
      <c r="B419" s="5">
        <v>18</v>
      </c>
      <c r="C419" s="5" t="s">
        <v>100</v>
      </c>
      <c r="D419" s="3">
        <v>15</v>
      </c>
      <c r="E419" s="3">
        <v>15.353540000000001</v>
      </c>
      <c r="F419" s="6">
        <f t="shared" si="78"/>
        <v>0.35354000000000063</v>
      </c>
      <c r="G419" s="6">
        <f t="shared" si="79"/>
        <v>2.3569333333333376E-2</v>
      </c>
      <c r="H419" s="6" t="str">
        <f t="shared" si="80"/>
        <v>🟢 Over-injection</v>
      </c>
      <c r="I419" s="6">
        <f t="shared" si="81"/>
        <v>-0.35354000000000063</v>
      </c>
      <c r="J419" s="3">
        <v>4.0659000000000001</v>
      </c>
      <c r="K419" s="6">
        <f t="shared" si="82"/>
        <v>2.25</v>
      </c>
      <c r="L419" s="6">
        <f t="shared" si="83"/>
        <v>3</v>
      </c>
      <c r="M419" s="6">
        <f t="shared" si="84"/>
        <v>0.35354000000000063</v>
      </c>
      <c r="N419" s="6">
        <f t="shared" si="85"/>
        <v>0</v>
      </c>
      <c r="O419" s="6">
        <f t="shared" si="86"/>
        <v>0</v>
      </c>
      <c r="P419" s="6">
        <f t="shared" si="87"/>
        <v>-287.49165720000053</v>
      </c>
      <c r="Q419" s="3">
        <v>-287.49165720000002</v>
      </c>
      <c r="R419" s="6">
        <f t="shared" si="88"/>
        <v>-5.1159076974727213E-13</v>
      </c>
      <c r="S419" s="6" t="str">
        <f t="shared" si="89"/>
        <v>OK</v>
      </c>
    </row>
    <row r="420" spans="1:19" x14ac:dyDescent="0.25">
      <c r="A420" s="3" t="str">
        <f t="shared" si="90"/>
        <v>03.07.2026</v>
      </c>
      <c r="B420" s="5">
        <v>19</v>
      </c>
      <c r="C420" s="5" t="s">
        <v>99</v>
      </c>
      <c r="D420" s="3">
        <v>15</v>
      </c>
      <c r="E420" s="3">
        <v>15.364890000000001</v>
      </c>
      <c r="F420" s="6">
        <f t="shared" si="78"/>
        <v>0.36489000000000082</v>
      </c>
      <c r="G420" s="6">
        <f t="shared" si="79"/>
        <v>2.4326000000000056E-2</v>
      </c>
      <c r="H420" s="6" t="str">
        <f t="shared" si="80"/>
        <v>🟢 Over-injection</v>
      </c>
      <c r="I420" s="6">
        <f t="shared" si="81"/>
        <v>-0.36489000000000082</v>
      </c>
      <c r="J420" s="3">
        <v>3.968</v>
      </c>
      <c r="K420" s="6">
        <f t="shared" si="82"/>
        <v>2.25</v>
      </c>
      <c r="L420" s="6">
        <f t="shared" si="83"/>
        <v>3</v>
      </c>
      <c r="M420" s="6">
        <f t="shared" si="84"/>
        <v>0.36489000000000082</v>
      </c>
      <c r="N420" s="6">
        <f t="shared" si="85"/>
        <v>0</v>
      </c>
      <c r="O420" s="6">
        <f t="shared" si="86"/>
        <v>0</v>
      </c>
      <c r="P420" s="6">
        <f t="shared" si="87"/>
        <v>-289.57670400000069</v>
      </c>
      <c r="Q420" s="3">
        <v>-289.57670400000001</v>
      </c>
      <c r="R420" s="6">
        <f t="shared" si="88"/>
        <v>-6.8212102632969618E-13</v>
      </c>
      <c r="S420" s="6" t="str">
        <f t="shared" si="89"/>
        <v>OK</v>
      </c>
    </row>
    <row r="421" spans="1:19" x14ac:dyDescent="0.25">
      <c r="A421" s="3" t="str">
        <f t="shared" si="90"/>
        <v>03.07.2026</v>
      </c>
      <c r="B421" s="5">
        <v>20</v>
      </c>
      <c r="C421" s="5" t="s">
        <v>98</v>
      </c>
      <c r="D421" s="3">
        <v>15</v>
      </c>
      <c r="E421" s="3">
        <v>15.364890000000001</v>
      </c>
      <c r="F421" s="6">
        <f t="shared" si="78"/>
        <v>0.36489000000000082</v>
      </c>
      <c r="G421" s="6">
        <f t="shared" si="79"/>
        <v>2.4326000000000056E-2</v>
      </c>
      <c r="H421" s="6" t="str">
        <f t="shared" si="80"/>
        <v>🟢 Over-injection</v>
      </c>
      <c r="I421" s="6">
        <f t="shared" si="81"/>
        <v>-0.36489000000000082</v>
      </c>
      <c r="J421" s="3">
        <v>4.0166000000000004</v>
      </c>
      <c r="K421" s="6">
        <f t="shared" si="82"/>
        <v>2.25</v>
      </c>
      <c r="L421" s="6">
        <f t="shared" si="83"/>
        <v>3</v>
      </c>
      <c r="M421" s="6">
        <f t="shared" si="84"/>
        <v>0.36489000000000082</v>
      </c>
      <c r="N421" s="6">
        <f t="shared" si="85"/>
        <v>0</v>
      </c>
      <c r="O421" s="6">
        <f t="shared" si="86"/>
        <v>0</v>
      </c>
      <c r="P421" s="6">
        <f t="shared" si="87"/>
        <v>-293.12343480000067</v>
      </c>
      <c r="Q421" s="3">
        <v>-293.12343480000004</v>
      </c>
      <c r="R421" s="6">
        <f t="shared" si="88"/>
        <v>-6.2527760746888816E-13</v>
      </c>
      <c r="S421" s="6" t="str">
        <f t="shared" si="89"/>
        <v>OK</v>
      </c>
    </row>
    <row r="422" spans="1:19" x14ac:dyDescent="0.25">
      <c r="A422" s="3" t="str">
        <f t="shared" si="90"/>
        <v>03.07.2026</v>
      </c>
      <c r="B422" s="5">
        <v>21</v>
      </c>
      <c r="C422" s="5" t="s">
        <v>97</v>
      </c>
      <c r="D422" s="3">
        <v>15</v>
      </c>
      <c r="E422" s="3">
        <v>15.364890000000001</v>
      </c>
      <c r="F422" s="6">
        <f t="shared" si="78"/>
        <v>0.36489000000000082</v>
      </c>
      <c r="G422" s="6">
        <f t="shared" si="79"/>
        <v>2.4326000000000056E-2</v>
      </c>
      <c r="H422" s="6" t="str">
        <f t="shared" si="80"/>
        <v>🟢 Over-injection</v>
      </c>
      <c r="I422" s="6">
        <f t="shared" si="81"/>
        <v>-0.36489000000000082</v>
      </c>
      <c r="J422" s="3">
        <v>4.1017999999999999</v>
      </c>
      <c r="K422" s="6">
        <f t="shared" si="82"/>
        <v>2.25</v>
      </c>
      <c r="L422" s="6">
        <f t="shared" si="83"/>
        <v>3</v>
      </c>
      <c r="M422" s="6">
        <f t="shared" si="84"/>
        <v>0.36489000000000082</v>
      </c>
      <c r="N422" s="6">
        <f t="shared" si="85"/>
        <v>0</v>
      </c>
      <c r="O422" s="6">
        <f t="shared" si="86"/>
        <v>0</v>
      </c>
      <c r="P422" s="6">
        <f t="shared" si="87"/>
        <v>-299.34116040000072</v>
      </c>
      <c r="Q422" s="3">
        <v>-299.34116039999998</v>
      </c>
      <c r="R422" s="6">
        <f t="shared" si="88"/>
        <v>-7.3896444519050419E-13</v>
      </c>
      <c r="S422" s="6" t="str">
        <f t="shared" si="89"/>
        <v>OK</v>
      </c>
    </row>
    <row r="423" spans="1:19" x14ac:dyDescent="0.25">
      <c r="A423" s="3" t="str">
        <f t="shared" si="90"/>
        <v>03.07.2026</v>
      </c>
      <c r="B423" s="5">
        <v>22</v>
      </c>
      <c r="C423" s="5" t="s">
        <v>96</v>
      </c>
      <c r="D423" s="3">
        <v>15</v>
      </c>
      <c r="E423" s="3">
        <v>15.37623</v>
      </c>
      <c r="F423" s="6">
        <f t="shared" si="78"/>
        <v>0.37622999999999962</v>
      </c>
      <c r="G423" s="6">
        <f t="shared" si="79"/>
        <v>2.5081999999999976E-2</v>
      </c>
      <c r="H423" s="6" t="str">
        <f t="shared" si="80"/>
        <v>🟢 Over-injection</v>
      </c>
      <c r="I423" s="6">
        <f t="shared" si="81"/>
        <v>-0.37622999999999962</v>
      </c>
      <c r="J423" s="3">
        <v>4.4009</v>
      </c>
      <c r="K423" s="6">
        <f t="shared" si="82"/>
        <v>2.25</v>
      </c>
      <c r="L423" s="6">
        <f t="shared" si="83"/>
        <v>3</v>
      </c>
      <c r="M423" s="6">
        <f t="shared" si="84"/>
        <v>0.37622999999999962</v>
      </c>
      <c r="N423" s="6">
        <f t="shared" si="85"/>
        <v>0</v>
      </c>
      <c r="O423" s="6">
        <f t="shared" si="86"/>
        <v>0</v>
      </c>
      <c r="P423" s="6">
        <f t="shared" si="87"/>
        <v>-331.15012139999965</v>
      </c>
      <c r="Q423" s="3">
        <v>-331.15012140000005</v>
      </c>
      <c r="R423" s="6">
        <f t="shared" si="88"/>
        <v>0</v>
      </c>
      <c r="S423" s="6" t="str">
        <f t="shared" si="89"/>
        <v>OK</v>
      </c>
    </row>
    <row r="424" spans="1:19" x14ac:dyDescent="0.25">
      <c r="A424" s="3" t="str">
        <f t="shared" si="90"/>
        <v>03.07.2026</v>
      </c>
      <c r="B424" s="5">
        <v>23</v>
      </c>
      <c r="C424" s="5" t="s">
        <v>95</v>
      </c>
      <c r="D424" s="3">
        <v>15</v>
      </c>
      <c r="E424" s="3">
        <v>15.37623</v>
      </c>
      <c r="F424" s="6">
        <f t="shared" si="78"/>
        <v>0.37622999999999962</v>
      </c>
      <c r="G424" s="6">
        <f t="shared" si="79"/>
        <v>2.5081999999999976E-2</v>
      </c>
      <c r="H424" s="6" t="str">
        <f t="shared" si="80"/>
        <v>🟢 Over-injection</v>
      </c>
      <c r="I424" s="6">
        <f t="shared" si="81"/>
        <v>-0.37622999999999962</v>
      </c>
      <c r="J424" s="3">
        <v>4.5114000000000001</v>
      </c>
      <c r="K424" s="6">
        <f t="shared" si="82"/>
        <v>2.25</v>
      </c>
      <c r="L424" s="6">
        <f t="shared" si="83"/>
        <v>3</v>
      </c>
      <c r="M424" s="6">
        <f t="shared" si="84"/>
        <v>0.37622999999999962</v>
      </c>
      <c r="N424" s="6">
        <f t="shared" si="85"/>
        <v>0</v>
      </c>
      <c r="O424" s="6">
        <f t="shared" si="86"/>
        <v>0</v>
      </c>
      <c r="P424" s="6">
        <f t="shared" si="87"/>
        <v>-339.46480439999965</v>
      </c>
      <c r="Q424" s="3">
        <v>-339.46480440000005</v>
      </c>
      <c r="R424" s="6">
        <f t="shared" si="88"/>
        <v>0</v>
      </c>
      <c r="S424" s="6" t="str">
        <f t="shared" si="89"/>
        <v>OK</v>
      </c>
    </row>
    <row r="425" spans="1:19" x14ac:dyDescent="0.25">
      <c r="A425" s="3" t="str">
        <f t="shared" si="90"/>
        <v>03.07.2026</v>
      </c>
      <c r="B425" s="5">
        <v>24</v>
      </c>
      <c r="C425" s="5" t="s">
        <v>94</v>
      </c>
      <c r="D425" s="3">
        <v>15</v>
      </c>
      <c r="E425" s="3">
        <v>15.387589999999999</v>
      </c>
      <c r="F425" s="6">
        <f t="shared" si="78"/>
        <v>0.38758999999999943</v>
      </c>
      <c r="G425" s="6">
        <f t="shared" si="79"/>
        <v>2.5839333333333294E-2</v>
      </c>
      <c r="H425" s="6" t="str">
        <f t="shared" si="80"/>
        <v>🟢 Over-injection</v>
      </c>
      <c r="I425" s="6">
        <f t="shared" si="81"/>
        <v>-0.38758999999999943</v>
      </c>
      <c r="J425" s="3">
        <v>4.5114999999999998</v>
      </c>
      <c r="K425" s="6">
        <f t="shared" si="82"/>
        <v>2.25</v>
      </c>
      <c r="L425" s="6">
        <f t="shared" si="83"/>
        <v>3</v>
      </c>
      <c r="M425" s="6">
        <f t="shared" si="84"/>
        <v>0.38758999999999943</v>
      </c>
      <c r="N425" s="6">
        <f t="shared" si="85"/>
        <v>0</v>
      </c>
      <c r="O425" s="6">
        <f t="shared" si="86"/>
        <v>0</v>
      </c>
      <c r="P425" s="6">
        <f t="shared" si="87"/>
        <v>-349.72245699999951</v>
      </c>
      <c r="Q425" s="3">
        <v>-349.72245699999996</v>
      </c>
      <c r="R425" s="6">
        <f t="shared" si="88"/>
        <v>4.5474735088646412E-13</v>
      </c>
      <c r="S425" s="6" t="str">
        <f t="shared" si="89"/>
        <v>OK</v>
      </c>
    </row>
    <row r="426" spans="1:19" x14ac:dyDescent="0.25">
      <c r="A426" s="3" t="str">
        <f t="shared" si="90"/>
        <v>03.07.2026</v>
      </c>
      <c r="B426" s="5">
        <v>25</v>
      </c>
      <c r="C426" s="5" t="s">
        <v>93</v>
      </c>
      <c r="D426" s="3">
        <v>15</v>
      </c>
      <c r="E426" s="3">
        <v>15.387589999999999</v>
      </c>
      <c r="F426" s="6">
        <f t="shared" si="78"/>
        <v>0.38758999999999943</v>
      </c>
      <c r="G426" s="6">
        <f t="shared" si="79"/>
        <v>2.5839333333333294E-2</v>
      </c>
      <c r="H426" s="6" t="str">
        <f t="shared" si="80"/>
        <v>🟢 Over-injection</v>
      </c>
      <c r="I426" s="6">
        <f t="shared" si="81"/>
        <v>-0.38758999999999943</v>
      </c>
      <c r="J426" s="3">
        <v>4.0843999999999996</v>
      </c>
      <c r="K426" s="6">
        <f t="shared" si="82"/>
        <v>2.25</v>
      </c>
      <c r="L426" s="6">
        <f t="shared" si="83"/>
        <v>3</v>
      </c>
      <c r="M426" s="6">
        <f t="shared" si="84"/>
        <v>0.38758999999999943</v>
      </c>
      <c r="N426" s="6">
        <f t="shared" si="85"/>
        <v>0</v>
      </c>
      <c r="O426" s="6">
        <f t="shared" si="86"/>
        <v>0</v>
      </c>
      <c r="P426" s="6">
        <f t="shared" si="87"/>
        <v>-316.61451919999956</v>
      </c>
      <c r="Q426" s="3">
        <v>-316.61451919999996</v>
      </c>
      <c r="R426" s="6">
        <f t="shared" si="88"/>
        <v>0</v>
      </c>
      <c r="S426" s="6" t="str">
        <f t="shared" si="89"/>
        <v>OK</v>
      </c>
    </row>
    <row r="427" spans="1:19" x14ac:dyDescent="0.25">
      <c r="A427" s="3" t="str">
        <f t="shared" si="90"/>
        <v>03.07.2026</v>
      </c>
      <c r="B427" s="5">
        <v>26</v>
      </c>
      <c r="C427" s="5" t="s">
        <v>92</v>
      </c>
      <c r="D427" s="3">
        <v>15</v>
      </c>
      <c r="E427" s="3">
        <v>15.387589999999999</v>
      </c>
      <c r="F427" s="6">
        <f t="shared" si="78"/>
        <v>0.38758999999999943</v>
      </c>
      <c r="G427" s="6">
        <f t="shared" si="79"/>
        <v>2.5839333333333294E-2</v>
      </c>
      <c r="H427" s="6" t="str">
        <f t="shared" si="80"/>
        <v>🟢 Over-injection</v>
      </c>
      <c r="I427" s="6">
        <f t="shared" si="81"/>
        <v>-0.38758999999999943</v>
      </c>
      <c r="J427" s="3">
        <v>4.1401000000000003</v>
      </c>
      <c r="K427" s="6">
        <f t="shared" si="82"/>
        <v>2.25</v>
      </c>
      <c r="L427" s="6">
        <f t="shared" si="83"/>
        <v>3</v>
      </c>
      <c r="M427" s="6">
        <f t="shared" si="84"/>
        <v>0.38758999999999943</v>
      </c>
      <c r="N427" s="6">
        <f t="shared" si="85"/>
        <v>0</v>
      </c>
      <c r="O427" s="6">
        <f t="shared" si="86"/>
        <v>0</v>
      </c>
      <c r="P427" s="6">
        <f t="shared" si="87"/>
        <v>-320.93227179999957</v>
      </c>
      <c r="Q427" s="3">
        <v>-320.93227180000002</v>
      </c>
      <c r="R427" s="6">
        <f t="shared" si="88"/>
        <v>4.5474735088646412E-13</v>
      </c>
      <c r="S427" s="6" t="str">
        <f t="shared" si="89"/>
        <v>OK</v>
      </c>
    </row>
    <row r="428" spans="1:19" x14ac:dyDescent="0.25">
      <c r="A428" s="3" t="str">
        <f t="shared" si="90"/>
        <v>03.07.2026</v>
      </c>
      <c r="B428" s="5">
        <v>27</v>
      </c>
      <c r="C428" s="5" t="s">
        <v>91</v>
      </c>
      <c r="D428" s="3">
        <v>15</v>
      </c>
      <c r="E428" s="3">
        <v>15.39893</v>
      </c>
      <c r="F428" s="6">
        <f t="shared" si="78"/>
        <v>0.39893000000000001</v>
      </c>
      <c r="G428" s="6">
        <f t="shared" si="79"/>
        <v>2.6595333333333335E-2</v>
      </c>
      <c r="H428" s="6" t="str">
        <f t="shared" si="80"/>
        <v>🟢 Over-injection</v>
      </c>
      <c r="I428" s="6">
        <f t="shared" si="81"/>
        <v>-0.39893000000000001</v>
      </c>
      <c r="J428" s="3">
        <v>4.1410999999999998</v>
      </c>
      <c r="K428" s="6">
        <f t="shared" si="82"/>
        <v>2.25</v>
      </c>
      <c r="L428" s="6">
        <f t="shared" si="83"/>
        <v>3</v>
      </c>
      <c r="M428" s="6">
        <f t="shared" si="84"/>
        <v>0.39893000000000001</v>
      </c>
      <c r="N428" s="6">
        <f t="shared" si="85"/>
        <v>0</v>
      </c>
      <c r="O428" s="6">
        <f t="shared" si="86"/>
        <v>0</v>
      </c>
      <c r="P428" s="6">
        <f t="shared" si="87"/>
        <v>-330.40180459999999</v>
      </c>
      <c r="Q428" s="3">
        <v>-330.40180459999999</v>
      </c>
      <c r="R428" s="6">
        <f t="shared" si="88"/>
        <v>0</v>
      </c>
      <c r="S428" s="6" t="str">
        <f t="shared" si="89"/>
        <v>OK</v>
      </c>
    </row>
    <row r="429" spans="1:19" x14ac:dyDescent="0.25">
      <c r="A429" s="3" t="str">
        <f t="shared" si="90"/>
        <v>03.07.2026</v>
      </c>
      <c r="B429" s="5">
        <v>28</v>
      </c>
      <c r="C429" s="5" t="s">
        <v>90</v>
      </c>
      <c r="D429" s="3">
        <v>15</v>
      </c>
      <c r="E429" s="3">
        <v>15.41028</v>
      </c>
      <c r="F429" s="6">
        <f t="shared" si="78"/>
        <v>0.4102800000000002</v>
      </c>
      <c r="G429" s="6">
        <f t="shared" si="79"/>
        <v>2.7352000000000012E-2</v>
      </c>
      <c r="H429" s="6" t="str">
        <f t="shared" si="80"/>
        <v>🟢 Over-injection</v>
      </c>
      <c r="I429" s="6">
        <f t="shared" si="81"/>
        <v>-0.4102800000000002</v>
      </c>
      <c r="J429" s="3">
        <v>3.97</v>
      </c>
      <c r="K429" s="6">
        <f t="shared" si="82"/>
        <v>2.25</v>
      </c>
      <c r="L429" s="6">
        <f t="shared" si="83"/>
        <v>3</v>
      </c>
      <c r="M429" s="6">
        <f t="shared" si="84"/>
        <v>0.4102800000000002</v>
      </c>
      <c r="N429" s="6">
        <f t="shared" si="85"/>
        <v>0</v>
      </c>
      <c r="O429" s="6">
        <f t="shared" si="86"/>
        <v>0</v>
      </c>
      <c r="P429" s="6">
        <f t="shared" si="87"/>
        <v>-325.76232000000022</v>
      </c>
      <c r="Q429" s="3">
        <v>-325.76231999999999</v>
      </c>
      <c r="R429" s="6">
        <f t="shared" si="88"/>
        <v>0</v>
      </c>
      <c r="S429" s="6" t="str">
        <f t="shared" si="89"/>
        <v>OK</v>
      </c>
    </row>
    <row r="430" spans="1:19" x14ac:dyDescent="0.25">
      <c r="A430" s="3" t="str">
        <f t="shared" si="90"/>
        <v>03.07.2026</v>
      </c>
      <c r="B430" s="5">
        <v>29</v>
      </c>
      <c r="C430" s="5" t="s">
        <v>89</v>
      </c>
      <c r="D430" s="3">
        <v>15</v>
      </c>
      <c r="E430" s="3">
        <v>15.41028</v>
      </c>
      <c r="F430" s="6">
        <f t="shared" si="78"/>
        <v>0.4102800000000002</v>
      </c>
      <c r="G430" s="6">
        <f t="shared" si="79"/>
        <v>2.7352000000000012E-2</v>
      </c>
      <c r="H430" s="6" t="str">
        <f t="shared" si="80"/>
        <v>🟢 Over-injection</v>
      </c>
      <c r="I430" s="6">
        <f t="shared" si="81"/>
        <v>-0.4102800000000002</v>
      </c>
      <c r="J430" s="3">
        <v>3.8849999999999998</v>
      </c>
      <c r="K430" s="6">
        <f t="shared" si="82"/>
        <v>2.25</v>
      </c>
      <c r="L430" s="6">
        <f t="shared" si="83"/>
        <v>3</v>
      </c>
      <c r="M430" s="6">
        <f t="shared" si="84"/>
        <v>0.4102800000000002</v>
      </c>
      <c r="N430" s="6">
        <f t="shared" si="85"/>
        <v>0</v>
      </c>
      <c r="O430" s="6">
        <f t="shared" si="86"/>
        <v>0</v>
      </c>
      <c r="P430" s="6">
        <f t="shared" si="87"/>
        <v>-318.78756000000016</v>
      </c>
      <c r="Q430" s="3">
        <v>-318.78755999999998</v>
      </c>
      <c r="R430" s="6">
        <f t="shared" si="88"/>
        <v>0</v>
      </c>
      <c r="S430" s="6" t="str">
        <f t="shared" si="89"/>
        <v>OK</v>
      </c>
    </row>
    <row r="431" spans="1:19" x14ac:dyDescent="0.25">
      <c r="A431" s="3" t="str">
        <f t="shared" si="90"/>
        <v>03.07.2026</v>
      </c>
      <c r="B431" s="5">
        <v>30</v>
      </c>
      <c r="C431" s="5" t="s">
        <v>88</v>
      </c>
      <c r="D431" s="3">
        <v>15</v>
      </c>
      <c r="E431" s="3">
        <v>15.41028</v>
      </c>
      <c r="F431" s="6">
        <f t="shared" si="78"/>
        <v>0.4102800000000002</v>
      </c>
      <c r="G431" s="6">
        <f t="shared" si="79"/>
        <v>2.7352000000000012E-2</v>
      </c>
      <c r="H431" s="6" t="str">
        <f t="shared" si="80"/>
        <v>🟢 Over-injection</v>
      </c>
      <c r="I431" s="6">
        <f t="shared" si="81"/>
        <v>-0.4102800000000002</v>
      </c>
      <c r="J431" s="3">
        <v>3.4883999999999999</v>
      </c>
      <c r="K431" s="6">
        <f t="shared" si="82"/>
        <v>2.25</v>
      </c>
      <c r="L431" s="6">
        <f t="shared" si="83"/>
        <v>3</v>
      </c>
      <c r="M431" s="6">
        <f t="shared" si="84"/>
        <v>0.4102800000000002</v>
      </c>
      <c r="N431" s="6">
        <f t="shared" si="85"/>
        <v>0</v>
      </c>
      <c r="O431" s="6">
        <f t="shared" si="86"/>
        <v>0</v>
      </c>
      <c r="P431" s="6">
        <f t="shared" si="87"/>
        <v>-286.24415040000019</v>
      </c>
      <c r="Q431" s="3">
        <v>-286.24415040000002</v>
      </c>
      <c r="R431" s="6">
        <f t="shared" si="88"/>
        <v>0</v>
      </c>
      <c r="S431" s="6" t="str">
        <f t="shared" si="89"/>
        <v>OK</v>
      </c>
    </row>
    <row r="432" spans="1:19" x14ac:dyDescent="0.25">
      <c r="A432" s="3" t="str">
        <f t="shared" si="90"/>
        <v>03.07.2026</v>
      </c>
      <c r="B432" s="5">
        <v>31</v>
      </c>
      <c r="C432" s="5" t="s">
        <v>87</v>
      </c>
      <c r="D432" s="3">
        <v>15</v>
      </c>
      <c r="E432" s="3">
        <v>15.41028</v>
      </c>
      <c r="F432" s="6">
        <f t="shared" si="78"/>
        <v>0.4102800000000002</v>
      </c>
      <c r="G432" s="6">
        <f t="shared" si="79"/>
        <v>2.7352000000000012E-2</v>
      </c>
      <c r="H432" s="6" t="str">
        <f t="shared" si="80"/>
        <v>🟢 Over-injection</v>
      </c>
      <c r="I432" s="6">
        <f t="shared" si="81"/>
        <v>-0.4102800000000002</v>
      </c>
      <c r="J432" s="3">
        <v>3.18</v>
      </c>
      <c r="K432" s="6">
        <f t="shared" si="82"/>
        <v>2.25</v>
      </c>
      <c r="L432" s="6">
        <f t="shared" si="83"/>
        <v>3</v>
      </c>
      <c r="M432" s="6">
        <f t="shared" si="84"/>
        <v>0.4102800000000002</v>
      </c>
      <c r="N432" s="6">
        <f t="shared" si="85"/>
        <v>0</v>
      </c>
      <c r="O432" s="6">
        <f t="shared" si="86"/>
        <v>0</v>
      </c>
      <c r="P432" s="6">
        <f t="shared" si="87"/>
        <v>-260.93808000000018</v>
      </c>
      <c r="Q432" s="3">
        <v>-260.93808000000001</v>
      </c>
      <c r="R432" s="6">
        <f t="shared" si="88"/>
        <v>0</v>
      </c>
      <c r="S432" s="6" t="str">
        <f t="shared" si="89"/>
        <v>OK</v>
      </c>
    </row>
    <row r="433" spans="1:19" x14ac:dyDescent="0.25">
      <c r="A433" s="3" t="str">
        <f t="shared" si="90"/>
        <v>03.07.2026</v>
      </c>
      <c r="B433" s="5">
        <v>32</v>
      </c>
      <c r="C433" s="5" t="s">
        <v>86</v>
      </c>
      <c r="D433" s="3">
        <v>15</v>
      </c>
      <c r="E433" s="3">
        <v>15.421620000000001</v>
      </c>
      <c r="F433" s="6">
        <f t="shared" si="78"/>
        <v>0.42162000000000077</v>
      </c>
      <c r="G433" s="6">
        <f t="shared" si="79"/>
        <v>2.8108000000000053E-2</v>
      </c>
      <c r="H433" s="6" t="str">
        <f t="shared" si="80"/>
        <v>🟢 Over-injection</v>
      </c>
      <c r="I433" s="6">
        <f t="shared" si="81"/>
        <v>-0.42162000000000077</v>
      </c>
      <c r="J433" s="3">
        <v>2.8052999999999999</v>
      </c>
      <c r="K433" s="6">
        <f t="shared" si="82"/>
        <v>2.25</v>
      </c>
      <c r="L433" s="6">
        <f t="shared" si="83"/>
        <v>3</v>
      </c>
      <c r="M433" s="6">
        <f t="shared" si="84"/>
        <v>0.42162000000000077</v>
      </c>
      <c r="N433" s="6">
        <f t="shared" si="85"/>
        <v>0</v>
      </c>
      <c r="O433" s="6">
        <f t="shared" si="86"/>
        <v>0</v>
      </c>
      <c r="P433" s="6">
        <f t="shared" si="87"/>
        <v>-236.55411720000043</v>
      </c>
      <c r="Q433" s="3">
        <v>-236.55411720000001</v>
      </c>
      <c r="R433" s="6">
        <f t="shared" si="88"/>
        <v>-4.2632564145606011E-13</v>
      </c>
      <c r="S433" s="6" t="str">
        <f t="shared" si="89"/>
        <v>OK</v>
      </c>
    </row>
    <row r="434" spans="1:19" x14ac:dyDescent="0.25">
      <c r="A434" s="3" t="str">
        <f t="shared" si="90"/>
        <v>03.07.2026</v>
      </c>
      <c r="B434" s="5">
        <v>33</v>
      </c>
      <c r="C434" s="5" t="s">
        <v>85</v>
      </c>
      <c r="D434" s="3">
        <v>15</v>
      </c>
      <c r="E434" s="3">
        <v>15.421620000000001</v>
      </c>
      <c r="F434" s="6">
        <f t="shared" si="78"/>
        <v>0.42162000000000077</v>
      </c>
      <c r="G434" s="6">
        <f t="shared" si="79"/>
        <v>2.8108000000000053E-2</v>
      </c>
      <c r="H434" s="6" t="str">
        <f t="shared" si="80"/>
        <v>🟢 Over-injection</v>
      </c>
      <c r="I434" s="6">
        <f t="shared" si="81"/>
        <v>-0.42162000000000077</v>
      </c>
      <c r="J434" s="3">
        <v>2.2943000000000002</v>
      </c>
      <c r="K434" s="6">
        <f t="shared" si="82"/>
        <v>2.25</v>
      </c>
      <c r="L434" s="6">
        <f t="shared" si="83"/>
        <v>3</v>
      </c>
      <c r="M434" s="6">
        <f t="shared" si="84"/>
        <v>0.42162000000000077</v>
      </c>
      <c r="N434" s="6">
        <f t="shared" si="85"/>
        <v>0</v>
      </c>
      <c r="O434" s="6">
        <f t="shared" si="86"/>
        <v>0</v>
      </c>
      <c r="P434" s="6">
        <f t="shared" si="87"/>
        <v>-193.46455320000038</v>
      </c>
      <c r="Q434" s="3">
        <v>-193.46455320000004</v>
      </c>
      <c r="R434" s="6">
        <f t="shared" si="88"/>
        <v>-3.4106051316484809E-13</v>
      </c>
      <c r="S434" s="6" t="str">
        <f t="shared" si="89"/>
        <v>OK</v>
      </c>
    </row>
    <row r="435" spans="1:19" x14ac:dyDescent="0.25">
      <c r="A435" s="3" t="str">
        <f t="shared" si="90"/>
        <v>03.07.2026</v>
      </c>
      <c r="B435" s="5">
        <v>34</v>
      </c>
      <c r="C435" s="5" t="s">
        <v>84</v>
      </c>
      <c r="D435" s="3">
        <v>15</v>
      </c>
      <c r="E435" s="3">
        <v>15.421620000000001</v>
      </c>
      <c r="F435" s="6">
        <f t="shared" si="78"/>
        <v>0.42162000000000077</v>
      </c>
      <c r="G435" s="6">
        <f t="shared" si="79"/>
        <v>2.8108000000000053E-2</v>
      </c>
      <c r="H435" s="6" t="str">
        <f t="shared" si="80"/>
        <v>🟢 Over-injection</v>
      </c>
      <c r="I435" s="6">
        <f t="shared" si="81"/>
        <v>-0.42162000000000077</v>
      </c>
      <c r="J435" s="3">
        <v>2.1882999999999999</v>
      </c>
      <c r="K435" s="6">
        <f t="shared" si="82"/>
        <v>2.25</v>
      </c>
      <c r="L435" s="6">
        <f t="shared" si="83"/>
        <v>3</v>
      </c>
      <c r="M435" s="6">
        <f t="shared" si="84"/>
        <v>0.42162000000000077</v>
      </c>
      <c r="N435" s="6">
        <f t="shared" si="85"/>
        <v>0</v>
      </c>
      <c r="O435" s="6">
        <f t="shared" si="86"/>
        <v>0</v>
      </c>
      <c r="P435" s="6">
        <f t="shared" si="87"/>
        <v>-184.52620920000035</v>
      </c>
      <c r="Q435" s="3">
        <v>-184.52620919999998</v>
      </c>
      <c r="R435" s="6">
        <f t="shared" si="88"/>
        <v>-3.694822225952521E-13</v>
      </c>
      <c r="S435" s="6" t="str">
        <f t="shared" si="89"/>
        <v>OK</v>
      </c>
    </row>
    <row r="436" spans="1:19" x14ac:dyDescent="0.25">
      <c r="A436" s="3" t="str">
        <f t="shared" si="90"/>
        <v>03.07.2026</v>
      </c>
      <c r="B436" s="5">
        <v>35</v>
      </c>
      <c r="C436" s="5" t="s">
        <v>83</v>
      </c>
      <c r="D436" s="3">
        <v>15</v>
      </c>
      <c r="E436" s="3">
        <v>15.421620000000001</v>
      </c>
      <c r="F436" s="6">
        <f t="shared" si="78"/>
        <v>0.42162000000000077</v>
      </c>
      <c r="G436" s="6">
        <f t="shared" si="79"/>
        <v>2.8108000000000053E-2</v>
      </c>
      <c r="H436" s="6" t="str">
        <f t="shared" si="80"/>
        <v>🟢 Over-injection</v>
      </c>
      <c r="I436" s="6">
        <f t="shared" si="81"/>
        <v>-0.42162000000000077</v>
      </c>
      <c r="J436" s="3">
        <v>1.8859000000000001</v>
      </c>
      <c r="K436" s="6">
        <f t="shared" si="82"/>
        <v>2.25</v>
      </c>
      <c r="L436" s="6">
        <f t="shared" si="83"/>
        <v>3</v>
      </c>
      <c r="M436" s="6">
        <f t="shared" si="84"/>
        <v>0.42162000000000077</v>
      </c>
      <c r="N436" s="6">
        <f t="shared" si="85"/>
        <v>0</v>
      </c>
      <c r="O436" s="6">
        <f t="shared" si="86"/>
        <v>0</v>
      </c>
      <c r="P436" s="6">
        <f t="shared" si="87"/>
        <v>-159.02663160000034</v>
      </c>
      <c r="Q436" s="3">
        <v>-159.02663160000003</v>
      </c>
      <c r="R436" s="6">
        <f t="shared" si="88"/>
        <v>-3.1263880373444408E-13</v>
      </c>
      <c r="S436" s="6" t="str">
        <f t="shared" si="89"/>
        <v>OK</v>
      </c>
    </row>
    <row r="437" spans="1:19" x14ac:dyDescent="0.25">
      <c r="A437" s="3" t="str">
        <f t="shared" si="90"/>
        <v>03.07.2026</v>
      </c>
      <c r="B437" s="5">
        <v>36</v>
      </c>
      <c r="C437" s="5" t="s">
        <v>82</v>
      </c>
      <c r="D437" s="3">
        <v>15</v>
      </c>
      <c r="E437" s="3">
        <v>15.432980000000001</v>
      </c>
      <c r="F437" s="6">
        <f t="shared" si="78"/>
        <v>0.43298000000000059</v>
      </c>
      <c r="G437" s="6">
        <f t="shared" si="79"/>
        <v>2.8865333333333371E-2</v>
      </c>
      <c r="H437" s="6" t="str">
        <f t="shared" si="80"/>
        <v>🟢 Over-injection</v>
      </c>
      <c r="I437" s="6">
        <f t="shared" si="81"/>
        <v>-0.43298000000000059</v>
      </c>
      <c r="J437" s="3">
        <v>1.6165</v>
      </c>
      <c r="K437" s="6">
        <f t="shared" si="82"/>
        <v>2.25</v>
      </c>
      <c r="L437" s="6">
        <f t="shared" si="83"/>
        <v>3</v>
      </c>
      <c r="M437" s="6">
        <f t="shared" si="84"/>
        <v>0.43298000000000059</v>
      </c>
      <c r="N437" s="6">
        <f t="shared" si="85"/>
        <v>0</v>
      </c>
      <c r="O437" s="6">
        <f t="shared" si="86"/>
        <v>0</v>
      </c>
      <c r="P437" s="6">
        <f t="shared" si="87"/>
        <v>-139.98243400000018</v>
      </c>
      <c r="Q437" s="3">
        <v>-139.98243400000001</v>
      </c>
      <c r="R437" s="6">
        <f t="shared" si="88"/>
        <v>0</v>
      </c>
      <c r="S437" s="6" t="str">
        <f t="shared" si="89"/>
        <v>OK</v>
      </c>
    </row>
    <row r="438" spans="1:19" x14ac:dyDescent="0.25">
      <c r="A438" s="3" t="str">
        <f t="shared" si="90"/>
        <v>03.07.2026</v>
      </c>
      <c r="B438" s="5">
        <v>37</v>
      </c>
      <c r="C438" s="5" t="s">
        <v>81</v>
      </c>
      <c r="D438" s="3">
        <v>17</v>
      </c>
      <c r="E438" s="3">
        <v>16.953579999999999</v>
      </c>
      <c r="F438" s="6">
        <f t="shared" si="78"/>
        <v>-4.6420000000001238E-2</v>
      </c>
      <c r="G438" s="6">
        <f t="shared" si="79"/>
        <v>-2.7305882352941903E-3</v>
      </c>
      <c r="H438" s="6" t="str">
        <f t="shared" si="80"/>
        <v>🔴 Under-injection</v>
      </c>
      <c r="I438" s="6">
        <f t="shared" si="81"/>
        <v>4.6420000000001238E-2</v>
      </c>
      <c r="J438" s="3">
        <v>1.2109000000000001</v>
      </c>
      <c r="K438" s="6">
        <f t="shared" si="82"/>
        <v>2.5499999999999998</v>
      </c>
      <c r="L438" s="6">
        <f t="shared" si="83"/>
        <v>3.4000000000000004</v>
      </c>
      <c r="M438" s="6">
        <f t="shared" si="84"/>
        <v>4.6420000000001238E-2</v>
      </c>
      <c r="N438" s="6">
        <f t="shared" si="85"/>
        <v>0</v>
      </c>
      <c r="O438" s="6">
        <f t="shared" si="86"/>
        <v>0</v>
      </c>
      <c r="P438" s="6">
        <f t="shared" si="87"/>
        <v>14.755119225000396</v>
      </c>
      <c r="Q438" s="3">
        <v>14.755119225000003</v>
      </c>
      <c r="R438" s="6">
        <f t="shared" si="88"/>
        <v>3.9257486150745535E-13</v>
      </c>
      <c r="S438" s="6" t="str">
        <f t="shared" si="89"/>
        <v>OK</v>
      </c>
    </row>
    <row r="439" spans="1:19" x14ac:dyDescent="0.25">
      <c r="A439" s="3" t="str">
        <f t="shared" si="90"/>
        <v>03.07.2026</v>
      </c>
      <c r="B439" s="5">
        <v>38</v>
      </c>
      <c r="C439" s="5" t="s">
        <v>80</v>
      </c>
      <c r="D439" s="3">
        <v>17</v>
      </c>
      <c r="E439" s="3">
        <v>17.248619999999999</v>
      </c>
      <c r="F439" s="6">
        <f t="shared" si="78"/>
        <v>0.24861999999999895</v>
      </c>
      <c r="G439" s="6">
        <f t="shared" si="79"/>
        <v>1.462470588235288E-2</v>
      </c>
      <c r="H439" s="6" t="str">
        <f t="shared" si="80"/>
        <v>🟢 Over-injection</v>
      </c>
      <c r="I439" s="6">
        <f t="shared" si="81"/>
        <v>-0.24861999999999895</v>
      </c>
      <c r="J439" s="3">
        <v>1.3293999999999999</v>
      </c>
      <c r="K439" s="6">
        <f t="shared" si="82"/>
        <v>2.5499999999999998</v>
      </c>
      <c r="L439" s="6">
        <f t="shared" si="83"/>
        <v>3.4000000000000004</v>
      </c>
      <c r="M439" s="6">
        <f t="shared" si="84"/>
        <v>0.24861999999999895</v>
      </c>
      <c r="N439" s="6">
        <f t="shared" si="85"/>
        <v>0</v>
      </c>
      <c r="O439" s="6">
        <f t="shared" si="86"/>
        <v>0</v>
      </c>
      <c r="P439" s="6">
        <f t="shared" si="87"/>
        <v>-66.103085599999716</v>
      </c>
      <c r="Q439" s="3">
        <v>-66.1030856</v>
      </c>
      <c r="R439" s="6">
        <f t="shared" si="88"/>
        <v>2.8421709430404007E-13</v>
      </c>
      <c r="S439" s="6" t="str">
        <f t="shared" si="89"/>
        <v>OK</v>
      </c>
    </row>
    <row r="440" spans="1:19" x14ac:dyDescent="0.25">
      <c r="A440" s="3" t="str">
        <f t="shared" si="90"/>
        <v>03.07.2026</v>
      </c>
      <c r="B440" s="5">
        <v>39</v>
      </c>
      <c r="C440" s="5" t="s">
        <v>79</v>
      </c>
      <c r="D440" s="3">
        <v>16</v>
      </c>
      <c r="E440" s="3">
        <v>16.499669999999998</v>
      </c>
      <c r="F440" s="6">
        <f t="shared" si="78"/>
        <v>0.49966999999999828</v>
      </c>
      <c r="G440" s="6">
        <f t="shared" si="79"/>
        <v>3.1229374999999893E-2</v>
      </c>
      <c r="H440" s="6" t="str">
        <f t="shared" si="80"/>
        <v>🟢 Over-injection</v>
      </c>
      <c r="I440" s="6">
        <f t="shared" si="81"/>
        <v>-0.49966999999999828</v>
      </c>
      <c r="J440" s="3">
        <v>1.3784999999999998</v>
      </c>
      <c r="K440" s="6">
        <f t="shared" si="82"/>
        <v>2.4</v>
      </c>
      <c r="L440" s="6">
        <f t="shared" si="83"/>
        <v>3.2</v>
      </c>
      <c r="M440" s="6">
        <f t="shared" si="84"/>
        <v>0.49966999999999828</v>
      </c>
      <c r="N440" s="6">
        <f t="shared" si="85"/>
        <v>0</v>
      </c>
      <c r="O440" s="6">
        <f t="shared" si="86"/>
        <v>0</v>
      </c>
      <c r="P440" s="6">
        <f t="shared" si="87"/>
        <v>-137.75901899999951</v>
      </c>
      <c r="Q440" s="3">
        <v>-137.75901900000002</v>
      </c>
      <c r="R440" s="6">
        <f t="shared" si="88"/>
        <v>5.1159076974727213E-13</v>
      </c>
      <c r="S440" s="6" t="str">
        <f t="shared" si="89"/>
        <v>OK</v>
      </c>
    </row>
    <row r="441" spans="1:19" x14ac:dyDescent="0.25">
      <c r="A441" s="3" t="str">
        <f t="shared" si="90"/>
        <v>03.07.2026</v>
      </c>
      <c r="B441" s="5">
        <v>40</v>
      </c>
      <c r="C441" s="5" t="s">
        <v>78</v>
      </c>
      <c r="D441" s="3">
        <v>16</v>
      </c>
      <c r="E441" s="3">
        <v>16.352150000000002</v>
      </c>
      <c r="F441" s="6">
        <f t="shared" si="78"/>
        <v>0.35215000000000174</v>
      </c>
      <c r="G441" s="6">
        <f t="shared" si="79"/>
        <v>2.2009375000000109E-2</v>
      </c>
      <c r="H441" s="6" t="str">
        <f t="shared" si="80"/>
        <v>🟢 Over-injection</v>
      </c>
      <c r="I441" s="6">
        <f t="shared" si="81"/>
        <v>-0.35215000000000174</v>
      </c>
      <c r="J441" s="3">
        <v>1.3786</v>
      </c>
      <c r="K441" s="6">
        <f t="shared" si="82"/>
        <v>2.4</v>
      </c>
      <c r="L441" s="6">
        <f t="shared" si="83"/>
        <v>3.2</v>
      </c>
      <c r="M441" s="6">
        <f t="shared" si="84"/>
        <v>0.35215000000000174</v>
      </c>
      <c r="N441" s="6">
        <f t="shared" si="85"/>
        <v>0</v>
      </c>
      <c r="O441" s="6">
        <f t="shared" si="86"/>
        <v>0</v>
      </c>
      <c r="P441" s="6">
        <f t="shared" si="87"/>
        <v>-97.094798000000495</v>
      </c>
      <c r="Q441" s="3">
        <v>-97.094798000000011</v>
      </c>
      <c r="R441" s="6">
        <f t="shared" si="88"/>
        <v>-4.8316906031686813E-13</v>
      </c>
      <c r="S441" s="6" t="str">
        <f t="shared" si="89"/>
        <v>OK</v>
      </c>
    </row>
    <row r="442" spans="1:19" x14ac:dyDescent="0.25">
      <c r="A442" s="3" t="str">
        <f t="shared" si="90"/>
        <v>03.07.2026</v>
      </c>
      <c r="B442" s="5">
        <v>41</v>
      </c>
      <c r="C442" s="5" t="s">
        <v>77</v>
      </c>
      <c r="D442" s="3">
        <v>16</v>
      </c>
      <c r="E442" s="3">
        <v>16.27271</v>
      </c>
      <c r="F442" s="6">
        <f t="shared" si="78"/>
        <v>0.27271000000000001</v>
      </c>
      <c r="G442" s="6">
        <f t="shared" si="79"/>
        <v>1.7044375E-2</v>
      </c>
      <c r="H442" s="6" t="str">
        <f t="shared" si="80"/>
        <v>🟢 Over-injection</v>
      </c>
      <c r="I442" s="6">
        <f t="shared" si="81"/>
        <v>-0.27271000000000001</v>
      </c>
      <c r="J442" s="3">
        <v>1.3266</v>
      </c>
      <c r="K442" s="6">
        <f t="shared" si="82"/>
        <v>2.4</v>
      </c>
      <c r="L442" s="6">
        <f t="shared" si="83"/>
        <v>3.2</v>
      </c>
      <c r="M442" s="6">
        <f t="shared" si="84"/>
        <v>0.27271000000000001</v>
      </c>
      <c r="N442" s="6">
        <f t="shared" si="85"/>
        <v>0</v>
      </c>
      <c r="O442" s="6">
        <f t="shared" si="86"/>
        <v>0</v>
      </c>
      <c r="P442" s="6">
        <f t="shared" si="87"/>
        <v>-72.355417200000005</v>
      </c>
      <c r="Q442" s="3">
        <v>-72.355417200000005</v>
      </c>
      <c r="R442" s="6">
        <f t="shared" si="88"/>
        <v>0</v>
      </c>
      <c r="S442" s="6" t="str">
        <f t="shared" si="89"/>
        <v>OK</v>
      </c>
    </row>
    <row r="443" spans="1:19" x14ac:dyDescent="0.25">
      <c r="A443" s="3" t="str">
        <f t="shared" si="90"/>
        <v>03.07.2026</v>
      </c>
      <c r="B443" s="5">
        <v>42</v>
      </c>
      <c r="C443" s="5" t="s">
        <v>76</v>
      </c>
      <c r="D443" s="3">
        <v>16</v>
      </c>
      <c r="E443" s="3">
        <v>16.27271</v>
      </c>
      <c r="F443" s="6">
        <f t="shared" si="78"/>
        <v>0.27271000000000001</v>
      </c>
      <c r="G443" s="6">
        <f t="shared" si="79"/>
        <v>1.7044375E-2</v>
      </c>
      <c r="H443" s="6" t="str">
        <f t="shared" si="80"/>
        <v>🟢 Over-injection</v>
      </c>
      <c r="I443" s="6">
        <f t="shared" si="81"/>
        <v>-0.27271000000000001</v>
      </c>
      <c r="J443" s="3">
        <v>1.1265000000000001</v>
      </c>
      <c r="K443" s="6">
        <f t="shared" si="82"/>
        <v>2.4</v>
      </c>
      <c r="L443" s="6">
        <f t="shared" si="83"/>
        <v>3.2</v>
      </c>
      <c r="M443" s="6">
        <f t="shared" si="84"/>
        <v>0.27271000000000001</v>
      </c>
      <c r="N443" s="6">
        <f t="shared" si="85"/>
        <v>0</v>
      </c>
      <c r="O443" s="6">
        <f t="shared" si="86"/>
        <v>0</v>
      </c>
      <c r="P443" s="6">
        <f t="shared" si="87"/>
        <v>-61.441563000000009</v>
      </c>
      <c r="Q443" s="3">
        <v>-61.441563000000009</v>
      </c>
      <c r="R443" s="6">
        <f t="shared" si="88"/>
        <v>0</v>
      </c>
      <c r="S443" s="6" t="str">
        <f t="shared" si="89"/>
        <v>OK</v>
      </c>
    </row>
    <row r="444" spans="1:19" x14ac:dyDescent="0.25">
      <c r="A444" s="3" t="str">
        <f t="shared" si="90"/>
        <v>03.07.2026</v>
      </c>
      <c r="B444" s="5">
        <v>43</v>
      </c>
      <c r="C444" s="5" t="s">
        <v>75</v>
      </c>
      <c r="D444" s="3">
        <v>18.5</v>
      </c>
      <c r="E444" s="3">
        <v>18.133749999999999</v>
      </c>
      <c r="F444" s="6">
        <f t="shared" si="78"/>
        <v>-0.36625000000000085</v>
      </c>
      <c r="G444" s="6">
        <f t="shared" si="79"/>
        <v>-1.9797297297297345E-2</v>
      </c>
      <c r="H444" s="6" t="str">
        <f t="shared" si="80"/>
        <v>🔴 Under-injection</v>
      </c>
      <c r="I444" s="6">
        <f t="shared" si="81"/>
        <v>0.36625000000000085</v>
      </c>
      <c r="J444" s="3">
        <v>1.1133</v>
      </c>
      <c r="K444" s="6">
        <f t="shared" si="82"/>
        <v>2.7749999999999999</v>
      </c>
      <c r="L444" s="6">
        <f t="shared" si="83"/>
        <v>3.7</v>
      </c>
      <c r="M444" s="6">
        <f t="shared" si="84"/>
        <v>0.36625000000000085</v>
      </c>
      <c r="N444" s="6">
        <f t="shared" si="85"/>
        <v>0</v>
      </c>
      <c r="O444" s="6">
        <f t="shared" si="86"/>
        <v>0</v>
      </c>
      <c r="P444" s="6">
        <f t="shared" si="87"/>
        <v>107.03335781250026</v>
      </c>
      <c r="Q444" s="3">
        <v>107.03335781250001</v>
      </c>
      <c r="R444" s="6">
        <f t="shared" si="88"/>
        <v>2.4158453015843406E-13</v>
      </c>
      <c r="S444" s="6" t="str">
        <f t="shared" si="89"/>
        <v>OK</v>
      </c>
    </row>
    <row r="445" spans="1:19" x14ac:dyDescent="0.25">
      <c r="A445" s="3" t="str">
        <f t="shared" si="90"/>
        <v>03.07.2026</v>
      </c>
      <c r="B445" s="5">
        <v>44</v>
      </c>
      <c r="C445" s="5" t="s">
        <v>74</v>
      </c>
      <c r="D445" s="3">
        <v>18.5</v>
      </c>
      <c r="E445" s="3">
        <v>18.712489999999999</v>
      </c>
      <c r="F445" s="6">
        <f t="shared" si="78"/>
        <v>0.21248999999999896</v>
      </c>
      <c r="G445" s="6">
        <f t="shared" si="79"/>
        <v>1.148594594594589E-2</v>
      </c>
      <c r="H445" s="6" t="str">
        <f t="shared" si="80"/>
        <v>🟢 Over-injection</v>
      </c>
      <c r="I445" s="6">
        <f t="shared" si="81"/>
        <v>-0.21248999999999896</v>
      </c>
      <c r="J445" s="3">
        <v>1.113</v>
      </c>
      <c r="K445" s="6">
        <f t="shared" si="82"/>
        <v>2.7749999999999999</v>
      </c>
      <c r="L445" s="6">
        <f t="shared" si="83"/>
        <v>3.7</v>
      </c>
      <c r="M445" s="6">
        <f t="shared" si="84"/>
        <v>0.21248999999999896</v>
      </c>
      <c r="N445" s="6">
        <f t="shared" si="85"/>
        <v>0</v>
      </c>
      <c r="O445" s="6">
        <f t="shared" si="86"/>
        <v>0</v>
      </c>
      <c r="P445" s="6">
        <f t="shared" si="87"/>
        <v>-47.300273999999767</v>
      </c>
      <c r="Q445" s="3">
        <v>-47.300274000000009</v>
      </c>
      <c r="R445" s="6">
        <f t="shared" si="88"/>
        <v>2.4158453015843406E-13</v>
      </c>
      <c r="S445" s="6" t="str">
        <f t="shared" si="89"/>
        <v>OK</v>
      </c>
    </row>
    <row r="446" spans="1:19" x14ac:dyDescent="0.25">
      <c r="A446" s="3" t="str">
        <f t="shared" si="90"/>
        <v>03.07.2026</v>
      </c>
      <c r="B446" s="5">
        <v>45</v>
      </c>
      <c r="C446" s="5" t="s">
        <v>73</v>
      </c>
      <c r="D446" s="3">
        <v>17</v>
      </c>
      <c r="E446" s="3">
        <v>17.6004</v>
      </c>
      <c r="F446" s="6">
        <f t="shared" si="78"/>
        <v>0.60040000000000049</v>
      </c>
      <c r="G446" s="6">
        <f t="shared" si="79"/>
        <v>3.5317647058823558E-2</v>
      </c>
      <c r="H446" s="6" t="str">
        <f t="shared" si="80"/>
        <v>🟢 Over-injection</v>
      </c>
      <c r="I446" s="6">
        <f t="shared" si="81"/>
        <v>-0.60040000000000049</v>
      </c>
      <c r="J446" s="3">
        <v>1.1128</v>
      </c>
      <c r="K446" s="6">
        <f t="shared" si="82"/>
        <v>2.5499999999999998</v>
      </c>
      <c r="L446" s="6">
        <f t="shared" si="83"/>
        <v>3.4000000000000004</v>
      </c>
      <c r="M446" s="6">
        <f t="shared" si="84"/>
        <v>0.60040000000000049</v>
      </c>
      <c r="N446" s="6">
        <f t="shared" si="85"/>
        <v>0</v>
      </c>
      <c r="O446" s="6">
        <f t="shared" si="86"/>
        <v>0</v>
      </c>
      <c r="P446" s="6">
        <f t="shared" si="87"/>
        <v>-133.62502400000011</v>
      </c>
      <c r="Q446" s="3">
        <v>-133.625024</v>
      </c>
      <c r="R446" s="6">
        <f t="shared" si="88"/>
        <v>0</v>
      </c>
      <c r="S446" s="6" t="str">
        <f t="shared" si="89"/>
        <v>OK</v>
      </c>
    </row>
    <row r="447" spans="1:19" x14ac:dyDescent="0.25">
      <c r="A447" s="3" t="str">
        <f t="shared" si="90"/>
        <v>03.07.2026</v>
      </c>
      <c r="B447" s="5">
        <v>46</v>
      </c>
      <c r="C447" s="5" t="s">
        <v>72</v>
      </c>
      <c r="D447" s="3">
        <v>17</v>
      </c>
      <c r="E447" s="3">
        <v>17.271319999999999</v>
      </c>
      <c r="F447" s="6">
        <f t="shared" si="78"/>
        <v>0.27131999999999934</v>
      </c>
      <c r="G447" s="6">
        <f t="shared" si="79"/>
        <v>1.595999999999996E-2</v>
      </c>
      <c r="H447" s="6" t="str">
        <f t="shared" si="80"/>
        <v>🟢 Over-injection</v>
      </c>
      <c r="I447" s="6">
        <f t="shared" si="81"/>
        <v>-0.27131999999999934</v>
      </c>
      <c r="J447" s="3">
        <v>1.1120999999999999</v>
      </c>
      <c r="K447" s="6">
        <f t="shared" si="82"/>
        <v>2.5499999999999998</v>
      </c>
      <c r="L447" s="6">
        <f t="shared" si="83"/>
        <v>3.4000000000000004</v>
      </c>
      <c r="M447" s="6">
        <f t="shared" si="84"/>
        <v>0.27131999999999934</v>
      </c>
      <c r="N447" s="6">
        <f t="shared" si="85"/>
        <v>0</v>
      </c>
      <c r="O447" s="6">
        <f t="shared" si="86"/>
        <v>0</v>
      </c>
      <c r="P447" s="6">
        <f t="shared" si="87"/>
        <v>-60.346994399999843</v>
      </c>
      <c r="Q447" s="3">
        <v>-60.346994399999993</v>
      </c>
      <c r="R447" s="6">
        <f t="shared" si="88"/>
        <v>1.4921397450962104E-13</v>
      </c>
      <c r="S447" s="6" t="str">
        <f t="shared" si="89"/>
        <v>OK</v>
      </c>
    </row>
    <row r="448" spans="1:19" x14ac:dyDescent="0.25">
      <c r="A448" s="3" t="str">
        <f t="shared" si="90"/>
        <v>03.07.2026</v>
      </c>
      <c r="B448" s="5">
        <v>47</v>
      </c>
      <c r="C448" s="5" t="s">
        <v>71</v>
      </c>
      <c r="D448" s="3">
        <v>17</v>
      </c>
      <c r="E448" s="3">
        <v>17.271319999999999</v>
      </c>
      <c r="F448" s="6">
        <f t="shared" si="78"/>
        <v>0.27131999999999934</v>
      </c>
      <c r="G448" s="6">
        <f t="shared" si="79"/>
        <v>1.595999999999996E-2</v>
      </c>
      <c r="H448" s="6" t="str">
        <f t="shared" si="80"/>
        <v>🟢 Over-injection</v>
      </c>
      <c r="I448" s="6">
        <f t="shared" si="81"/>
        <v>-0.27131999999999934</v>
      </c>
      <c r="J448" s="3">
        <v>1.1216999999999999</v>
      </c>
      <c r="K448" s="6">
        <f t="shared" si="82"/>
        <v>2.5499999999999998</v>
      </c>
      <c r="L448" s="6">
        <f t="shared" si="83"/>
        <v>3.4000000000000004</v>
      </c>
      <c r="M448" s="6">
        <f t="shared" si="84"/>
        <v>0.27131999999999934</v>
      </c>
      <c r="N448" s="6">
        <f t="shared" si="85"/>
        <v>0</v>
      </c>
      <c r="O448" s="6">
        <f t="shared" si="86"/>
        <v>0</v>
      </c>
      <c r="P448" s="6">
        <f t="shared" si="87"/>
        <v>-60.867928799999845</v>
      </c>
      <c r="Q448" s="3">
        <v>-60.867928800000001</v>
      </c>
      <c r="R448" s="6">
        <f t="shared" si="88"/>
        <v>1.5631940186722204E-13</v>
      </c>
      <c r="S448" s="6" t="str">
        <f t="shared" si="89"/>
        <v>OK</v>
      </c>
    </row>
    <row r="449" spans="1:19" x14ac:dyDescent="0.25">
      <c r="A449" s="3" t="str">
        <f t="shared" si="90"/>
        <v>03.07.2026</v>
      </c>
      <c r="B449" s="5">
        <v>48</v>
      </c>
      <c r="C449" s="5" t="s">
        <v>70</v>
      </c>
      <c r="D449" s="3">
        <v>17</v>
      </c>
      <c r="E449" s="3">
        <v>17.271319999999999</v>
      </c>
      <c r="F449" s="6">
        <f t="shared" si="78"/>
        <v>0.27131999999999934</v>
      </c>
      <c r="G449" s="6">
        <f t="shared" si="79"/>
        <v>1.595999999999996E-2</v>
      </c>
      <c r="H449" s="6" t="str">
        <f t="shared" si="80"/>
        <v>🟢 Over-injection</v>
      </c>
      <c r="I449" s="6">
        <f t="shared" si="81"/>
        <v>-0.27131999999999934</v>
      </c>
      <c r="J449" s="3">
        <v>1.1215000000000002</v>
      </c>
      <c r="K449" s="6">
        <f t="shared" si="82"/>
        <v>2.5499999999999998</v>
      </c>
      <c r="L449" s="6">
        <f t="shared" si="83"/>
        <v>3.4000000000000004</v>
      </c>
      <c r="M449" s="6">
        <f t="shared" si="84"/>
        <v>0.27131999999999934</v>
      </c>
      <c r="N449" s="6">
        <f t="shared" si="85"/>
        <v>0</v>
      </c>
      <c r="O449" s="6">
        <f t="shared" si="86"/>
        <v>0</v>
      </c>
      <c r="P449" s="6">
        <f t="shared" si="87"/>
        <v>-60.857075999999857</v>
      </c>
      <c r="Q449" s="3">
        <v>-60.857076000000013</v>
      </c>
      <c r="R449" s="6">
        <f t="shared" si="88"/>
        <v>1.5631940186722204E-13</v>
      </c>
      <c r="S449" s="6" t="str">
        <f t="shared" si="89"/>
        <v>OK</v>
      </c>
    </row>
    <row r="450" spans="1:19" x14ac:dyDescent="0.25">
      <c r="A450" s="3" t="str">
        <f t="shared" si="90"/>
        <v>03.07.2026</v>
      </c>
      <c r="B450" s="5">
        <v>49</v>
      </c>
      <c r="C450" s="5" t="s">
        <v>69</v>
      </c>
      <c r="D450" s="3">
        <v>17</v>
      </c>
      <c r="E450" s="3">
        <v>17.271319999999999</v>
      </c>
      <c r="F450" s="6">
        <f t="shared" si="78"/>
        <v>0.27131999999999934</v>
      </c>
      <c r="G450" s="6">
        <f t="shared" si="79"/>
        <v>1.595999999999996E-2</v>
      </c>
      <c r="H450" s="6" t="str">
        <f t="shared" si="80"/>
        <v>🟢 Over-injection</v>
      </c>
      <c r="I450" s="6">
        <f t="shared" si="81"/>
        <v>-0.27131999999999934</v>
      </c>
      <c r="J450" s="3">
        <v>1.1203000000000001</v>
      </c>
      <c r="K450" s="6">
        <f t="shared" si="82"/>
        <v>2.5499999999999998</v>
      </c>
      <c r="L450" s="6">
        <f t="shared" si="83"/>
        <v>3.4000000000000004</v>
      </c>
      <c r="M450" s="6">
        <f t="shared" si="84"/>
        <v>0.27131999999999934</v>
      </c>
      <c r="N450" s="6">
        <f t="shared" si="85"/>
        <v>0</v>
      </c>
      <c r="O450" s="6">
        <f t="shared" si="86"/>
        <v>0</v>
      </c>
      <c r="P450" s="6">
        <f t="shared" si="87"/>
        <v>-60.791959199999859</v>
      </c>
      <c r="Q450" s="3">
        <v>-60.791959200000008</v>
      </c>
      <c r="R450" s="6">
        <f t="shared" si="88"/>
        <v>1.4921397450962104E-13</v>
      </c>
      <c r="S450" s="6" t="str">
        <f t="shared" si="89"/>
        <v>OK</v>
      </c>
    </row>
    <row r="451" spans="1:19" x14ac:dyDescent="0.25">
      <c r="A451" s="3" t="str">
        <f t="shared" si="90"/>
        <v>03.07.2026</v>
      </c>
      <c r="B451" s="5">
        <v>50</v>
      </c>
      <c r="C451" s="5" t="s">
        <v>68</v>
      </c>
      <c r="D451" s="3">
        <v>17</v>
      </c>
      <c r="E451" s="3">
        <v>17.28266</v>
      </c>
      <c r="F451" s="6">
        <f t="shared" si="78"/>
        <v>0.28265999999999991</v>
      </c>
      <c r="G451" s="6">
        <f t="shared" si="79"/>
        <v>1.6627058823529408E-2</v>
      </c>
      <c r="H451" s="6" t="str">
        <f t="shared" si="80"/>
        <v>🟢 Over-injection</v>
      </c>
      <c r="I451" s="6">
        <f t="shared" si="81"/>
        <v>-0.28265999999999991</v>
      </c>
      <c r="J451" s="3">
        <v>1.0552999999999999</v>
      </c>
      <c r="K451" s="6">
        <f t="shared" si="82"/>
        <v>2.5499999999999998</v>
      </c>
      <c r="L451" s="6">
        <f t="shared" si="83"/>
        <v>3.4000000000000004</v>
      </c>
      <c r="M451" s="6">
        <f t="shared" si="84"/>
        <v>0.28265999999999991</v>
      </c>
      <c r="N451" s="6">
        <f t="shared" si="85"/>
        <v>0</v>
      </c>
      <c r="O451" s="6">
        <f t="shared" si="86"/>
        <v>0</v>
      </c>
      <c r="P451" s="6">
        <f t="shared" si="87"/>
        <v>-59.658219599999981</v>
      </c>
      <c r="Q451" s="3">
        <v>-59.65821960000001</v>
      </c>
      <c r="R451" s="6">
        <f t="shared" si="88"/>
        <v>0</v>
      </c>
      <c r="S451" s="6" t="str">
        <f t="shared" si="89"/>
        <v>OK</v>
      </c>
    </row>
    <row r="452" spans="1:19" x14ac:dyDescent="0.25">
      <c r="A452" s="3" t="str">
        <f t="shared" si="90"/>
        <v>03.07.2026</v>
      </c>
      <c r="B452" s="5">
        <v>51</v>
      </c>
      <c r="C452" s="5" t="s">
        <v>67</v>
      </c>
      <c r="D452" s="3">
        <v>17</v>
      </c>
      <c r="E452" s="3">
        <v>17.29402</v>
      </c>
      <c r="F452" s="6">
        <f t="shared" si="78"/>
        <v>0.29401999999999973</v>
      </c>
      <c r="G452" s="6">
        <f t="shared" si="79"/>
        <v>1.7295294117647044E-2</v>
      </c>
      <c r="H452" s="6" t="str">
        <f t="shared" si="80"/>
        <v>🟢 Over-injection</v>
      </c>
      <c r="I452" s="6">
        <f t="shared" si="81"/>
        <v>-0.29401999999999973</v>
      </c>
      <c r="J452" s="3">
        <v>1.0780000000000001</v>
      </c>
      <c r="K452" s="6">
        <f t="shared" si="82"/>
        <v>2.5499999999999998</v>
      </c>
      <c r="L452" s="6">
        <f t="shared" si="83"/>
        <v>3.4000000000000004</v>
      </c>
      <c r="M452" s="6">
        <f t="shared" si="84"/>
        <v>0.29401999999999973</v>
      </c>
      <c r="N452" s="6">
        <f t="shared" si="85"/>
        <v>0</v>
      </c>
      <c r="O452" s="6">
        <f t="shared" si="86"/>
        <v>0</v>
      </c>
      <c r="P452" s="6">
        <f t="shared" si="87"/>
        <v>-63.390711999999944</v>
      </c>
      <c r="Q452" s="3">
        <v>-63.390712000000001</v>
      </c>
      <c r="R452" s="6">
        <f t="shared" si="88"/>
        <v>5.6843418860808015E-14</v>
      </c>
      <c r="S452" s="6" t="str">
        <f t="shared" si="89"/>
        <v>OK</v>
      </c>
    </row>
    <row r="453" spans="1:19" x14ac:dyDescent="0.25">
      <c r="A453" s="3" t="str">
        <f t="shared" si="90"/>
        <v>03.07.2026</v>
      </c>
      <c r="B453" s="5">
        <v>52</v>
      </c>
      <c r="C453" s="5" t="s">
        <v>66</v>
      </c>
      <c r="D453" s="3">
        <v>17</v>
      </c>
      <c r="E453" s="3">
        <v>17.29402</v>
      </c>
      <c r="F453" s="6">
        <f t="shared" si="78"/>
        <v>0.29401999999999973</v>
      </c>
      <c r="G453" s="6">
        <f t="shared" si="79"/>
        <v>1.7295294117647044E-2</v>
      </c>
      <c r="H453" s="6" t="str">
        <f t="shared" si="80"/>
        <v>🟢 Over-injection</v>
      </c>
      <c r="I453" s="6">
        <f t="shared" si="81"/>
        <v>-0.29401999999999973</v>
      </c>
      <c r="J453" s="3">
        <v>1.0546</v>
      </c>
      <c r="K453" s="6">
        <f t="shared" si="82"/>
        <v>2.5499999999999998</v>
      </c>
      <c r="L453" s="6">
        <f t="shared" si="83"/>
        <v>3.4000000000000004</v>
      </c>
      <c r="M453" s="6">
        <f t="shared" si="84"/>
        <v>0.29401999999999973</v>
      </c>
      <c r="N453" s="6">
        <f t="shared" si="85"/>
        <v>0</v>
      </c>
      <c r="O453" s="6">
        <f t="shared" si="86"/>
        <v>0</v>
      </c>
      <c r="P453" s="6">
        <f t="shared" si="87"/>
        <v>-62.014698399999943</v>
      </c>
      <c r="Q453" s="3">
        <v>-62.0146984</v>
      </c>
      <c r="R453" s="6">
        <f t="shared" si="88"/>
        <v>5.6843418860808015E-14</v>
      </c>
      <c r="S453" s="6" t="str">
        <f t="shared" si="89"/>
        <v>OK</v>
      </c>
    </row>
    <row r="454" spans="1:19" x14ac:dyDescent="0.25">
      <c r="A454" s="3" t="str">
        <f t="shared" si="90"/>
        <v>03.07.2026</v>
      </c>
      <c r="B454" s="5">
        <v>53</v>
      </c>
      <c r="C454" s="5" t="s">
        <v>65</v>
      </c>
      <c r="D454" s="3">
        <v>17</v>
      </c>
      <c r="E454" s="3">
        <v>17.29402</v>
      </c>
      <c r="F454" s="6">
        <f t="shared" si="78"/>
        <v>0.29401999999999973</v>
      </c>
      <c r="G454" s="6">
        <f t="shared" si="79"/>
        <v>1.7295294117647044E-2</v>
      </c>
      <c r="H454" s="6" t="str">
        <f t="shared" si="80"/>
        <v>🟢 Over-injection</v>
      </c>
      <c r="I454" s="6">
        <f t="shared" si="81"/>
        <v>-0.29401999999999973</v>
      </c>
      <c r="J454" s="3">
        <v>1.0347999999999999</v>
      </c>
      <c r="K454" s="6">
        <f t="shared" si="82"/>
        <v>2.5499999999999998</v>
      </c>
      <c r="L454" s="6">
        <f t="shared" si="83"/>
        <v>3.4000000000000004</v>
      </c>
      <c r="M454" s="6">
        <f t="shared" si="84"/>
        <v>0.29401999999999973</v>
      </c>
      <c r="N454" s="6">
        <f t="shared" si="85"/>
        <v>0</v>
      </c>
      <c r="O454" s="6">
        <f t="shared" si="86"/>
        <v>0</v>
      </c>
      <c r="P454" s="6">
        <f t="shared" si="87"/>
        <v>-60.850379199999942</v>
      </c>
      <c r="Q454" s="3">
        <v>-60.850379199999999</v>
      </c>
      <c r="R454" s="6">
        <f t="shared" si="88"/>
        <v>5.6843418860808015E-14</v>
      </c>
      <c r="S454" s="6" t="str">
        <f t="shared" si="89"/>
        <v>OK</v>
      </c>
    </row>
    <row r="455" spans="1:19" x14ac:dyDescent="0.25">
      <c r="A455" s="3" t="str">
        <f t="shared" si="90"/>
        <v>03.07.2026</v>
      </c>
      <c r="B455" s="5">
        <v>54</v>
      </c>
      <c r="C455" s="5" t="s">
        <v>64</v>
      </c>
      <c r="D455" s="3">
        <v>17</v>
      </c>
      <c r="E455" s="3">
        <v>17.29402</v>
      </c>
      <c r="F455" s="6">
        <f t="shared" si="78"/>
        <v>0.29401999999999973</v>
      </c>
      <c r="G455" s="6">
        <f t="shared" si="79"/>
        <v>1.7295294117647044E-2</v>
      </c>
      <c r="H455" s="6" t="str">
        <f t="shared" si="80"/>
        <v>🟢 Over-injection</v>
      </c>
      <c r="I455" s="6">
        <f t="shared" si="81"/>
        <v>-0.29401999999999973</v>
      </c>
      <c r="J455" s="3">
        <v>1.0345</v>
      </c>
      <c r="K455" s="6">
        <f t="shared" si="82"/>
        <v>2.5499999999999998</v>
      </c>
      <c r="L455" s="6">
        <f t="shared" si="83"/>
        <v>3.4000000000000004</v>
      </c>
      <c r="M455" s="6">
        <f t="shared" si="84"/>
        <v>0.29401999999999973</v>
      </c>
      <c r="N455" s="6">
        <f t="shared" si="85"/>
        <v>0</v>
      </c>
      <c r="O455" s="6">
        <f t="shared" si="86"/>
        <v>0</v>
      </c>
      <c r="P455" s="6">
        <f t="shared" si="87"/>
        <v>-60.832737999999942</v>
      </c>
      <c r="Q455" s="3">
        <v>-60.832738000000006</v>
      </c>
      <c r="R455" s="6">
        <f t="shared" si="88"/>
        <v>6.3948846218409017E-14</v>
      </c>
      <c r="S455" s="6" t="str">
        <f t="shared" si="89"/>
        <v>OK</v>
      </c>
    </row>
    <row r="456" spans="1:19" x14ac:dyDescent="0.25">
      <c r="A456" s="3" t="str">
        <f t="shared" si="90"/>
        <v>03.07.2026</v>
      </c>
      <c r="B456" s="5">
        <v>55</v>
      </c>
      <c r="C456" s="5" t="s">
        <v>63</v>
      </c>
      <c r="D456" s="3">
        <v>17</v>
      </c>
      <c r="E456" s="3">
        <v>17.30536</v>
      </c>
      <c r="F456" s="6">
        <f t="shared" si="78"/>
        <v>0.3053600000000003</v>
      </c>
      <c r="G456" s="6">
        <f t="shared" si="79"/>
        <v>1.7962352941176488E-2</v>
      </c>
      <c r="H456" s="6" t="str">
        <f t="shared" si="80"/>
        <v>🟢 Over-injection</v>
      </c>
      <c r="I456" s="6">
        <f t="shared" si="81"/>
        <v>-0.3053600000000003</v>
      </c>
      <c r="J456" s="3">
        <v>1.0468999999999999</v>
      </c>
      <c r="K456" s="6">
        <f t="shared" si="82"/>
        <v>2.5499999999999998</v>
      </c>
      <c r="L456" s="6">
        <f t="shared" si="83"/>
        <v>3.4000000000000004</v>
      </c>
      <c r="M456" s="6">
        <f t="shared" si="84"/>
        <v>0.3053600000000003</v>
      </c>
      <c r="N456" s="6">
        <f t="shared" si="85"/>
        <v>0</v>
      </c>
      <c r="O456" s="6">
        <f t="shared" si="86"/>
        <v>0</v>
      </c>
      <c r="P456" s="6">
        <f t="shared" si="87"/>
        <v>-63.936276800000066</v>
      </c>
      <c r="Q456" s="3">
        <v>-63.936276800000009</v>
      </c>
      <c r="R456" s="6">
        <f t="shared" si="88"/>
        <v>-5.6843418860808015E-14</v>
      </c>
      <c r="S456" s="6" t="str">
        <f t="shared" si="89"/>
        <v>OK</v>
      </c>
    </row>
    <row r="457" spans="1:19" x14ac:dyDescent="0.25">
      <c r="A457" s="3" t="str">
        <f t="shared" si="90"/>
        <v>03.07.2026</v>
      </c>
      <c r="B457" s="5">
        <v>56</v>
      </c>
      <c r="C457" s="5" t="s">
        <v>62</v>
      </c>
      <c r="D457" s="3">
        <v>17</v>
      </c>
      <c r="E457" s="3">
        <v>17.30536</v>
      </c>
      <c r="F457" s="6">
        <f t="shared" si="78"/>
        <v>0.3053600000000003</v>
      </c>
      <c r="G457" s="6">
        <f t="shared" si="79"/>
        <v>1.7962352941176488E-2</v>
      </c>
      <c r="H457" s="6" t="str">
        <f t="shared" si="80"/>
        <v>🟢 Over-injection</v>
      </c>
      <c r="I457" s="6">
        <f t="shared" si="81"/>
        <v>-0.3053600000000003</v>
      </c>
      <c r="J457" s="3">
        <v>1.1195999999999999</v>
      </c>
      <c r="K457" s="6">
        <f t="shared" si="82"/>
        <v>2.5499999999999998</v>
      </c>
      <c r="L457" s="6">
        <f t="shared" si="83"/>
        <v>3.4000000000000004</v>
      </c>
      <c r="M457" s="6">
        <f t="shared" si="84"/>
        <v>0.3053600000000003</v>
      </c>
      <c r="N457" s="6">
        <f t="shared" si="85"/>
        <v>0</v>
      </c>
      <c r="O457" s="6">
        <f t="shared" si="86"/>
        <v>0</v>
      </c>
      <c r="P457" s="6">
        <f t="shared" si="87"/>
        <v>-68.376211200000071</v>
      </c>
      <c r="Q457" s="3">
        <v>-68.376211200000014</v>
      </c>
      <c r="R457" s="6">
        <f t="shared" si="88"/>
        <v>0</v>
      </c>
      <c r="S457" s="6" t="str">
        <f t="shared" si="89"/>
        <v>OK</v>
      </c>
    </row>
    <row r="458" spans="1:19" x14ac:dyDescent="0.25">
      <c r="A458" s="3" t="str">
        <f t="shared" si="90"/>
        <v>03.07.2026</v>
      </c>
      <c r="B458" s="5">
        <v>57</v>
      </c>
      <c r="C458" s="5" t="s">
        <v>61</v>
      </c>
      <c r="D458" s="3">
        <v>17</v>
      </c>
      <c r="E458" s="3">
        <v>17.316700000000001</v>
      </c>
      <c r="F458" s="6">
        <f t="shared" si="78"/>
        <v>0.31670000000000087</v>
      </c>
      <c r="G458" s="6">
        <f t="shared" si="79"/>
        <v>1.8629411764705932E-2</v>
      </c>
      <c r="H458" s="6" t="str">
        <f t="shared" si="80"/>
        <v>🟢 Over-injection</v>
      </c>
      <c r="I458" s="6">
        <f t="shared" si="81"/>
        <v>-0.31670000000000087</v>
      </c>
      <c r="J458" s="3">
        <v>1.1207</v>
      </c>
      <c r="K458" s="6">
        <f t="shared" si="82"/>
        <v>2.5499999999999998</v>
      </c>
      <c r="L458" s="6">
        <f t="shared" si="83"/>
        <v>3.4000000000000004</v>
      </c>
      <c r="M458" s="6">
        <f t="shared" si="84"/>
        <v>0.31670000000000087</v>
      </c>
      <c r="N458" s="6">
        <f t="shared" si="85"/>
        <v>0</v>
      </c>
      <c r="O458" s="6">
        <f t="shared" si="86"/>
        <v>0</v>
      </c>
      <c r="P458" s="6">
        <f t="shared" si="87"/>
        <v>-70.985138000000191</v>
      </c>
      <c r="Q458" s="3">
        <v>-70.985138000000006</v>
      </c>
      <c r="R458" s="6">
        <f t="shared" si="88"/>
        <v>-1.8474111129762605E-13</v>
      </c>
      <c r="S458" s="6" t="str">
        <f t="shared" si="89"/>
        <v>OK</v>
      </c>
    </row>
    <row r="459" spans="1:19" x14ac:dyDescent="0.25">
      <c r="A459" s="3" t="str">
        <f t="shared" si="90"/>
        <v>03.07.2026</v>
      </c>
      <c r="B459" s="5">
        <v>58</v>
      </c>
      <c r="C459" s="5" t="s">
        <v>60</v>
      </c>
      <c r="D459" s="3">
        <v>17</v>
      </c>
      <c r="E459" s="3">
        <v>17.316700000000001</v>
      </c>
      <c r="F459" s="6">
        <f t="shared" si="78"/>
        <v>0.31670000000000087</v>
      </c>
      <c r="G459" s="6">
        <f t="shared" si="79"/>
        <v>1.8629411764705932E-2</v>
      </c>
      <c r="H459" s="6" t="str">
        <f t="shared" si="80"/>
        <v>🟢 Over-injection</v>
      </c>
      <c r="I459" s="6">
        <f t="shared" si="81"/>
        <v>-0.31670000000000087</v>
      </c>
      <c r="J459" s="3">
        <v>1.2038</v>
      </c>
      <c r="K459" s="6">
        <f t="shared" si="82"/>
        <v>2.5499999999999998</v>
      </c>
      <c r="L459" s="6">
        <f t="shared" si="83"/>
        <v>3.4000000000000004</v>
      </c>
      <c r="M459" s="6">
        <f t="shared" si="84"/>
        <v>0.31670000000000087</v>
      </c>
      <c r="N459" s="6">
        <f t="shared" si="85"/>
        <v>0</v>
      </c>
      <c r="O459" s="6">
        <f t="shared" si="86"/>
        <v>0</v>
      </c>
      <c r="P459" s="6">
        <f t="shared" si="87"/>
        <v>-76.248692000000219</v>
      </c>
      <c r="Q459" s="3">
        <v>-76.248691999999991</v>
      </c>
      <c r="R459" s="6">
        <f t="shared" si="88"/>
        <v>-2.2737367544323206E-13</v>
      </c>
      <c r="S459" s="6" t="str">
        <f t="shared" si="89"/>
        <v>OK</v>
      </c>
    </row>
    <row r="460" spans="1:19" x14ac:dyDescent="0.25">
      <c r="A460" s="3" t="str">
        <f t="shared" si="90"/>
        <v>03.07.2026</v>
      </c>
      <c r="B460" s="5">
        <v>59</v>
      </c>
      <c r="C460" s="5" t="s">
        <v>59</v>
      </c>
      <c r="D460" s="3">
        <v>18</v>
      </c>
      <c r="E460" s="3">
        <v>17.99757</v>
      </c>
      <c r="F460" s="6">
        <f t="shared" si="78"/>
        <v>-2.4300000000003763E-3</v>
      </c>
      <c r="G460" s="6">
        <f t="shared" si="79"/>
        <v>-1.350000000000209E-4</v>
      </c>
      <c r="H460" s="6" t="str">
        <f t="shared" si="80"/>
        <v>🔴 Under-injection</v>
      </c>
      <c r="I460" s="6">
        <f t="shared" si="81"/>
        <v>2.4300000000003763E-3</v>
      </c>
      <c r="J460" s="3">
        <v>1.5552000000000001</v>
      </c>
      <c r="K460" s="6">
        <f t="shared" si="82"/>
        <v>2.6999999999999997</v>
      </c>
      <c r="L460" s="6">
        <f t="shared" si="83"/>
        <v>3.6</v>
      </c>
      <c r="M460" s="6">
        <f t="shared" si="84"/>
        <v>2.4300000000003763E-3</v>
      </c>
      <c r="N460" s="6">
        <f t="shared" si="85"/>
        <v>0</v>
      </c>
      <c r="O460" s="6">
        <f t="shared" si="86"/>
        <v>0</v>
      </c>
      <c r="P460" s="6">
        <f t="shared" si="87"/>
        <v>0.99202320000015365</v>
      </c>
      <c r="Q460" s="3">
        <v>0.9920232000000001</v>
      </c>
      <c r="R460" s="6">
        <f t="shared" si="88"/>
        <v>1.5354384430565915E-13</v>
      </c>
      <c r="S460" s="6" t="str">
        <f t="shared" si="89"/>
        <v>OK</v>
      </c>
    </row>
    <row r="461" spans="1:19" x14ac:dyDescent="0.25">
      <c r="A461" s="3" t="str">
        <f t="shared" si="90"/>
        <v>03.07.2026</v>
      </c>
      <c r="B461" s="5">
        <v>60</v>
      </c>
      <c r="C461" s="5" t="s">
        <v>58</v>
      </c>
      <c r="D461" s="3">
        <v>18</v>
      </c>
      <c r="E461" s="3">
        <v>18.564959999999999</v>
      </c>
      <c r="F461" s="6">
        <f t="shared" si="78"/>
        <v>0.56495999999999924</v>
      </c>
      <c r="G461" s="6">
        <f t="shared" si="79"/>
        <v>3.1386666666666625E-2</v>
      </c>
      <c r="H461" s="6" t="str">
        <f t="shared" si="80"/>
        <v>🟢 Over-injection</v>
      </c>
      <c r="I461" s="6">
        <f t="shared" si="81"/>
        <v>-0.56495999999999924</v>
      </c>
      <c r="J461" s="3">
        <v>1.6340999999999999</v>
      </c>
      <c r="K461" s="6">
        <f t="shared" si="82"/>
        <v>2.6999999999999997</v>
      </c>
      <c r="L461" s="6">
        <f t="shared" si="83"/>
        <v>3.6</v>
      </c>
      <c r="M461" s="6">
        <f t="shared" si="84"/>
        <v>0.56495999999999924</v>
      </c>
      <c r="N461" s="6">
        <f t="shared" si="85"/>
        <v>0</v>
      </c>
      <c r="O461" s="6">
        <f t="shared" si="86"/>
        <v>0</v>
      </c>
      <c r="P461" s="6">
        <f t="shared" si="87"/>
        <v>-184.64022719999977</v>
      </c>
      <c r="Q461" s="3">
        <v>-184.6402272</v>
      </c>
      <c r="R461" s="6">
        <f t="shared" si="88"/>
        <v>2.2737367544323206E-13</v>
      </c>
      <c r="S461" s="6" t="str">
        <f t="shared" si="89"/>
        <v>OK</v>
      </c>
    </row>
    <row r="462" spans="1:19" x14ac:dyDescent="0.25">
      <c r="A462" s="3" t="str">
        <f t="shared" si="90"/>
        <v>03.07.2026</v>
      </c>
      <c r="B462" s="5">
        <v>61</v>
      </c>
      <c r="C462" s="5" t="s">
        <v>57</v>
      </c>
      <c r="D462" s="3">
        <v>19</v>
      </c>
      <c r="E462" s="3">
        <v>18.564959999999999</v>
      </c>
      <c r="F462" s="6">
        <f t="shared" si="78"/>
        <v>-0.43504000000000076</v>
      </c>
      <c r="G462" s="6">
        <f t="shared" si="79"/>
        <v>-2.2896842105263198E-2</v>
      </c>
      <c r="H462" s="6" t="str">
        <f t="shared" si="80"/>
        <v>🔴 Under-injection</v>
      </c>
      <c r="I462" s="6">
        <f t="shared" si="81"/>
        <v>0.43504000000000076</v>
      </c>
      <c r="J462" s="3">
        <v>1.9165000000000001</v>
      </c>
      <c r="K462" s="6">
        <f t="shared" si="82"/>
        <v>2.85</v>
      </c>
      <c r="L462" s="6">
        <f t="shared" si="83"/>
        <v>3.8000000000000003</v>
      </c>
      <c r="M462" s="6">
        <f t="shared" si="84"/>
        <v>0.43504000000000076</v>
      </c>
      <c r="N462" s="6">
        <f t="shared" si="85"/>
        <v>0</v>
      </c>
      <c r="O462" s="6">
        <f t="shared" si="86"/>
        <v>0</v>
      </c>
      <c r="P462" s="6">
        <f t="shared" si="87"/>
        <v>218.8604670000004</v>
      </c>
      <c r="Q462" s="3">
        <v>218.860467</v>
      </c>
      <c r="R462" s="6">
        <f t="shared" si="88"/>
        <v>3.979039320256561E-13</v>
      </c>
      <c r="S462" s="6" t="str">
        <f t="shared" si="89"/>
        <v>OK</v>
      </c>
    </row>
    <row r="463" spans="1:19" x14ac:dyDescent="0.25">
      <c r="A463" s="3" t="str">
        <f t="shared" si="90"/>
        <v>03.07.2026</v>
      </c>
      <c r="B463" s="5">
        <v>62</v>
      </c>
      <c r="C463" s="5" t="s">
        <v>56</v>
      </c>
      <c r="D463" s="3">
        <v>19</v>
      </c>
      <c r="E463" s="3">
        <v>18.564959999999999</v>
      </c>
      <c r="F463" s="6">
        <f t="shared" si="78"/>
        <v>-0.43504000000000076</v>
      </c>
      <c r="G463" s="6">
        <f t="shared" si="79"/>
        <v>-2.2896842105263198E-2</v>
      </c>
      <c r="H463" s="6" t="str">
        <f t="shared" si="80"/>
        <v>🔴 Under-injection</v>
      </c>
      <c r="I463" s="6">
        <f t="shared" si="81"/>
        <v>0.43504000000000076</v>
      </c>
      <c r="J463" s="3">
        <v>2.1534999999999997</v>
      </c>
      <c r="K463" s="6">
        <f t="shared" si="82"/>
        <v>2.85</v>
      </c>
      <c r="L463" s="6">
        <f t="shared" si="83"/>
        <v>3.8000000000000003</v>
      </c>
      <c r="M463" s="6">
        <f t="shared" si="84"/>
        <v>0.43504000000000076</v>
      </c>
      <c r="N463" s="6">
        <f t="shared" si="85"/>
        <v>0</v>
      </c>
      <c r="O463" s="6">
        <f t="shared" si="86"/>
        <v>0</v>
      </c>
      <c r="P463" s="6">
        <f t="shared" si="87"/>
        <v>245.92539300000041</v>
      </c>
      <c r="Q463" s="3">
        <v>245.92539299999996</v>
      </c>
      <c r="R463" s="6">
        <f t="shared" si="88"/>
        <v>4.5474735088646412E-13</v>
      </c>
      <c r="S463" s="6" t="str">
        <f t="shared" si="89"/>
        <v>OK</v>
      </c>
    </row>
    <row r="464" spans="1:19" x14ac:dyDescent="0.25">
      <c r="A464" s="3" t="str">
        <f t="shared" si="90"/>
        <v>03.07.2026</v>
      </c>
      <c r="B464" s="5">
        <v>63</v>
      </c>
      <c r="C464" s="5" t="s">
        <v>55</v>
      </c>
      <c r="D464" s="3">
        <v>22</v>
      </c>
      <c r="E464" s="3">
        <v>21.05012</v>
      </c>
      <c r="F464" s="6">
        <f t="shared" si="78"/>
        <v>-0.94988000000000028</v>
      </c>
      <c r="G464" s="6">
        <f t="shared" si="79"/>
        <v>-4.3176363636363652E-2</v>
      </c>
      <c r="H464" s="6" t="str">
        <f t="shared" si="80"/>
        <v>🔴 Under-injection</v>
      </c>
      <c r="I464" s="6">
        <f t="shared" si="81"/>
        <v>0.94988000000000028</v>
      </c>
      <c r="J464" s="3">
        <v>2.3165999999999998</v>
      </c>
      <c r="K464" s="6">
        <f t="shared" si="82"/>
        <v>3.3</v>
      </c>
      <c r="L464" s="6">
        <f t="shared" si="83"/>
        <v>4.4000000000000004</v>
      </c>
      <c r="M464" s="6">
        <f t="shared" si="84"/>
        <v>0.94988000000000028</v>
      </c>
      <c r="N464" s="6">
        <f t="shared" si="85"/>
        <v>0</v>
      </c>
      <c r="O464" s="6">
        <f t="shared" si="86"/>
        <v>0</v>
      </c>
      <c r="P464" s="6">
        <f t="shared" si="87"/>
        <v>577.62915210000006</v>
      </c>
      <c r="Q464" s="3">
        <v>577.62915209999983</v>
      </c>
      <c r="R464" s="6">
        <f t="shared" si="88"/>
        <v>0</v>
      </c>
      <c r="S464" s="6" t="str">
        <f t="shared" si="89"/>
        <v>OK</v>
      </c>
    </row>
    <row r="465" spans="1:19" x14ac:dyDescent="0.25">
      <c r="A465" s="3" t="str">
        <f t="shared" si="90"/>
        <v>03.07.2026</v>
      </c>
      <c r="B465" s="5">
        <v>64</v>
      </c>
      <c r="C465" s="5" t="s">
        <v>54</v>
      </c>
      <c r="D465" s="3">
        <v>22</v>
      </c>
      <c r="E465" s="3">
        <v>22.026039999999998</v>
      </c>
      <c r="F465" s="6">
        <f t="shared" si="78"/>
        <v>2.6039999999998287E-2</v>
      </c>
      <c r="G465" s="6">
        <f t="shared" si="79"/>
        <v>1.1836363636362859E-3</v>
      </c>
      <c r="H465" s="6" t="str">
        <f t="shared" si="80"/>
        <v>🟢 Over-injection</v>
      </c>
      <c r="I465" s="6">
        <f t="shared" si="81"/>
        <v>-2.6039999999998287E-2</v>
      </c>
      <c r="J465" s="3">
        <v>2.3239000000000001</v>
      </c>
      <c r="K465" s="6">
        <f t="shared" si="82"/>
        <v>3.3</v>
      </c>
      <c r="L465" s="6">
        <f t="shared" si="83"/>
        <v>4.4000000000000004</v>
      </c>
      <c r="M465" s="6">
        <f t="shared" si="84"/>
        <v>2.6039999999998287E-2</v>
      </c>
      <c r="N465" s="6">
        <f t="shared" si="85"/>
        <v>0</v>
      </c>
      <c r="O465" s="6">
        <f t="shared" si="86"/>
        <v>0</v>
      </c>
      <c r="P465" s="6">
        <f t="shared" si="87"/>
        <v>-12.102871199999203</v>
      </c>
      <c r="Q465" s="3">
        <v>-12.102871200000001</v>
      </c>
      <c r="R465" s="6">
        <f t="shared" si="88"/>
        <v>7.9758422089071246E-13</v>
      </c>
      <c r="S465" s="6" t="str">
        <f t="shared" si="89"/>
        <v>OK</v>
      </c>
    </row>
    <row r="466" spans="1:19" x14ac:dyDescent="0.25">
      <c r="A466" s="3" t="str">
        <f t="shared" si="90"/>
        <v>03.07.2026</v>
      </c>
      <c r="B466" s="5">
        <v>65</v>
      </c>
      <c r="C466" s="5" t="s">
        <v>53</v>
      </c>
      <c r="D466" s="3">
        <v>22</v>
      </c>
      <c r="E466" s="3">
        <v>22.026039999999998</v>
      </c>
      <c r="F466" s="6">
        <f t="shared" ref="F466:F529" si="91">E466-D466</f>
        <v>2.6039999999998287E-2</v>
      </c>
      <c r="G466" s="6">
        <f t="shared" ref="G466:G529" si="92">IF(D466=0,0,F466/D466)</f>
        <v>1.1836363636362859E-3</v>
      </c>
      <c r="H466" s="6" t="str">
        <f t="shared" ref="H466:H529" si="93">IF(E466&gt;D466,"🟢 Over-injection",IF(E466&lt;D466,"🔴 Under-injection","⚪ Nil"))</f>
        <v>🟢 Over-injection</v>
      </c>
      <c r="I466" s="6">
        <f t="shared" ref="I466:I529" si="94">-F466</f>
        <v>-2.6039999999998287E-2</v>
      </c>
      <c r="J466" s="3">
        <v>2.3715000000000002</v>
      </c>
      <c r="K466" s="6">
        <f t="shared" ref="K466:K529" si="95">MIN(ABS(D466)*$B$7,$B$8)</f>
        <v>3.3</v>
      </c>
      <c r="L466" s="6">
        <f t="shared" ref="L466:L529" si="96">MIN(ABS(D466)*$B$9,$B$10)</f>
        <v>4.4000000000000004</v>
      </c>
      <c r="M466" s="6">
        <f t="shared" ref="M466:M529" si="97">MIN(ABS(F466),K466)</f>
        <v>2.6039999999998287E-2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-12.350771999999187</v>
      </c>
      <c r="Q466" s="3">
        <v>-12.350772000000001</v>
      </c>
      <c r="R466" s="6">
        <f t="shared" ref="R466:R529" si="101">P466-Q466</f>
        <v>8.1357143244531471E-13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03.07.2026</v>
      </c>
      <c r="B467" s="5">
        <v>66</v>
      </c>
      <c r="C467" s="5" t="s">
        <v>52</v>
      </c>
      <c r="D467" s="3">
        <v>22</v>
      </c>
      <c r="E467" s="3">
        <v>22.037379999999999</v>
      </c>
      <c r="F467" s="6">
        <f t="shared" si="91"/>
        <v>3.7379999999998859E-2</v>
      </c>
      <c r="G467" s="6">
        <f t="shared" si="92"/>
        <v>1.6990909090908572E-3</v>
      </c>
      <c r="H467" s="6" t="str">
        <f t="shared" si="93"/>
        <v>🟢 Over-injection</v>
      </c>
      <c r="I467" s="6">
        <f t="shared" si="94"/>
        <v>-3.7379999999998859E-2</v>
      </c>
      <c r="J467" s="3">
        <v>2.3407</v>
      </c>
      <c r="K467" s="6">
        <f t="shared" si="95"/>
        <v>3.3</v>
      </c>
      <c r="L467" s="6">
        <f t="shared" si="96"/>
        <v>4.4000000000000004</v>
      </c>
      <c r="M467" s="6">
        <f t="shared" si="97"/>
        <v>3.7379999999998859E-2</v>
      </c>
      <c r="N467" s="6">
        <f t="shared" si="98"/>
        <v>0</v>
      </c>
      <c r="O467" s="6">
        <f t="shared" si="99"/>
        <v>0</v>
      </c>
      <c r="P467" s="6">
        <f t="shared" si="100"/>
        <v>-17.499073199999465</v>
      </c>
      <c r="Q467" s="3">
        <v>-17.499073199999998</v>
      </c>
      <c r="R467" s="6">
        <f t="shared" si="101"/>
        <v>5.3290705182007514E-13</v>
      </c>
      <c r="S467" s="6" t="str">
        <f t="shared" si="102"/>
        <v>OK</v>
      </c>
    </row>
    <row r="468" spans="1:19" x14ac:dyDescent="0.25">
      <c r="A468" s="3" t="str">
        <f t="shared" ref="A468:A531" si="103">A467</f>
        <v>03.07.2026</v>
      </c>
      <c r="B468" s="5">
        <v>67</v>
      </c>
      <c r="C468" s="5" t="s">
        <v>51</v>
      </c>
      <c r="D468" s="3">
        <v>23</v>
      </c>
      <c r="E468" s="3">
        <v>23.08137</v>
      </c>
      <c r="F468" s="6">
        <f t="shared" si="91"/>
        <v>8.136999999999972E-2</v>
      </c>
      <c r="G468" s="6">
        <f t="shared" si="92"/>
        <v>3.5378260869565097E-3</v>
      </c>
      <c r="H468" s="6" t="str">
        <f t="shared" si="93"/>
        <v>🟢 Over-injection</v>
      </c>
      <c r="I468" s="6">
        <f t="shared" si="94"/>
        <v>-8.136999999999972E-2</v>
      </c>
      <c r="J468" s="3">
        <v>2.3927999999999998</v>
      </c>
      <c r="K468" s="6">
        <f t="shared" si="95"/>
        <v>3.4499999999999997</v>
      </c>
      <c r="L468" s="6">
        <f t="shared" si="96"/>
        <v>4.6000000000000005</v>
      </c>
      <c r="M468" s="6">
        <f t="shared" si="97"/>
        <v>8.136999999999972E-2</v>
      </c>
      <c r="N468" s="6">
        <f t="shared" si="98"/>
        <v>0</v>
      </c>
      <c r="O468" s="6">
        <f t="shared" si="99"/>
        <v>0</v>
      </c>
      <c r="P468" s="6">
        <f t="shared" si="100"/>
        <v>-38.940427199999867</v>
      </c>
      <c r="Q468" s="3">
        <v>-38.940427199999995</v>
      </c>
      <c r="R468" s="6">
        <f t="shared" si="101"/>
        <v>1.2789769243681803E-13</v>
      </c>
      <c r="S468" s="6" t="str">
        <f t="shared" si="102"/>
        <v>OK</v>
      </c>
    </row>
    <row r="469" spans="1:19" x14ac:dyDescent="0.25">
      <c r="A469" s="3" t="str">
        <f t="shared" si="103"/>
        <v>03.07.2026</v>
      </c>
      <c r="B469" s="5">
        <v>68</v>
      </c>
      <c r="C469" s="5" t="s">
        <v>50</v>
      </c>
      <c r="D469" s="3">
        <v>23</v>
      </c>
      <c r="E469" s="3">
        <v>23.296980000000001</v>
      </c>
      <c r="F469" s="6">
        <f t="shared" si="91"/>
        <v>0.29698000000000135</v>
      </c>
      <c r="G469" s="6">
        <f t="shared" si="92"/>
        <v>1.2912173913043537E-2</v>
      </c>
      <c r="H469" s="6" t="str">
        <f t="shared" si="93"/>
        <v>🟢 Over-injection</v>
      </c>
      <c r="I469" s="6">
        <f t="shared" si="94"/>
        <v>-0.29698000000000135</v>
      </c>
      <c r="J469" s="3">
        <v>2.4504000000000001</v>
      </c>
      <c r="K469" s="6">
        <f t="shared" si="95"/>
        <v>3.4499999999999997</v>
      </c>
      <c r="L469" s="6">
        <f t="shared" si="96"/>
        <v>4.6000000000000005</v>
      </c>
      <c r="M469" s="6">
        <f t="shared" si="97"/>
        <v>0.29698000000000135</v>
      </c>
      <c r="N469" s="6">
        <f t="shared" si="98"/>
        <v>0</v>
      </c>
      <c r="O469" s="6">
        <f t="shared" si="99"/>
        <v>0</v>
      </c>
      <c r="P469" s="6">
        <f t="shared" si="100"/>
        <v>-145.54395840000066</v>
      </c>
      <c r="Q469" s="3">
        <v>-145.54395840000004</v>
      </c>
      <c r="R469" s="6">
        <f t="shared" si="101"/>
        <v>-6.2527760746888816E-13</v>
      </c>
      <c r="S469" s="6" t="str">
        <f t="shared" si="102"/>
        <v>OK</v>
      </c>
    </row>
    <row r="470" spans="1:19" x14ac:dyDescent="0.25">
      <c r="A470" s="3" t="str">
        <f t="shared" si="103"/>
        <v>03.07.2026</v>
      </c>
      <c r="B470" s="5">
        <v>69</v>
      </c>
      <c r="C470" s="5" t="s">
        <v>49</v>
      </c>
      <c r="D470" s="3">
        <v>23</v>
      </c>
      <c r="E470" s="3">
        <v>23.285640000000001</v>
      </c>
      <c r="F470" s="6">
        <f t="shared" si="91"/>
        <v>0.28564000000000078</v>
      </c>
      <c r="G470" s="6">
        <f t="shared" si="92"/>
        <v>1.2419130434782643E-2</v>
      </c>
      <c r="H470" s="6" t="str">
        <f t="shared" si="93"/>
        <v>🟢 Over-injection</v>
      </c>
      <c r="I470" s="6">
        <f t="shared" si="94"/>
        <v>-0.28564000000000078</v>
      </c>
      <c r="J470" s="3">
        <v>2.4468999999999999</v>
      </c>
      <c r="K470" s="6">
        <f t="shared" si="95"/>
        <v>3.4499999999999997</v>
      </c>
      <c r="L470" s="6">
        <f t="shared" si="96"/>
        <v>4.6000000000000005</v>
      </c>
      <c r="M470" s="6">
        <f t="shared" si="97"/>
        <v>0.28564000000000078</v>
      </c>
      <c r="N470" s="6">
        <f t="shared" si="98"/>
        <v>0</v>
      </c>
      <c r="O470" s="6">
        <f t="shared" si="99"/>
        <v>0</v>
      </c>
      <c r="P470" s="6">
        <f t="shared" si="100"/>
        <v>-139.7865032000004</v>
      </c>
      <c r="Q470" s="3">
        <v>-139.7865032</v>
      </c>
      <c r="R470" s="6">
        <f t="shared" si="101"/>
        <v>-3.979039320256561E-13</v>
      </c>
      <c r="S470" s="6" t="str">
        <f t="shared" si="102"/>
        <v>OK</v>
      </c>
    </row>
    <row r="471" spans="1:19" x14ac:dyDescent="0.25">
      <c r="A471" s="3" t="str">
        <f t="shared" si="103"/>
        <v>03.07.2026</v>
      </c>
      <c r="B471" s="5">
        <v>70</v>
      </c>
      <c r="C471" s="5" t="s">
        <v>48</v>
      </c>
      <c r="D471" s="3">
        <v>23</v>
      </c>
      <c r="E471" s="3">
        <v>23.296980000000001</v>
      </c>
      <c r="F471" s="6">
        <f t="shared" si="91"/>
        <v>0.29698000000000135</v>
      </c>
      <c r="G471" s="6">
        <f t="shared" si="92"/>
        <v>1.2912173913043537E-2</v>
      </c>
      <c r="H471" s="6" t="str">
        <f t="shared" si="93"/>
        <v>🟢 Over-injection</v>
      </c>
      <c r="I471" s="6">
        <f t="shared" si="94"/>
        <v>-0.29698000000000135</v>
      </c>
      <c r="J471" s="3">
        <v>2.5093000000000001</v>
      </c>
      <c r="K471" s="6">
        <f t="shared" si="95"/>
        <v>3.4499999999999997</v>
      </c>
      <c r="L471" s="6">
        <f t="shared" si="96"/>
        <v>4.6000000000000005</v>
      </c>
      <c r="M471" s="6">
        <f t="shared" si="97"/>
        <v>0.29698000000000135</v>
      </c>
      <c r="N471" s="6">
        <f t="shared" si="98"/>
        <v>0</v>
      </c>
      <c r="O471" s="6">
        <f t="shared" si="99"/>
        <v>0</v>
      </c>
      <c r="P471" s="6">
        <f t="shared" si="100"/>
        <v>-149.04238280000069</v>
      </c>
      <c r="Q471" s="3">
        <v>-149.04238280000004</v>
      </c>
      <c r="R471" s="6">
        <f t="shared" si="101"/>
        <v>-6.5369931689929217E-13</v>
      </c>
      <c r="S471" s="6" t="str">
        <f t="shared" si="102"/>
        <v>OK</v>
      </c>
    </row>
    <row r="472" spans="1:19" x14ac:dyDescent="0.25">
      <c r="A472" s="3" t="str">
        <f t="shared" si="103"/>
        <v>03.07.2026</v>
      </c>
      <c r="B472" s="5">
        <v>71</v>
      </c>
      <c r="C472" s="5" t="s">
        <v>47</v>
      </c>
      <c r="D472" s="3">
        <v>24</v>
      </c>
      <c r="E472" s="3">
        <v>23.773589999999999</v>
      </c>
      <c r="F472" s="6">
        <f t="shared" si="91"/>
        <v>-0.22641000000000133</v>
      </c>
      <c r="G472" s="6">
        <f t="shared" si="92"/>
        <v>-9.4337500000000549E-3</v>
      </c>
      <c r="H472" s="6" t="str">
        <f t="shared" si="93"/>
        <v>🔴 Under-injection</v>
      </c>
      <c r="I472" s="6">
        <f t="shared" si="94"/>
        <v>0.22641000000000133</v>
      </c>
      <c r="J472" s="3">
        <v>2.4434</v>
      </c>
      <c r="K472" s="6">
        <f t="shared" si="95"/>
        <v>3.5999999999999996</v>
      </c>
      <c r="L472" s="6">
        <f t="shared" si="96"/>
        <v>4.8000000000000007</v>
      </c>
      <c r="M472" s="6">
        <f t="shared" si="97"/>
        <v>0.22641000000000133</v>
      </c>
      <c r="N472" s="6">
        <f t="shared" si="98"/>
        <v>0</v>
      </c>
      <c r="O472" s="6">
        <f t="shared" si="99"/>
        <v>0</v>
      </c>
      <c r="P472" s="6">
        <f t="shared" si="100"/>
        <v>145.21767592500083</v>
      </c>
      <c r="Q472" s="3">
        <v>145.21767592500001</v>
      </c>
      <c r="R472" s="6">
        <f t="shared" si="101"/>
        <v>8.2422957348171622E-13</v>
      </c>
      <c r="S472" s="6" t="str">
        <f t="shared" si="102"/>
        <v>OK</v>
      </c>
    </row>
    <row r="473" spans="1:19" x14ac:dyDescent="0.25">
      <c r="A473" s="3" t="str">
        <f t="shared" si="103"/>
        <v>03.07.2026</v>
      </c>
      <c r="B473" s="5">
        <v>72</v>
      </c>
      <c r="C473" s="5" t="s">
        <v>46</v>
      </c>
      <c r="D473" s="3">
        <v>24</v>
      </c>
      <c r="E473" s="3">
        <v>24.045940000000002</v>
      </c>
      <c r="F473" s="6">
        <f t="shared" si="91"/>
        <v>4.5940000000001646E-2</v>
      </c>
      <c r="G473" s="6">
        <f t="shared" si="92"/>
        <v>1.9141666666667352E-3</v>
      </c>
      <c r="H473" s="6" t="str">
        <f t="shared" si="93"/>
        <v>🟢 Over-injection</v>
      </c>
      <c r="I473" s="6">
        <f t="shared" si="94"/>
        <v>-4.5940000000001646E-2</v>
      </c>
      <c r="J473" s="3">
        <v>2.5611999999999999</v>
      </c>
      <c r="K473" s="6">
        <f t="shared" si="95"/>
        <v>3.5999999999999996</v>
      </c>
      <c r="L473" s="6">
        <f t="shared" si="96"/>
        <v>4.8000000000000007</v>
      </c>
      <c r="M473" s="6">
        <f t="shared" si="97"/>
        <v>4.5940000000001646E-2</v>
      </c>
      <c r="N473" s="6">
        <f t="shared" si="98"/>
        <v>0</v>
      </c>
      <c r="O473" s="6">
        <f t="shared" si="99"/>
        <v>0</v>
      </c>
      <c r="P473" s="6">
        <f t="shared" si="100"/>
        <v>-23.532305600000843</v>
      </c>
      <c r="Q473" s="3">
        <v>-23.532305600000001</v>
      </c>
      <c r="R473" s="6">
        <f t="shared" si="101"/>
        <v>-8.4199314187571872E-13</v>
      </c>
      <c r="S473" s="6" t="str">
        <f t="shared" si="102"/>
        <v>OK</v>
      </c>
    </row>
    <row r="474" spans="1:19" x14ac:dyDescent="0.25">
      <c r="A474" s="3" t="str">
        <f t="shared" si="103"/>
        <v>03.07.2026</v>
      </c>
      <c r="B474" s="5">
        <v>73</v>
      </c>
      <c r="C474" s="5" t="s">
        <v>45</v>
      </c>
      <c r="D474" s="3">
        <v>25.7</v>
      </c>
      <c r="E474" s="3">
        <v>24.874320000000001</v>
      </c>
      <c r="F474" s="6">
        <f t="shared" si="91"/>
        <v>-0.82567999999999842</v>
      </c>
      <c r="G474" s="6">
        <f t="shared" si="92"/>
        <v>-3.212762645914391E-2</v>
      </c>
      <c r="H474" s="6" t="str">
        <f t="shared" si="93"/>
        <v>🔴 Under-injection</v>
      </c>
      <c r="I474" s="6">
        <f t="shared" si="94"/>
        <v>0.82567999999999842</v>
      </c>
      <c r="J474" s="3">
        <v>3.3062</v>
      </c>
      <c r="K474" s="6">
        <f t="shared" si="95"/>
        <v>3.8549999999999995</v>
      </c>
      <c r="L474" s="6">
        <f t="shared" si="96"/>
        <v>5.1400000000000006</v>
      </c>
      <c r="M474" s="6">
        <f t="shared" si="97"/>
        <v>0.82567999999999842</v>
      </c>
      <c r="N474" s="6">
        <f t="shared" si="98"/>
        <v>0</v>
      </c>
      <c r="O474" s="6">
        <f t="shared" si="99"/>
        <v>0</v>
      </c>
      <c r="P474" s="6">
        <f t="shared" si="100"/>
        <v>716.58909419999873</v>
      </c>
      <c r="Q474" s="3">
        <v>716.58909420000009</v>
      </c>
      <c r="R474" s="6">
        <f t="shared" si="101"/>
        <v>-1.3642420526593924E-12</v>
      </c>
      <c r="S474" s="6" t="str">
        <f t="shared" si="102"/>
        <v>OK</v>
      </c>
    </row>
    <row r="475" spans="1:19" x14ac:dyDescent="0.25">
      <c r="A475" s="3" t="str">
        <f t="shared" si="103"/>
        <v>03.07.2026</v>
      </c>
      <c r="B475" s="5">
        <v>74</v>
      </c>
      <c r="C475" s="5" t="s">
        <v>44</v>
      </c>
      <c r="D475" s="3">
        <v>25.7</v>
      </c>
      <c r="E475" s="3">
        <v>3.4610699999999999</v>
      </c>
      <c r="F475" s="6">
        <f t="shared" si="91"/>
        <v>-22.23893</v>
      </c>
      <c r="G475" s="6">
        <f t="shared" si="92"/>
        <v>-0.86532801556420236</v>
      </c>
      <c r="H475" s="6" t="str">
        <f t="shared" si="93"/>
        <v>🔴 Under-injection</v>
      </c>
      <c r="I475" s="6">
        <f t="shared" si="94"/>
        <v>22.23893</v>
      </c>
      <c r="J475" s="3">
        <v>3.6908999999999996</v>
      </c>
      <c r="K475" s="6">
        <f t="shared" si="95"/>
        <v>3.8549999999999995</v>
      </c>
      <c r="L475" s="6">
        <f t="shared" si="96"/>
        <v>5.1400000000000006</v>
      </c>
      <c r="M475" s="6">
        <f t="shared" si="97"/>
        <v>3.8549999999999995</v>
      </c>
      <c r="N475" s="6">
        <f t="shared" si="98"/>
        <v>1.285000000000001</v>
      </c>
      <c r="O475" s="6">
        <f t="shared" si="99"/>
        <v>17.098929999999999</v>
      </c>
      <c r="P475" s="6">
        <f t="shared" si="100"/>
        <v>23972.364127349996</v>
      </c>
      <c r="Q475" s="3">
        <v>23972.364127349996</v>
      </c>
      <c r="R475" s="6">
        <f t="shared" si="101"/>
        <v>0</v>
      </c>
      <c r="S475" s="6" t="str">
        <f t="shared" si="102"/>
        <v>OK</v>
      </c>
    </row>
    <row r="476" spans="1:19" x14ac:dyDescent="0.25">
      <c r="A476" s="3" t="str">
        <f t="shared" si="103"/>
        <v>03.07.2026</v>
      </c>
      <c r="B476" s="5">
        <v>75</v>
      </c>
      <c r="C476" s="5" t="s">
        <v>43</v>
      </c>
      <c r="D476" s="3">
        <v>25.7</v>
      </c>
      <c r="E476" s="3">
        <v>-6.8769999999999998E-2</v>
      </c>
      <c r="F476" s="6">
        <f t="shared" si="91"/>
        <v>-25.76877</v>
      </c>
      <c r="G476" s="6">
        <f t="shared" si="92"/>
        <v>-1.0026758754863814</v>
      </c>
      <c r="H476" s="6" t="str">
        <f t="shared" si="93"/>
        <v>🔴 Under-injection</v>
      </c>
      <c r="I476" s="6">
        <f t="shared" si="94"/>
        <v>25.76877</v>
      </c>
      <c r="J476" s="3">
        <v>3.8479000000000001</v>
      </c>
      <c r="K476" s="6">
        <f t="shared" si="95"/>
        <v>3.8549999999999995</v>
      </c>
      <c r="L476" s="6">
        <f t="shared" si="96"/>
        <v>5.1400000000000006</v>
      </c>
      <c r="M476" s="6">
        <f t="shared" si="97"/>
        <v>3.8549999999999995</v>
      </c>
      <c r="N476" s="6">
        <f t="shared" si="98"/>
        <v>1.285000000000001</v>
      </c>
      <c r="O476" s="6">
        <f t="shared" si="99"/>
        <v>20.628769999999999</v>
      </c>
      <c r="P476" s="6">
        <f t="shared" si="100"/>
        <v>29066.819193650004</v>
      </c>
      <c r="Q476" s="3">
        <v>29066.819193650001</v>
      </c>
      <c r="R476" s="6">
        <f t="shared" si="101"/>
        <v>0</v>
      </c>
      <c r="S476" s="6" t="str">
        <f t="shared" si="102"/>
        <v>OK</v>
      </c>
    </row>
    <row r="477" spans="1:19" x14ac:dyDescent="0.25">
      <c r="A477" s="3" t="str">
        <f t="shared" si="103"/>
        <v>03.07.2026</v>
      </c>
      <c r="B477" s="5">
        <v>76</v>
      </c>
      <c r="C477" s="5" t="s">
        <v>42</v>
      </c>
      <c r="D477" s="3">
        <v>25.7</v>
      </c>
      <c r="E477" s="3">
        <v>-6.8769999999999998E-2</v>
      </c>
      <c r="F477" s="6">
        <f t="shared" si="91"/>
        <v>-25.76877</v>
      </c>
      <c r="G477" s="6">
        <f t="shared" si="92"/>
        <v>-1.0026758754863814</v>
      </c>
      <c r="H477" s="6" t="str">
        <f t="shared" si="93"/>
        <v>🔴 Under-injection</v>
      </c>
      <c r="I477" s="6">
        <f t="shared" si="94"/>
        <v>25.76877</v>
      </c>
      <c r="J477" s="3">
        <v>4.4627999999999997</v>
      </c>
      <c r="K477" s="6">
        <f t="shared" si="95"/>
        <v>3.8549999999999995</v>
      </c>
      <c r="L477" s="6">
        <f t="shared" si="96"/>
        <v>5.1400000000000006</v>
      </c>
      <c r="M477" s="6">
        <f t="shared" si="97"/>
        <v>3.8549999999999995</v>
      </c>
      <c r="N477" s="6">
        <f t="shared" si="98"/>
        <v>1.285000000000001</v>
      </c>
      <c r="O477" s="6">
        <f t="shared" si="99"/>
        <v>20.628769999999999</v>
      </c>
      <c r="P477" s="6">
        <f t="shared" si="100"/>
        <v>33711.739051800003</v>
      </c>
      <c r="Q477" s="3">
        <v>33711.739051799996</v>
      </c>
      <c r="R477" s="6">
        <f t="shared" si="101"/>
        <v>0</v>
      </c>
      <c r="S477" s="6" t="str">
        <f t="shared" si="102"/>
        <v>OK</v>
      </c>
    </row>
    <row r="478" spans="1:19" x14ac:dyDescent="0.25">
      <c r="A478" s="3" t="str">
        <f t="shared" si="103"/>
        <v>03.07.2026</v>
      </c>
      <c r="B478" s="5">
        <v>77</v>
      </c>
      <c r="C478" s="5" t="s">
        <v>41</v>
      </c>
      <c r="D478" s="3">
        <v>25.7</v>
      </c>
      <c r="E478" s="3">
        <v>-5.731E-2</v>
      </c>
      <c r="F478" s="6">
        <f t="shared" si="91"/>
        <v>-25.75731</v>
      </c>
      <c r="G478" s="6">
        <f t="shared" si="92"/>
        <v>-1.0022299610894942</v>
      </c>
      <c r="H478" s="6" t="str">
        <f t="shared" si="93"/>
        <v>🔴 Under-injection</v>
      </c>
      <c r="I478" s="6">
        <f t="shared" si="94"/>
        <v>25.75731</v>
      </c>
      <c r="J478" s="3">
        <v>5.2757000000000005</v>
      </c>
      <c r="K478" s="6">
        <f t="shared" si="95"/>
        <v>3.8549999999999995</v>
      </c>
      <c r="L478" s="6">
        <f t="shared" si="96"/>
        <v>5.1400000000000006</v>
      </c>
      <c r="M478" s="6">
        <f t="shared" si="97"/>
        <v>3.8549999999999995</v>
      </c>
      <c r="N478" s="6">
        <f t="shared" si="98"/>
        <v>1.285000000000001</v>
      </c>
      <c r="O478" s="6">
        <f t="shared" si="99"/>
        <v>20.61731</v>
      </c>
      <c r="P478" s="6">
        <f t="shared" si="100"/>
        <v>39834.201866349998</v>
      </c>
      <c r="Q478" s="3">
        <v>39834.201866350006</v>
      </c>
      <c r="R478" s="6">
        <f t="shared" si="101"/>
        <v>0</v>
      </c>
      <c r="S478" s="6" t="str">
        <f t="shared" si="102"/>
        <v>OK</v>
      </c>
    </row>
    <row r="479" spans="1:19" x14ac:dyDescent="0.25">
      <c r="A479" s="3" t="str">
        <f t="shared" si="103"/>
        <v>03.07.2026</v>
      </c>
      <c r="B479" s="5">
        <v>78</v>
      </c>
      <c r="C479" s="5" t="s">
        <v>40</v>
      </c>
      <c r="D479" s="3">
        <v>25.7</v>
      </c>
      <c r="E479" s="3">
        <v>-5.731E-2</v>
      </c>
      <c r="F479" s="6">
        <f t="shared" si="91"/>
        <v>-25.75731</v>
      </c>
      <c r="G479" s="6">
        <f t="shared" si="92"/>
        <v>-1.0022299610894942</v>
      </c>
      <c r="H479" s="6" t="str">
        <f t="shared" si="93"/>
        <v>🔴 Under-injection</v>
      </c>
      <c r="I479" s="6">
        <f t="shared" si="94"/>
        <v>25.75731</v>
      </c>
      <c r="J479" s="3">
        <v>5.9479999999999995</v>
      </c>
      <c r="K479" s="6">
        <f t="shared" si="95"/>
        <v>3.8549999999999995</v>
      </c>
      <c r="L479" s="6">
        <f t="shared" si="96"/>
        <v>5.1400000000000006</v>
      </c>
      <c r="M479" s="6">
        <f t="shared" si="97"/>
        <v>3.8549999999999995</v>
      </c>
      <c r="N479" s="6">
        <f t="shared" si="98"/>
        <v>1.285000000000001</v>
      </c>
      <c r="O479" s="6">
        <f t="shared" si="99"/>
        <v>20.61731</v>
      </c>
      <c r="P479" s="6">
        <f t="shared" si="100"/>
        <v>44910.406713999997</v>
      </c>
      <c r="Q479" s="3">
        <v>44910.406713999997</v>
      </c>
      <c r="R479" s="6">
        <f t="shared" si="101"/>
        <v>0</v>
      </c>
      <c r="S479" s="6" t="str">
        <f t="shared" si="102"/>
        <v>OK</v>
      </c>
    </row>
    <row r="480" spans="1:19" x14ac:dyDescent="0.25">
      <c r="A480" s="3" t="str">
        <f t="shared" si="103"/>
        <v>03.07.2026</v>
      </c>
      <c r="B480" s="5">
        <v>79</v>
      </c>
      <c r="C480" s="5" t="s">
        <v>39</v>
      </c>
      <c r="D480" s="3">
        <v>-0.21000000000000085</v>
      </c>
      <c r="E480" s="3">
        <v>-5.731E-2</v>
      </c>
      <c r="F480" s="6">
        <f t="shared" si="91"/>
        <v>0.15269000000000085</v>
      </c>
      <c r="G480" s="6">
        <f t="shared" si="92"/>
        <v>-0.72709523809523924</v>
      </c>
      <c r="H480" s="6" t="str">
        <f t="shared" si="93"/>
        <v>🟢 Over-injection</v>
      </c>
      <c r="I480" s="6">
        <f t="shared" si="94"/>
        <v>-0.15269000000000085</v>
      </c>
      <c r="J480" s="3">
        <v>5.9291</v>
      </c>
      <c r="K480" s="6">
        <f t="shared" si="95"/>
        <v>3.1500000000000125E-2</v>
      </c>
      <c r="L480" s="6">
        <f t="shared" si="96"/>
        <v>4.2000000000000176E-2</v>
      </c>
      <c r="M480" s="6">
        <f t="shared" si="97"/>
        <v>3.1500000000000125E-2</v>
      </c>
      <c r="N480" s="6">
        <f t="shared" si="98"/>
        <v>0</v>
      </c>
      <c r="O480" s="6">
        <f t="shared" si="99"/>
        <v>0</v>
      </c>
      <c r="P480" s="6">
        <f t="shared" si="100"/>
        <v>-37.353330000000149</v>
      </c>
      <c r="Q480" s="3">
        <v>-37.353330000000149</v>
      </c>
      <c r="R480" s="6">
        <f t="shared" si="101"/>
        <v>0</v>
      </c>
      <c r="S480" s="6" t="str">
        <f t="shared" si="102"/>
        <v>OK</v>
      </c>
    </row>
    <row r="481" spans="1:19" x14ac:dyDescent="0.25">
      <c r="A481" s="3" t="str">
        <f t="shared" si="103"/>
        <v>03.07.2026</v>
      </c>
      <c r="B481" s="5">
        <v>80</v>
      </c>
      <c r="C481" s="5" t="s">
        <v>38</v>
      </c>
      <c r="D481" s="3">
        <v>-0.21000000000000085</v>
      </c>
      <c r="E481" s="3">
        <v>-5.731E-2</v>
      </c>
      <c r="F481" s="6">
        <f t="shared" si="91"/>
        <v>0.15269000000000085</v>
      </c>
      <c r="G481" s="6">
        <f t="shared" si="92"/>
        <v>-0.72709523809523924</v>
      </c>
      <c r="H481" s="6" t="str">
        <f t="shared" si="93"/>
        <v>🟢 Over-injection</v>
      </c>
      <c r="I481" s="6">
        <f t="shared" si="94"/>
        <v>-0.15269000000000085</v>
      </c>
      <c r="J481" s="3">
        <v>6.6438999999999995</v>
      </c>
      <c r="K481" s="6">
        <f t="shared" si="95"/>
        <v>3.1500000000000125E-2</v>
      </c>
      <c r="L481" s="6">
        <f t="shared" si="96"/>
        <v>4.2000000000000176E-2</v>
      </c>
      <c r="M481" s="6">
        <f t="shared" si="97"/>
        <v>3.1500000000000125E-2</v>
      </c>
      <c r="N481" s="6">
        <f t="shared" si="98"/>
        <v>0</v>
      </c>
      <c r="O481" s="6">
        <f t="shared" si="99"/>
        <v>0</v>
      </c>
      <c r="P481" s="6">
        <f t="shared" si="100"/>
        <v>-41.856570000000161</v>
      </c>
      <c r="Q481" s="3">
        <v>-41.856570000000168</v>
      </c>
      <c r="R481" s="6">
        <f t="shared" si="101"/>
        <v>0</v>
      </c>
      <c r="S481" s="6" t="str">
        <f t="shared" si="102"/>
        <v>OK</v>
      </c>
    </row>
    <row r="482" spans="1:19" x14ac:dyDescent="0.25">
      <c r="A482" s="3" t="str">
        <f t="shared" si="103"/>
        <v>03.07.2026</v>
      </c>
      <c r="B482" s="5">
        <v>81</v>
      </c>
      <c r="C482" s="5" t="s">
        <v>37</v>
      </c>
      <c r="D482" s="3">
        <v>-0.21000000000000085</v>
      </c>
      <c r="E482" s="3">
        <v>-5.731E-2</v>
      </c>
      <c r="F482" s="6">
        <f t="shared" si="91"/>
        <v>0.15269000000000085</v>
      </c>
      <c r="G482" s="6">
        <f t="shared" si="92"/>
        <v>-0.72709523809523924</v>
      </c>
      <c r="H482" s="6" t="str">
        <f t="shared" si="93"/>
        <v>🟢 Over-injection</v>
      </c>
      <c r="I482" s="6">
        <f t="shared" si="94"/>
        <v>-0.15269000000000085</v>
      </c>
      <c r="J482" s="3">
        <v>9.5623000000000005</v>
      </c>
      <c r="K482" s="6">
        <f t="shared" si="95"/>
        <v>3.1500000000000125E-2</v>
      </c>
      <c r="L482" s="6">
        <f t="shared" si="96"/>
        <v>4.2000000000000176E-2</v>
      </c>
      <c r="M482" s="6">
        <f t="shared" si="97"/>
        <v>3.1500000000000125E-2</v>
      </c>
      <c r="N482" s="6">
        <f t="shared" si="98"/>
        <v>0</v>
      </c>
      <c r="O482" s="6">
        <f t="shared" si="99"/>
        <v>0</v>
      </c>
      <c r="P482" s="6">
        <f t="shared" si="100"/>
        <v>-60.242490000000245</v>
      </c>
      <c r="Q482" s="3">
        <v>-60.242490000000245</v>
      </c>
      <c r="R482" s="6">
        <f t="shared" si="101"/>
        <v>0</v>
      </c>
      <c r="S482" s="6" t="str">
        <f t="shared" si="102"/>
        <v>OK</v>
      </c>
    </row>
    <row r="483" spans="1:19" x14ac:dyDescent="0.25">
      <c r="A483" s="3" t="str">
        <f t="shared" si="103"/>
        <v>03.07.2026</v>
      </c>
      <c r="B483" s="5">
        <v>82</v>
      </c>
      <c r="C483" s="5" t="s">
        <v>36</v>
      </c>
      <c r="D483" s="3">
        <v>-0.21000000000000085</v>
      </c>
      <c r="E483" s="3">
        <v>-5.731E-2</v>
      </c>
      <c r="F483" s="6">
        <f t="shared" si="91"/>
        <v>0.15269000000000085</v>
      </c>
      <c r="G483" s="6">
        <f t="shared" si="92"/>
        <v>-0.72709523809523924</v>
      </c>
      <c r="H483" s="6" t="str">
        <f t="shared" si="93"/>
        <v>🟢 Over-injection</v>
      </c>
      <c r="I483" s="6">
        <f t="shared" si="94"/>
        <v>-0.15269000000000085</v>
      </c>
      <c r="J483" s="3">
        <v>9.3689999999999998</v>
      </c>
      <c r="K483" s="6">
        <f t="shared" si="95"/>
        <v>3.1500000000000125E-2</v>
      </c>
      <c r="L483" s="6">
        <f t="shared" si="96"/>
        <v>4.2000000000000176E-2</v>
      </c>
      <c r="M483" s="6">
        <f t="shared" si="97"/>
        <v>3.1500000000000125E-2</v>
      </c>
      <c r="N483" s="6">
        <f t="shared" si="98"/>
        <v>0</v>
      </c>
      <c r="O483" s="6">
        <f t="shared" si="99"/>
        <v>0</v>
      </c>
      <c r="P483" s="6">
        <f t="shared" si="100"/>
        <v>-59.024700000000237</v>
      </c>
      <c r="Q483" s="3">
        <v>-59.024700000000237</v>
      </c>
      <c r="R483" s="6">
        <f t="shared" si="101"/>
        <v>0</v>
      </c>
      <c r="S483" s="6" t="str">
        <f t="shared" si="102"/>
        <v>OK</v>
      </c>
    </row>
    <row r="484" spans="1:19" x14ac:dyDescent="0.25">
      <c r="A484" s="3" t="str">
        <f t="shared" si="103"/>
        <v>03.07.2026</v>
      </c>
      <c r="B484" s="5">
        <v>83</v>
      </c>
      <c r="C484" s="5" t="s">
        <v>35</v>
      </c>
      <c r="D484" s="3">
        <v>-0.21000000000000085</v>
      </c>
      <c r="E484" s="3">
        <v>-5.731E-2</v>
      </c>
      <c r="F484" s="6">
        <f t="shared" si="91"/>
        <v>0.15269000000000085</v>
      </c>
      <c r="G484" s="6">
        <f t="shared" si="92"/>
        <v>-0.72709523809523924</v>
      </c>
      <c r="H484" s="6" t="str">
        <f t="shared" si="93"/>
        <v>🟢 Over-injection</v>
      </c>
      <c r="I484" s="6">
        <f t="shared" si="94"/>
        <v>-0.15269000000000085</v>
      </c>
      <c r="J484" s="3">
        <v>8.3657000000000004</v>
      </c>
      <c r="K484" s="6">
        <f t="shared" si="95"/>
        <v>3.1500000000000125E-2</v>
      </c>
      <c r="L484" s="6">
        <f t="shared" si="96"/>
        <v>4.2000000000000176E-2</v>
      </c>
      <c r="M484" s="6">
        <f t="shared" si="97"/>
        <v>3.1500000000000125E-2</v>
      </c>
      <c r="N484" s="6">
        <f t="shared" si="98"/>
        <v>0</v>
      </c>
      <c r="O484" s="6">
        <f t="shared" si="99"/>
        <v>0</v>
      </c>
      <c r="P484" s="6">
        <f t="shared" si="100"/>
        <v>-52.703910000000214</v>
      </c>
      <c r="Q484" s="3">
        <v>-52.703910000000214</v>
      </c>
      <c r="R484" s="6">
        <f t="shared" si="101"/>
        <v>0</v>
      </c>
      <c r="S484" s="6" t="str">
        <f t="shared" si="102"/>
        <v>OK</v>
      </c>
    </row>
    <row r="485" spans="1:19" x14ac:dyDescent="0.25">
      <c r="A485" s="3" t="str">
        <f t="shared" si="103"/>
        <v>03.07.2026</v>
      </c>
      <c r="B485" s="5">
        <v>84</v>
      </c>
      <c r="C485" s="5" t="s">
        <v>34</v>
      </c>
      <c r="D485" s="3">
        <v>-0.21000000000000085</v>
      </c>
      <c r="E485" s="3">
        <v>-5.731E-2</v>
      </c>
      <c r="F485" s="6">
        <f t="shared" si="91"/>
        <v>0.15269000000000085</v>
      </c>
      <c r="G485" s="6">
        <f t="shared" si="92"/>
        <v>-0.72709523809523924</v>
      </c>
      <c r="H485" s="6" t="str">
        <f t="shared" si="93"/>
        <v>🟢 Over-injection</v>
      </c>
      <c r="I485" s="6">
        <f t="shared" si="94"/>
        <v>-0.15269000000000085</v>
      </c>
      <c r="J485" s="3">
        <v>8.3676999999999992</v>
      </c>
      <c r="K485" s="6">
        <f t="shared" si="95"/>
        <v>3.1500000000000125E-2</v>
      </c>
      <c r="L485" s="6">
        <f t="shared" si="96"/>
        <v>4.2000000000000176E-2</v>
      </c>
      <c r="M485" s="6">
        <f t="shared" si="97"/>
        <v>3.1500000000000125E-2</v>
      </c>
      <c r="N485" s="6">
        <f t="shared" si="98"/>
        <v>0</v>
      </c>
      <c r="O485" s="6">
        <f t="shared" si="99"/>
        <v>0</v>
      </c>
      <c r="P485" s="6">
        <f t="shared" si="100"/>
        <v>-52.716510000000213</v>
      </c>
      <c r="Q485" s="3">
        <v>-52.716510000000213</v>
      </c>
      <c r="R485" s="6">
        <f t="shared" si="101"/>
        <v>0</v>
      </c>
      <c r="S485" s="6" t="str">
        <f t="shared" si="102"/>
        <v>OK</v>
      </c>
    </row>
    <row r="486" spans="1:19" x14ac:dyDescent="0.25">
      <c r="A486" s="3" t="str">
        <f t="shared" si="103"/>
        <v>03.07.2026</v>
      </c>
      <c r="B486" s="5">
        <v>85</v>
      </c>
      <c r="C486" s="5" t="s">
        <v>33</v>
      </c>
      <c r="D486" s="3">
        <v>-0.21000000000000085</v>
      </c>
      <c r="E486" s="3">
        <v>-4.5850000000000002E-2</v>
      </c>
      <c r="F486" s="6">
        <f t="shared" si="91"/>
        <v>0.16415000000000085</v>
      </c>
      <c r="G486" s="6">
        <f t="shared" si="92"/>
        <v>-0.78166666666666751</v>
      </c>
      <c r="H486" s="6" t="str">
        <f t="shared" si="93"/>
        <v>🟢 Over-injection</v>
      </c>
      <c r="I486" s="6">
        <f t="shared" si="94"/>
        <v>-0.16415000000000085</v>
      </c>
      <c r="J486" s="3">
        <v>9.5913000000000004</v>
      </c>
      <c r="K486" s="6">
        <f t="shared" si="95"/>
        <v>3.1500000000000125E-2</v>
      </c>
      <c r="L486" s="6">
        <f t="shared" si="96"/>
        <v>4.2000000000000176E-2</v>
      </c>
      <c r="M486" s="6">
        <f t="shared" si="97"/>
        <v>3.1500000000000125E-2</v>
      </c>
      <c r="N486" s="6">
        <f t="shared" si="98"/>
        <v>0</v>
      </c>
      <c r="O486" s="6">
        <f t="shared" si="99"/>
        <v>0</v>
      </c>
      <c r="P486" s="6">
        <f t="shared" si="100"/>
        <v>-60.425190000000249</v>
      </c>
      <c r="Q486" s="3">
        <v>-60.425190000000242</v>
      </c>
      <c r="R486" s="6">
        <f t="shared" si="101"/>
        <v>0</v>
      </c>
      <c r="S486" s="6" t="str">
        <f t="shared" si="102"/>
        <v>OK</v>
      </c>
    </row>
    <row r="487" spans="1:19" x14ac:dyDescent="0.25">
      <c r="A487" s="3" t="str">
        <f t="shared" si="103"/>
        <v>03.07.2026</v>
      </c>
      <c r="B487" s="5">
        <v>86</v>
      </c>
      <c r="C487" s="5" t="s">
        <v>32</v>
      </c>
      <c r="D487" s="3">
        <v>0.84999999999999964</v>
      </c>
      <c r="E487" s="3">
        <v>-5.731E-2</v>
      </c>
      <c r="F487" s="6">
        <f t="shared" si="91"/>
        <v>-0.90730999999999962</v>
      </c>
      <c r="G487" s="6">
        <f t="shared" si="92"/>
        <v>-1.0674235294117647</v>
      </c>
      <c r="H487" s="6" t="str">
        <f t="shared" si="93"/>
        <v>🔴 Under-injection</v>
      </c>
      <c r="I487" s="6">
        <f t="shared" si="94"/>
        <v>0.90730999999999962</v>
      </c>
      <c r="J487" s="3">
        <v>10</v>
      </c>
      <c r="K487" s="6">
        <f t="shared" si="95"/>
        <v>0.12749999999999995</v>
      </c>
      <c r="L487" s="6">
        <f t="shared" si="96"/>
        <v>0.16999999999999993</v>
      </c>
      <c r="M487" s="6">
        <f t="shared" si="97"/>
        <v>0.12749999999999995</v>
      </c>
      <c r="N487" s="6">
        <f t="shared" si="98"/>
        <v>4.2499999999999982E-2</v>
      </c>
      <c r="O487" s="6">
        <f t="shared" si="99"/>
        <v>0.73730999999999969</v>
      </c>
      <c r="P487" s="6">
        <f t="shared" si="100"/>
        <v>2663.4924999999985</v>
      </c>
      <c r="Q487" s="3">
        <v>2663.4924999999998</v>
      </c>
      <c r="R487" s="6">
        <f t="shared" si="101"/>
        <v>0</v>
      </c>
      <c r="S487" s="6" t="str">
        <f t="shared" si="102"/>
        <v>OK</v>
      </c>
    </row>
    <row r="488" spans="1:19" x14ac:dyDescent="0.25">
      <c r="A488" s="3" t="str">
        <f t="shared" si="103"/>
        <v>03.07.2026</v>
      </c>
      <c r="B488" s="5">
        <v>87</v>
      </c>
      <c r="C488" s="5" t="s">
        <v>31</v>
      </c>
      <c r="D488" s="3">
        <v>20</v>
      </c>
      <c r="E488" s="3">
        <v>2.0539499999999999</v>
      </c>
      <c r="F488" s="6">
        <f t="shared" si="91"/>
        <v>-17.94605</v>
      </c>
      <c r="G488" s="6">
        <f t="shared" si="92"/>
        <v>-0.8973025</v>
      </c>
      <c r="H488" s="6" t="str">
        <f t="shared" si="93"/>
        <v>🔴 Under-injection</v>
      </c>
      <c r="I488" s="6">
        <f t="shared" si="94"/>
        <v>17.94605</v>
      </c>
      <c r="J488" s="3">
        <v>10</v>
      </c>
      <c r="K488" s="6">
        <f t="shared" si="95"/>
        <v>3</v>
      </c>
      <c r="L488" s="6">
        <f t="shared" si="96"/>
        <v>4</v>
      </c>
      <c r="M488" s="6">
        <f t="shared" si="97"/>
        <v>3</v>
      </c>
      <c r="N488" s="6">
        <f t="shared" si="98"/>
        <v>1</v>
      </c>
      <c r="O488" s="6">
        <f t="shared" si="99"/>
        <v>13.94605</v>
      </c>
      <c r="P488" s="6">
        <f t="shared" si="100"/>
        <v>52463.15</v>
      </c>
      <c r="Q488" s="3">
        <v>52463.15</v>
      </c>
      <c r="R488" s="6">
        <f t="shared" si="101"/>
        <v>0</v>
      </c>
      <c r="S488" s="6" t="str">
        <f t="shared" si="102"/>
        <v>OK</v>
      </c>
    </row>
    <row r="489" spans="1:19" x14ac:dyDescent="0.25">
      <c r="A489" s="3" t="str">
        <f t="shared" si="103"/>
        <v>03.07.2026</v>
      </c>
      <c r="B489" s="5">
        <v>88</v>
      </c>
      <c r="C489" s="5" t="s">
        <v>30</v>
      </c>
      <c r="D489" s="3">
        <v>20</v>
      </c>
      <c r="E489" s="3">
        <v>18.16778</v>
      </c>
      <c r="F489" s="6">
        <f t="shared" si="91"/>
        <v>-1.8322199999999995</v>
      </c>
      <c r="G489" s="6">
        <f t="shared" si="92"/>
        <v>-9.161099999999997E-2</v>
      </c>
      <c r="H489" s="6" t="str">
        <f t="shared" si="93"/>
        <v>🔴 Under-injection</v>
      </c>
      <c r="I489" s="6">
        <f t="shared" si="94"/>
        <v>1.8322199999999995</v>
      </c>
      <c r="J489" s="3">
        <v>10</v>
      </c>
      <c r="K489" s="6">
        <f t="shared" si="95"/>
        <v>3</v>
      </c>
      <c r="L489" s="6">
        <f t="shared" si="96"/>
        <v>4</v>
      </c>
      <c r="M489" s="6">
        <f t="shared" si="97"/>
        <v>1.8322199999999995</v>
      </c>
      <c r="N489" s="6">
        <f t="shared" si="98"/>
        <v>0</v>
      </c>
      <c r="O489" s="6">
        <f t="shared" si="99"/>
        <v>0</v>
      </c>
      <c r="P489" s="6">
        <f t="shared" si="100"/>
        <v>4809.5774999999985</v>
      </c>
      <c r="Q489" s="3">
        <v>4809.5774999999994</v>
      </c>
      <c r="R489" s="6">
        <f t="shared" si="101"/>
        <v>0</v>
      </c>
      <c r="S489" s="6" t="str">
        <f t="shared" si="102"/>
        <v>OK</v>
      </c>
    </row>
    <row r="490" spans="1:19" x14ac:dyDescent="0.25">
      <c r="A490" s="3" t="str">
        <f t="shared" si="103"/>
        <v>03.07.2026</v>
      </c>
      <c r="B490" s="5">
        <v>89</v>
      </c>
      <c r="C490" s="5" t="s">
        <v>29</v>
      </c>
      <c r="D490" s="3">
        <v>20</v>
      </c>
      <c r="E490" s="3">
        <v>19.552219999999998</v>
      </c>
      <c r="F490" s="6">
        <f t="shared" si="91"/>
        <v>-0.44778000000000162</v>
      </c>
      <c r="G490" s="6">
        <f t="shared" si="92"/>
        <v>-2.2389000000000082E-2</v>
      </c>
      <c r="H490" s="6" t="str">
        <f t="shared" si="93"/>
        <v>🔴 Under-injection</v>
      </c>
      <c r="I490" s="6">
        <f t="shared" si="94"/>
        <v>0.44778000000000162</v>
      </c>
      <c r="J490" s="3">
        <v>10</v>
      </c>
      <c r="K490" s="6">
        <f t="shared" si="95"/>
        <v>3</v>
      </c>
      <c r="L490" s="6">
        <f t="shared" si="96"/>
        <v>4</v>
      </c>
      <c r="M490" s="6">
        <f t="shared" si="97"/>
        <v>0.44778000000000162</v>
      </c>
      <c r="N490" s="6">
        <f t="shared" si="98"/>
        <v>0</v>
      </c>
      <c r="O490" s="6">
        <f t="shared" si="99"/>
        <v>0</v>
      </c>
      <c r="P490" s="6">
        <f t="shared" si="100"/>
        <v>1175.4225000000042</v>
      </c>
      <c r="Q490" s="3">
        <v>1175.4225000000001</v>
      </c>
      <c r="R490" s="6">
        <f t="shared" si="101"/>
        <v>4.0927261579781771E-12</v>
      </c>
      <c r="S490" s="6" t="str">
        <f t="shared" si="102"/>
        <v>OK</v>
      </c>
    </row>
    <row r="491" spans="1:19" x14ac:dyDescent="0.25">
      <c r="A491" s="3" t="str">
        <f t="shared" si="103"/>
        <v>03.07.2026</v>
      </c>
      <c r="B491" s="5">
        <v>90</v>
      </c>
      <c r="C491" s="5" t="s">
        <v>28</v>
      </c>
      <c r="D491" s="3">
        <v>20</v>
      </c>
      <c r="E491" s="3">
        <v>20.096910000000001</v>
      </c>
      <c r="F491" s="6">
        <f t="shared" si="91"/>
        <v>9.6910000000001162E-2</v>
      </c>
      <c r="G491" s="6">
        <f t="shared" si="92"/>
        <v>4.8455000000000581E-3</v>
      </c>
      <c r="H491" s="6" t="str">
        <f t="shared" si="93"/>
        <v>🟢 Over-injection</v>
      </c>
      <c r="I491" s="6">
        <f t="shared" si="94"/>
        <v>-9.6910000000001162E-2</v>
      </c>
      <c r="J491" s="3">
        <v>10</v>
      </c>
      <c r="K491" s="6">
        <f t="shared" si="95"/>
        <v>3</v>
      </c>
      <c r="L491" s="6">
        <f t="shared" si="96"/>
        <v>4</v>
      </c>
      <c r="M491" s="6">
        <f t="shared" si="97"/>
        <v>9.6910000000001162E-2</v>
      </c>
      <c r="N491" s="6">
        <f t="shared" si="98"/>
        <v>0</v>
      </c>
      <c r="O491" s="6">
        <f t="shared" si="99"/>
        <v>0</v>
      </c>
      <c r="P491" s="6">
        <f t="shared" si="100"/>
        <v>-193.82000000000232</v>
      </c>
      <c r="Q491" s="3">
        <v>-193.82</v>
      </c>
      <c r="R491" s="6">
        <f t="shared" si="101"/>
        <v>-2.3305801732931286E-12</v>
      </c>
      <c r="S491" s="6" t="str">
        <f t="shared" si="102"/>
        <v>OK</v>
      </c>
    </row>
    <row r="492" spans="1:19" x14ac:dyDescent="0.25">
      <c r="A492" s="3" t="str">
        <f t="shared" si="103"/>
        <v>03.07.2026</v>
      </c>
      <c r="B492" s="5">
        <v>91</v>
      </c>
      <c r="C492" s="5" t="s">
        <v>27</v>
      </c>
      <c r="D492" s="3">
        <v>20</v>
      </c>
      <c r="E492" s="3">
        <v>20.119610000000002</v>
      </c>
      <c r="F492" s="6">
        <f t="shared" si="91"/>
        <v>0.11961000000000155</v>
      </c>
      <c r="G492" s="6">
        <f t="shared" si="92"/>
        <v>5.9805000000000778E-3</v>
      </c>
      <c r="H492" s="6" t="str">
        <f t="shared" si="93"/>
        <v>🟢 Over-injection</v>
      </c>
      <c r="I492" s="6">
        <f t="shared" si="94"/>
        <v>-0.11961000000000155</v>
      </c>
      <c r="J492" s="3">
        <v>10</v>
      </c>
      <c r="K492" s="6">
        <f t="shared" si="95"/>
        <v>3</v>
      </c>
      <c r="L492" s="6">
        <f t="shared" si="96"/>
        <v>4</v>
      </c>
      <c r="M492" s="6">
        <f t="shared" si="97"/>
        <v>0.11961000000000155</v>
      </c>
      <c r="N492" s="6">
        <f t="shared" si="98"/>
        <v>0</v>
      </c>
      <c r="O492" s="6">
        <f t="shared" si="99"/>
        <v>0</v>
      </c>
      <c r="P492" s="6">
        <f t="shared" si="100"/>
        <v>-239.2200000000031</v>
      </c>
      <c r="Q492" s="3">
        <v>-239.22</v>
      </c>
      <c r="R492" s="6">
        <f t="shared" si="101"/>
        <v>-3.0979663279140368E-12</v>
      </c>
      <c r="S492" s="6" t="str">
        <f t="shared" si="102"/>
        <v>OK</v>
      </c>
    </row>
    <row r="493" spans="1:19" x14ac:dyDescent="0.25">
      <c r="A493" s="3" t="str">
        <f t="shared" si="103"/>
        <v>03.07.2026</v>
      </c>
      <c r="B493" s="5">
        <v>92</v>
      </c>
      <c r="C493" s="5" t="s">
        <v>26</v>
      </c>
      <c r="D493" s="3">
        <v>20</v>
      </c>
      <c r="E493" s="3">
        <v>20.130960000000002</v>
      </c>
      <c r="F493" s="6">
        <f t="shared" si="91"/>
        <v>0.13096000000000174</v>
      </c>
      <c r="G493" s="6">
        <f t="shared" si="92"/>
        <v>6.5480000000000867E-3</v>
      </c>
      <c r="H493" s="6" t="str">
        <f t="shared" si="93"/>
        <v>🟢 Over-injection</v>
      </c>
      <c r="I493" s="6">
        <f t="shared" si="94"/>
        <v>-0.13096000000000174</v>
      </c>
      <c r="J493" s="3">
        <v>10</v>
      </c>
      <c r="K493" s="6">
        <f t="shared" si="95"/>
        <v>3</v>
      </c>
      <c r="L493" s="6">
        <f t="shared" si="96"/>
        <v>4</v>
      </c>
      <c r="M493" s="6">
        <f t="shared" si="97"/>
        <v>0.13096000000000174</v>
      </c>
      <c r="N493" s="6">
        <f t="shared" si="98"/>
        <v>0</v>
      </c>
      <c r="O493" s="6">
        <f t="shared" si="99"/>
        <v>0</v>
      </c>
      <c r="P493" s="6">
        <f t="shared" si="100"/>
        <v>-261.92000000000348</v>
      </c>
      <c r="Q493" s="3">
        <v>-261.91999999999996</v>
      </c>
      <c r="R493" s="6">
        <f t="shared" si="101"/>
        <v>-3.5242919693700969E-12</v>
      </c>
      <c r="S493" s="6" t="str">
        <f t="shared" si="102"/>
        <v>OK</v>
      </c>
    </row>
    <row r="494" spans="1:19" x14ac:dyDescent="0.25">
      <c r="A494" s="3" t="str">
        <f t="shared" si="103"/>
        <v>03.07.2026</v>
      </c>
      <c r="B494" s="5">
        <v>93</v>
      </c>
      <c r="C494" s="5" t="s">
        <v>25</v>
      </c>
      <c r="D494" s="3">
        <v>20</v>
      </c>
      <c r="E494" s="3">
        <v>20.130960000000002</v>
      </c>
      <c r="F494" s="6">
        <f t="shared" si="91"/>
        <v>0.13096000000000174</v>
      </c>
      <c r="G494" s="6">
        <f t="shared" si="92"/>
        <v>6.5480000000000867E-3</v>
      </c>
      <c r="H494" s="6" t="str">
        <f t="shared" si="93"/>
        <v>🟢 Over-injection</v>
      </c>
      <c r="I494" s="6">
        <f t="shared" si="94"/>
        <v>-0.13096000000000174</v>
      </c>
      <c r="J494" s="3">
        <v>10</v>
      </c>
      <c r="K494" s="6">
        <f t="shared" si="95"/>
        <v>3</v>
      </c>
      <c r="L494" s="6">
        <f t="shared" si="96"/>
        <v>4</v>
      </c>
      <c r="M494" s="6">
        <f t="shared" si="97"/>
        <v>0.13096000000000174</v>
      </c>
      <c r="N494" s="6">
        <f t="shared" si="98"/>
        <v>0</v>
      </c>
      <c r="O494" s="6">
        <f t="shared" si="99"/>
        <v>0</v>
      </c>
      <c r="P494" s="6">
        <f t="shared" si="100"/>
        <v>-261.92000000000348</v>
      </c>
      <c r="Q494" s="3">
        <v>-261.91999999999996</v>
      </c>
      <c r="R494" s="6">
        <f t="shared" si="101"/>
        <v>-3.5242919693700969E-12</v>
      </c>
      <c r="S494" s="6" t="str">
        <f t="shared" si="102"/>
        <v>OK</v>
      </c>
    </row>
    <row r="495" spans="1:19" x14ac:dyDescent="0.25">
      <c r="A495" s="3" t="str">
        <f t="shared" si="103"/>
        <v>03.07.2026</v>
      </c>
      <c r="B495" s="5">
        <v>94</v>
      </c>
      <c r="C495" s="5" t="s">
        <v>24</v>
      </c>
      <c r="D495" s="3">
        <v>20</v>
      </c>
      <c r="E495" s="3">
        <v>20.119610000000002</v>
      </c>
      <c r="F495" s="6">
        <f t="shared" si="91"/>
        <v>0.11961000000000155</v>
      </c>
      <c r="G495" s="6">
        <f t="shared" si="92"/>
        <v>5.9805000000000778E-3</v>
      </c>
      <c r="H495" s="6" t="str">
        <f t="shared" si="93"/>
        <v>🟢 Over-injection</v>
      </c>
      <c r="I495" s="6">
        <f t="shared" si="94"/>
        <v>-0.11961000000000155</v>
      </c>
      <c r="J495" s="3">
        <v>10</v>
      </c>
      <c r="K495" s="6">
        <f t="shared" si="95"/>
        <v>3</v>
      </c>
      <c r="L495" s="6">
        <f t="shared" si="96"/>
        <v>4</v>
      </c>
      <c r="M495" s="6">
        <f t="shared" si="97"/>
        <v>0.11961000000000155</v>
      </c>
      <c r="N495" s="6">
        <f t="shared" si="98"/>
        <v>0</v>
      </c>
      <c r="O495" s="6">
        <f t="shared" si="99"/>
        <v>0</v>
      </c>
      <c r="P495" s="6">
        <f t="shared" si="100"/>
        <v>-239.2200000000031</v>
      </c>
      <c r="Q495" s="3">
        <v>-239.22</v>
      </c>
      <c r="R495" s="6">
        <f t="shared" si="101"/>
        <v>-3.0979663279140368E-12</v>
      </c>
      <c r="S495" s="6" t="str">
        <f t="shared" si="102"/>
        <v>OK</v>
      </c>
    </row>
    <row r="496" spans="1:19" x14ac:dyDescent="0.25">
      <c r="A496" s="3" t="str">
        <f t="shared" si="103"/>
        <v>03.07.2026</v>
      </c>
      <c r="B496" s="5">
        <v>95</v>
      </c>
      <c r="C496" s="5" t="s">
        <v>23</v>
      </c>
      <c r="D496" s="3">
        <v>25</v>
      </c>
      <c r="E496" s="3">
        <v>23.83033</v>
      </c>
      <c r="F496" s="6">
        <f t="shared" si="91"/>
        <v>-1.16967</v>
      </c>
      <c r="G496" s="6">
        <f t="shared" si="92"/>
        <v>-4.6786799999999996E-2</v>
      </c>
      <c r="H496" s="6" t="str">
        <f t="shared" si="93"/>
        <v>🔴 Under-injection</v>
      </c>
      <c r="I496" s="6">
        <f t="shared" si="94"/>
        <v>1.16967</v>
      </c>
      <c r="J496" s="3">
        <v>10</v>
      </c>
      <c r="K496" s="6">
        <f t="shared" si="95"/>
        <v>3.75</v>
      </c>
      <c r="L496" s="6">
        <f t="shared" si="96"/>
        <v>5</v>
      </c>
      <c r="M496" s="6">
        <f t="shared" si="97"/>
        <v>1.16967</v>
      </c>
      <c r="N496" s="6">
        <f t="shared" si="98"/>
        <v>0</v>
      </c>
      <c r="O496" s="6">
        <f t="shared" si="99"/>
        <v>0</v>
      </c>
      <c r="P496" s="6">
        <f t="shared" si="100"/>
        <v>3070.3837500000004</v>
      </c>
      <c r="Q496" s="3">
        <v>3070.38375</v>
      </c>
      <c r="R496" s="6">
        <f t="shared" si="101"/>
        <v>0</v>
      </c>
      <c r="S496" s="6" t="str">
        <f t="shared" si="102"/>
        <v>OK</v>
      </c>
    </row>
    <row r="497" spans="1:19" x14ac:dyDescent="0.25">
      <c r="A497" s="3" t="str">
        <f t="shared" si="103"/>
        <v>03.07.2026</v>
      </c>
      <c r="B497" s="5">
        <v>96</v>
      </c>
      <c r="C497" s="5" t="s">
        <v>22</v>
      </c>
      <c r="D497" s="3">
        <v>25</v>
      </c>
      <c r="E497" s="3">
        <v>25.13532</v>
      </c>
      <c r="F497" s="6">
        <f t="shared" si="91"/>
        <v>0.13532000000000011</v>
      </c>
      <c r="G497" s="6">
        <f t="shared" si="92"/>
        <v>5.4128000000000041E-3</v>
      </c>
      <c r="H497" s="6" t="str">
        <f t="shared" si="93"/>
        <v>🟢 Over-injection</v>
      </c>
      <c r="I497" s="6">
        <f t="shared" si="94"/>
        <v>-0.13532000000000011</v>
      </c>
      <c r="J497" s="3">
        <v>10</v>
      </c>
      <c r="K497" s="6">
        <f t="shared" si="95"/>
        <v>3.75</v>
      </c>
      <c r="L497" s="6">
        <f t="shared" si="96"/>
        <v>5</v>
      </c>
      <c r="M497" s="6">
        <f t="shared" si="97"/>
        <v>0.13532000000000011</v>
      </c>
      <c r="N497" s="6">
        <f t="shared" si="98"/>
        <v>0</v>
      </c>
      <c r="O497" s="6">
        <f t="shared" si="99"/>
        <v>0</v>
      </c>
      <c r="P497" s="6">
        <f t="shared" si="100"/>
        <v>-270.64000000000021</v>
      </c>
      <c r="Q497" s="3">
        <v>-270.64</v>
      </c>
      <c r="R497" s="6">
        <f t="shared" si="101"/>
        <v>0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25.6</v>
      </c>
      <c r="E498" s="3">
        <v>25.634620000000002</v>
      </c>
      <c r="F498" s="6">
        <f t="shared" si="91"/>
        <v>3.4620000000000317E-2</v>
      </c>
      <c r="G498" s="6">
        <f t="shared" si="92"/>
        <v>1.3523437500000124E-3</v>
      </c>
      <c r="H498" s="6" t="str">
        <f t="shared" si="93"/>
        <v>🟢 Over-injection</v>
      </c>
      <c r="I498" s="6">
        <f t="shared" si="94"/>
        <v>-3.4620000000000317E-2</v>
      </c>
      <c r="J498" s="3">
        <v>4.6375999999999999</v>
      </c>
      <c r="K498" s="6">
        <f t="shared" si="95"/>
        <v>3.84</v>
      </c>
      <c r="L498" s="6">
        <f t="shared" si="96"/>
        <v>5.120000000000001</v>
      </c>
      <c r="M498" s="6">
        <f t="shared" si="97"/>
        <v>3.4620000000000317E-2</v>
      </c>
      <c r="N498" s="6">
        <f t="shared" si="98"/>
        <v>0</v>
      </c>
      <c r="O498" s="6">
        <f t="shared" si="99"/>
        <v>0</v>
      </c>
      <c r="P498" s="6">
        <f t="shared" si="100"/>
        <v>-32.110742400000298</v>
      </c>
      <c r="Q498" s="3">
        <v>-32.110742399999999</v>
      </c>
      <c r="R498" s="6">
        <f t="shared" si="101"/>
        <v>-2.9842794901924208E-13</v>
      </c>
      <c r="S498" s="6" t="str">
        <f t="shared" si="102"/>
        <v>OK</v>
      </c>
    </row>
    <row r="499" spans="1:19" x14ac:dyDescent="0.25">
      <c r="A499" s="3" t="str">
        <f t="shared" si="103"/>
        <v>04.07.2026</v>
      </c>
      <c r="B499" s="5">
        <v>2</v>
      </c>
      <c r="C499" s="5" t="s">
        <v>116</v>
      </c>
      <c r="D499" s="3">
        <v>25.6</v>
      </c>
      <c r="E499" s="3">
        <v>25.86158</v>
      </c>
      <c r="F499" s="6">
        <f t="shared" si="91"/>
        <v>0.26157999999999859</v>
      </c>
      <c r="G499" s="6">
        <f t="shared" si="92"/>
        <v>1.0217968749999945E-2</v>
      </c>
      <c r="H499" s="6" t="str">
        <f t="shared" si="93"/>
        <v>🟢 Over-injection</v>
      </c>
      <c r="I499" s="6">
        <f t="shared" si="94"/>
        <v>-0.26157999999999859</v>
      </c>
      <c r="J499" s="3">
        <v>4.5601000000000003</v>
      </c>
      <c r="K499" s="6">
        <f t="shared" si="95"/>
        <v>3.84</v>
      </c>
      <c r="L499" s="6">
        <f t="shared" si="96"/>
        <v>5.120000000000001</v>
      </c>
      <c r="M499" s="6">
        <f t="shared" si="97"/>
        <v>0.26157999999999859</v>
      </c>
      <c r="N499" s="6">
        <f t="shared" si="98"/>
        <v>0</v>
      </c>
      <c r="O499" s="6">
        <f t="shared" si="99"/>
        <v>0</v>
      </c>
      <c r="P499" s="6">
        <f t="shared" si="100"/>
        <v>-238.56619159999875</v>
      </c>
      <c r="Q499" s="3">
        <v>-238.5661916</v>
      </c>
      <c r="R499" s="6">
        <f t="shared" si="101"/>
        <v>1.2505552149377763E-12</v>
      </c>
      <c r="S499" s="6" t="str">
        <f t="shared" si="102"/>
        <v>OK</v>
      </c>
    </row>
    <row r="500" spans="1:19" x14ac:dyDescent="0.25">
      <c r="A500" s="3" t="str">
        <f t="shared" si="103"/>
        <v>04.07.2026</v>
      </c>
      <c r="B500" s="5">
        <v>3</v>
      </c>
      <c r="C500" s="5" t="s">
        <v>115</v>
      </c>
      <c r="D500" s="3">
        <v>25.6</v>
      </c>
      <c r="E500" s="3">
        <v>25.838889999999999</v>
      </c>
      <c r="F500" s="6">
        <f t="shared" si="91"/>
        <v>0.23888999999999783</v>
      </c>
      <c r="G500" s="6">
        <f t="shared" si="92"/>
        <v>9.3316406249999151E-3</v>
      </c>
      <c r="H500" s="6" t="str">
        <f t="shared" si="93"/>
        <v>🟢 Over-injection</v>
      </c>
      <c r="I500" s="6">
        <f t="shared" si="94"/>
        <v>-0.23888999999999783</v>
      </c>
      <c r="J500" s="3">
        <v>4.4236000000000004</v>
      </c>
      <c r="K500" s="6">
        <f t="shared" si="95"/>
        <v>3.84</v>
      </c>
      <c r="L500" s="6">
        <f t="shared" si="96"/>
        <v>5.120000000000001</v>
      </c>
      <c r="M500" s="6">
        <f t="shared" si="97"/>
        <v>0.23888999999999783</v>
      </c>
      <c r="N500" s="6">
        <f t="shared" si="98"/>
        <v>0</v>
      </c>
      <c r="O500" s="6">
        <f t="shared" si="99"/>
        <v>0</v>
      </c>
      <c r="P500" s="6">
        <f t="shared" si="100"/>
        <v>-211.35076079999811</v>
      </c>
      <c r="Q500" s="3">
        <v>-211.35076080000005</v>
      </c>
      <c r="R500" s="6">
        <f t="shared" si="101"/>
        <v>1.9326762412674725E-12</v>
      </c>
      <c r="S500" s="6" t="str">
        <f t="shared" si="102"/>
        <v>OK</v>
      </c>
    </row>
    <row r="501" spans="1:19" x14ac:dyDescent="0.25">
      <c r="A501" s="3" t="str">
        <f t="shared" si="103"/>
        <v>04.07.2026</v>
      </c>
      <c r="B501" s="5">
        <v>4</v>
      </c>
      <c r="C501" s="5" t="s">
        <v>114</v>
      </c>
      <c r="D501" s="3">
        <v>25.6</v>
      </c>
      <c r="E501" s="3">
        <v>25.838889999999999</v>
      </c>
      <c r="F501" s="6">
        <f t="shared" si="91"/>
        <v>0.23888999999999783</v>
      </c>
      <c r="G501" s="6">
        <f t="shared" si="92"/>
        <v>9.3316406249999151E-3</v>
      </c>
      <c r="H501" s="6" t="str">
        <f t="shared" si="93"/>
        <v>🟢 Over-injection</v>
      </c>
      <c r="I501" s="6">
        <f t="shared" si="94"/>
        <v>-0.23888999999999783</v>
      </c>
      <c r="J501" s="3">
        <v>4.4229000000000003</v>
      </c>
      <c r="K501" s="6">
        <f t="shared" si="95"/>
        <v>3.84</v>
      </c>
      <c r="L501" s="6">
        <f t="shared" si="96"/>
        <v>5.120000000000001</v>
      </c>
      <c r="M501" s="6">
        <f t="shared" si="97"/>
        <v>0.23888999999999783</v>
      </c>
      <c r="N501" s="6">
        <f t="shared" si="98"/>
        <v>0</v>
      </c>
      <c r="O501" s="6">
        <f t="shared" si="99"/>
        <v>0</v>
      </c>
      <c r="P501" s="6">
        <f t="shared" si="100"/>
        <v>-211.31731619999812</v>
      </c>
      <c r="Q501" s="3">
        <v>-211.31731620000002</v>
      </c>
      <c r="R501" s="6">
        <f t="shared" si="101"/>
        <v>1.9042545318370685E-12</v>
      </c>
      <c r="S501" s="6" t="str">
        <f t="shared" si="102"/>
        <v>OK</v>
      </c>
    </row>
    <row r="502" spans="1:19" x14ac:dyDescent="0.25">
      <c r="A502" s="3" t="str">
        <f t="shared" si="103"/>
        <v>04.07.2026</v>
      </c>
      <c r="B502" s="5">
        <v>5</v>
      </c>
      <c r="C502" s="5" t="s">
        <v>113</v>
      </c>
      <c r="D502" s="3">
        <v>25.6</v>
      </c>
      <c r="E502" s="3">
        <v>25.804849999999998</v>
      </c>
      <c r="F502" s="6">
        <f t="shared" si="91"/>
        <v>0.20484999999999687</v>
      </c>
      <c r="G502" s="6">
        <f t="shared" si="92"/>
        <v>8.0019531249998777E-3</v>
      </c>
      <c r="H502" s="6" t="str">
        <f t="shared" si="93"/>
        <v>🟢 Over-injection</v>
      </c>
      <c r="I502" s="6">
        <f t="shared" si="94"/>
        <v>-0.20484999999999687</v>
      </c>
      <c r="J502" s="3">
        <v>3.7610000000000001</v>
      </c>
      <c r="K502" s="6">
        <f t="shared" si="95"/>
        <v>3.84</v>
      </c>
      <c r="L502" s="6">
        <f t="shared" si="96"/>
        <v>5.120000000000001</v>
      </c>
      <c r="M502" s="6">
        <f t="shared" si="97"/>
        <v>0.20484999999999687</v>
      </c>
      <c r="N502" s="6">
        <f t="shared" si="98"/>
        <v>0</v>
      </c>
      <c r="O502" s="6">
        <f t="shared" si="99"/>
        <v>0</v>
      </c>
      <c r="P502" s="6">
        <f t="shared" si="100"/>
        <v>-154.08816999999766</v>
      </c>
      <c r="Q502" s="3">
        <v>-154.08817000000002</v>
      </c>
      <c r="R502" s="6">
        <f t="shared" si="101"/>
        <v>2.3590018827235326E-12</v>
      </c>
      <c r="S502" s="6" t="str">
        <f t="shared" si="102"/>
        <v>OK</v>
      </c>
    </row>
    <row r="503" spans="1:19" x14ac:dyDescent="0.25">
      <c r="A503" s="3" t="str">
        <f t="shared" si="103"/>
        <v>04.07.2026</v>
      </c>
      <c r="B503" s="5">
        <v>6</v>
      </c>
      <c r="C503" s="5" t="s">
        <v>112</v>
      </c>
      <c r="D503" s="3">
        <v>25.6</v>
      </c>
      <c r="E503" s="3">
        <v>25.88428</v>
      </c>
      <c r="F503" s="6">
        <f t="shared" si="91"/>
        <v>0.28427999999999898</v>
      </c>
      <c r="G503" s="6">
        <f t="shared" si="92"/>
        <v>1.110468749999996E-2</v>
      </c>
      <c r="H503" s="6" t="str">
        <f t="shared" si="93"/>
        <v>🟢 Over-injection</v>
      </c>
      <c r="I503" s="6">
        <f t="shared" si="94"/>
        <v>-0.28427999999999898</v>
      </c>
      <c r="J503" s="3">
        <v>3.7088999999999999</v>
      </c>
      <c r="K503" s="6">
        <f t="shared" si="95"/>
        <v>3.84</v>
      </c>
      <c r="L503" s="6">
        <f t="shared" si="96"/>
        <v>5.120000000000001</v>
      </c>
      <c r="M503" s="6">
        <f t="shared" si="97"/>
        <v>0.28427999999999898</v>
      </c>
      <c r="N503" s="6">
        <f t="shared" si="98"/>
        <v>0</v>
      </c>
      <c r="O503" s="6">
        <f t="shared" si="99"/>
        <v>0</v>
      </c>
      <c r="P503" s="6">
        <f t="shared" si="100"/>
        <v>-210.87321839999922</v>
      </c>
      <c r="Q503" s="3">
        <v>-210.87321839999998</v>
      </c>
      <c r="R503" s="6">
        <f t="shared" si="101"/>
        <v>7.673861546209082E-13</v>
      </c>
      <c r="S503" s="6" t="str">
        <f t="shared" si="102"/>
        <v>OK</v>
      </c>
    </row>
    <row r="504" spans="1:19" x14ac:dyDescent="0.25">
      <c r="A504" s="3" t="str">
        <f t="shared" si="103"/>
        <v>04.07.2026</v>
      </c>
      <c r="B504" s="5">
        <v>7</v>
      </c>
      <c r="C504" s="5" t="s">
        <v>111</v>
      </c>
      <c r="D504" s="3">
        <v>25.6</v>
      </c>
      <c r="E504" s="3">
        <v>25.85023</v>
      </c>
      <c r="F504" s="6">
        <f t="shared" si="91"/>
        <v>0.2502299999999984</v>
      </c>
      <c r="G504" s="6">
        <f t="shared" si="92"/>
        <v>9.7746093749999374E-3</v>
      </c>
      <c r="H504" s="6" t="str">
        <f t="shared" si="93"/>
        <v>🟢 Over-injection</v>
      </c>
      <c r="I504" s="6">
        <f t="shared" si="94"/>
        <v>-0.2502299999999984</v>
      </c>
      <c r="J504" s="3">
        <v>3.5248000000000004</v>
      </c>
      <c r="K504" s="6">
        <f t="shared" si="95"/>
        <v>3.84</v>
      </c>
      <c r="L504" s="6">
        <f t="shared" si="96"/>
        <v>5.120000000000001</v>
      </c>
      <c r="M504" s="6">
        <f t="shared" si="97"/>
        <v>0.2502299999999984</v>
      </c>
      <c r="N504" s="6">
        <f t="shared" si="98"/>
        <v>0</v>
      </c>
      <c r="O504" s="6">
        <f t="shared" si="99"/>
        <v>0</v>
      </c>
      <c r="P504" s="6">
        <f t="shared" si="100"/>
        <v>-176.40214079999888</v>
      </c>
      <c r="Q504" s="3">
        <v>-176.40214080000004</v>
      </c>
      <c r="R504" s="6">
        <f t="shared" si="101"/>
        <v>1.1652900866465643E-12</v>
      </c>
      <c r="S504" s="6" t="str">
        <f t="shared" si="102"/>
        <v>OK</v>
      </c>
    </row>
    <row r="505" spans="1:19" x14ac:dyDescent="0.25">
      <c r="A505" s="3" t="str">
        <f t="shared" si="103"/>
        <v>04.07.2026</v>
      </c>
      <c r="B505" s="5">
        <v>8</v>
      </c>
      <c r="C505" s="5" t="s">
        <v>110</v>
      </c>
      <c r="D505" s="3">
        <v>25.6</v>
      </c>
      <c r="E505" s="3">
        <v>25.827529999999999</v>
      </c>
      <c r="F505" s="6">
        <f t="shared" si="91"/>
        <v>0.22752999999999801</v>
      </c>
      <c r="G505" s="6">
        <f t="shared" si="92"/>
        <v>8.8878906249999223E-3</v>
      </c>
      <c r="H505" s="6" t="str">
        <f t="shared" si="93"/>
        <v>🟢 Over-injection</v>
      </c>
      <c r="I505" s="6">
        <f t="shared" si="94"/>
        <v>-0.22752999999999801</v>
      </c>
      <c r="J505" s="3">
        <v>3.6606999999999998</v>
      </c>
      <c r="K505" s="6">
        <f t="shared" si="95"/>
        <v>3.84</v>
      </c>
      <c r="L505" s="6">
        <f t="shared" si="96"/>
        <v>5.120000000000001</v>
      </c>
      <c r="M505" s="6">
        <f t="shared" si="97"/>
        <v>0.22752999999999801</v>
      </c>
      <c r="N505" s="6">
        <f t="shared" si="98"/>
        <v>0</v>
      </c>
      <c r="O505" s="6">
        <f t="shared" si="99"/>
        <v>0</v>
      </c>
      <c r="P505" s="6">
        <f t="shared" si="100"/>
        <v>-166.58381419999853</v>
      </c>
      <c r="Q505" s="3">
        <v>-166.58381420000001</v>
      </c>
      <c r="R505" s="6">
        <f t="shared" si="101"/>
        <v>1.4779288903810084E-12</v>
      </c>
      <c r="S505" s="6" t="str">
        <f t="shared" si="102"/>
        <v>OK</v>
      </c>
    </row>
    <row r="506" spans="1:19" x14ac:dyDescent="0.25">
      <c r="A506" s="3" t="str">
        <f t="shared" si="103"/>
        <v>04.07.2026</v>
      </c>
      <c r="B506" s="5">
        <v>9</v>
      </c>
      <c r="C506" s="5" t="s">
        <v>109</v>
      </c>
      <c r="D506" s="3">
        <v>25.6</v>
      </c>
      <c r="E506" s="3">
        <v>25.804849999999998</v>
      </c>
      <c r="F506" s="6">
        <f t="shared" si="91"/>
        <v>0.20484999999999687</v>
      </c>
      <c r="G506" s="6">
        <f t="shared" si="92"/>
        <v>8.0019531249998777E-3</v>
      </c>
      <c r="H506" s="6" t="str">
        <f t="shared" si="93"/>
        <v>🟢 Over-injection</v>
      </c>
      <c r="I506" s="6">
        <f t="shared" si="94"/>
        <v>-0.20484999999999687</v>
      </c>
      <c r="J506" s="3">
        <v>3.3051999999999997</v>
      </c>
      <c r="K506" s="6">
        <f t="shared" si="95"/>
        <v>3.84</v>
      </c>
      <c r="L506" s="6">
        <f t="shared" si="96"/>
        <v>5.120000000000001</v>
      </c>
      <c r="M506" s="6">
        <f t="shared" si="97"/>
        <v>0.20484999999999687</v>
      </c>
      <c r="N506" s="6">
        <f t="shared" si="98"/>
        <v>0</v>
      </c>
      <c r="O506" s="6">
        <f t="shared" si="99"/>
        <v>0</v>
      </c>
      <c r="P506" s="6">
        <f t="shared" si="100"/>
        <v>-135.41404399999794</v>
      </c>
      <c r="Q506" s="3">
        <v>-135.41404399999999</v>
      </c>
      <c r="R506" s="6">
        <f t="shared" si="101"/>
        <v>2.0463630789890885E-12</v>
      </c>
      <c r="S506" s="6" t="str">
        <f t="shared" si="102"/>
        <v>OK</v>
      </c>
    </row>
    <row r="507" spans="1:19" x14ac:dyDescent="0.25">
      <c r="A507" s="3" t="str">
        <f t="shared" si="103"/>
        <v>04.07.2026</v>
      </c>
      <c r="B507" s="5">
        <v>10</v>
      </c>
      <c r="C507" s="5" t="s">
        <v>108</v>
      </c>
      <c r="D507" s="3">
        <v>25.6</v>
      </c>
      <c r="E507" s="3">
        <v>25.816189999999999</v>
      </c>
      <c r="F507" s="6">
        <f t="shared" si="91"/>
        <v>0.21618999999999744</v>
      </c>
      <c r="G507" s="6">
        <f t="shared" si="92"/>
        <v>8.4449218749999E-3</v>
      </c>
      <c r="H507" s="6" t="str">
        <f t="shared" si="93"/>
        <v>🟢 Over-injection</v>
      </c>
      <c r="I507" s="6">
        <f t="shared" si="94"/>
        <v>-0.21618999999999744</v>
      </c>
      <c r="J507" s="3">
        <v>3.2423000000000002</v>
      </c>
      <c r="K507" s="6">
        <f t="shared" si="95"/>
        <v>3.84</v>
      </c>
      <c r="L507" s="6">
        <f t="shared" si="96"/>
        <v>5.120000000000001</v>
      </c>
      <c r="M507" s="6">
        <f t="shared" si="97"/>
        <v>0.21618999999999744</v>
      </c>
      <c r="N507" s="6">
        <f t="shared" si="98"/>
        <v>0</v>
      </c>
      <c r="O507" s="6">
        <f t="shared" si="99"/>
        <v>0</v>
      </c>
      <c r="P507" s="6">
        <f t="shared" si="100"/>
        <v>-140.19056739999834</v>
      </c>
      <c r="Q507" s="3">
        <v>-140.19056739999999</v>
      </c>
      <c r="R507" s="6">
        <f t="shared" si="101"/>
        <v>1.6484591469634324E-12</v>
      </c>
      <c r="S507" s="6" t="str">
        <f t="shared" si="102"/>
        <v>OK</v>
      </c>
    </row>
    <row r="508" spans="1:19" x14ac:dyDescent="0.25">
      <c r="A508" s="3" t="str">
        <f t="shared" si="103"/>
        <v>04.07.2026</v>
      </c>
      <c r="B508" s="5">
        <v>11</v>
      </c>
      <c r="C508" s="5" t="s">
        <v>107</v>
      </c>
      <c r="D508" s="3">
        <v>25.6</v>
      </c>
      <c r="E508" s="3">
        <v>25.816189999999999</v>
      </c>
      <c r="F508" s="6">
        <f t="shared" si="91"/>
        <v>0.21618999999999744</v>
      </c>
      <c r="G508" s="6">
        <f t="shared" si="92"/>
        <v>8.4449218749999E-3</v>
      </c>
      <c r="H508" s="6" t="str">
        <f t="shared" si="93"/>
        <v>🟢 Over-injection</v>
      </c>
      <c r="I508" s="6">
        <f t="shared" si="94"/>
        <v>-0.21618999999999744</v>
      </c>
      <c r="J508" s="3">
        <v>3.2752999999999997</v>
      </c>
      <c r="K508" s="6">
        <f t="shared" si="95"/>
        <v>3.84</v>
      </c>
      <c r="L508" s="6">
        <f t="shared" si="96"/>
        <v>5.120000000000001</v>
      </c>
      <c r="M508" s="6">
        <f t="shared" si="97"/>
        <v>0.21618999999999744</v>
      </c>
      <c r="N508" s="6">
        <f t="shared" si="98"/>
        <v>0</v>
      </c>
      <c r="O508" s="6">
        <f t="shared" si="99"/>
        <v>0</v>
      </c>
      <c r="P508" s="6">
        <f t="shared" si="100"/>
        <v>-141.61742139999834</v>
      </c>
      <c r="Q508" s="3">
        <v>-141.61742140000001</v>
      </c>
      <c r="R508" s="6">
        <f t="shared" si="101"/>
        <v>1.6768808563938364E-12</v>
      </c>
      <c r="S508" s="6" t="str">
        <f t="shared" si="102"/>
        <v>OK</v>
      </c>
    </row>
    <row r="509" spans="1:19" x14ac:dyDescent="0.25">
      <c r="A509" s="3" t="str">
        <f t="shared" si="103"/>
        <v>04.07.2026</v>
      </c>
      <c r="B509" s="5">
        <v>12</v>
      </c>
      <c r="C509" s="5" t="s">
        <v>106</v>
      </c>
      <c r="D509" s="3">
        <v>25.6</v>
      </c>
      <c r="E509" s="3">
        <v>25.816189999999999</v>
      </c>
      <c r="F509" s="6">
        <f t="shared" si="91"/>
        <v>0.21618999999999744</v>
      </c>
      <c r="G509" s="6">
        <f t="shared" si="92"/>
        <v>8.4449218749999E-3</v>
      </c>
      <c r="H509" s="6" t="str">
        <f t="shared" si="93"/>
        <v>🟢 Over-injection</v>
      </c>
      <c r="I509" s="6">
        <f t="shared" si="94"/>
        <v>-0.21618999999999744</v>
      </c>
      <c r="J509" s="3">
        <v>3.2456</v>
      </c>
      <c r="K509" s="6">
        <f t="shared" si="95"/>
        <v>3.84</v>
      </c>
      <c r="L509" s="6">
        <f t="shared" si="96"/>
        <v>5.120000000000001</v>
      </c>
      <c r="M509" s="6">
        <f t="shared" si="97"/>
        <v>0.21618999999999744</v>
      </c>
      <c r="N509" s="6">
        <f t="shared" si="98"/>
        <v>0</v>
      </c>
      <c r="O509" s="6">
        <f t="shared" si="99"/>
        <v>0</v>
      </c>
      <c r="P509" s="6">
        <f t="shared" si="100"/>
        <v>-140.33325279999838</v>
      </c>
      <c r="Q509" s="3">
        <v>-140.3332528</v>
      </c>
      <c r="R509" s="6">
        <f t="shared" si="101"/>
        <v>1.6200374375330284E-12</v>
      </c>
      <c r="S509" s="6" t="str">
        <f t="shared" si="102"/>
        <v>OK</v>
      </c>
    </row>
    <row r="510" spans="1:19" x14ac:dyDescent="0.25">
      <c r="A510" s="3" t="str">
        <f t="shared" si="103"/>
        <v>04.07.2026</v>
      </c>
      <c r="B510" s="5">
        <v>13</v>
      </c>
      <c r="C510" s="5" t="s">
        <v>105</v>
      </c>
      <c r="D510" s="3">
        <v>24.7</v>
      </c>
      <c r="E510" s="3">
        <v>25.192070000000001</v>
      </c>
      <c r="F510" s="6">
        <f t="shared" si="91"/>
        <v>0.49207000000000178</v>
      </c>
      <c r="G510" s="6">
        <f t="shared" si="92"/>
        <v>1.992186234817821E-2</v>
      </c>
      <c r="H510" s="6" t="str">
        <f t="shared" si="93"/>
        <v>🟢 Over-injection</v>
      </c>
      <c r="I510" s="6">
        <f t="shared" si="94"/>
        <v>-0.49207000000000178</v>
      </c>
      <c r="J510" s="3">
        <v>3.3772000000000002</v>
      </c>
      <c r="K510" s="6">
        <f t="shared" si="95"/>
        <v>3.7049999999999996</v>
      </c>
      <c r="L510" s="6">
        <f t="shared" si="96"/>
        <v>4.9400000000000004</v>
      </c>
      <c r="M510" s="6">
        <f t="shared" si="97"/>
        <v>0.49207000000000178</v>
      </c>
      <c r="N510" s="6">
        <f t="shared" si="98"/>
        <v>0</v>
      </c>
      <c r="O510" s="6">
        <f t="shared" si="99"/>
        <v>0</v>
      </c>
      <c r="P510" s="6">
        <f t="shared" si="100"/>
        <v>-332.36376080000122</v>
      </c>
      <c r="Q510" s="3">
        <v>-332.36376080000002</v>
      </c>
      <c r="R510" s="6">
        <f t="shared" si="101"/>
        <v>-1.1937117960769683E-12</v>
      </c>
      <c r="S510" s="6" t="str">
        <f t="shared" si="102"/>
        <v>OK</v>
      </c>
    </row>
    <row r="511" spans="1:19" x14ac:dyDescent="0.25">
      <c r="A511" s="3" t="str">
        <f t="shared" si="103"/>
        <v>04.07.2026</v>
      </c>
      <c r="B511" s="5">
        <v>14</v>
      </c>
      <c r="C511" s="5" t="s">
        <v>104</v>
      </c>
      <c r="D511" s="3">
        <v>24.7</v>
      </c>
      <c r="E511" s="3">
        <v>24.931069999999998</v>
      </c>
      <c r="F511" s="6">
        <f t="shared" si="91"/>
        <v>0.231069999999999</v>
      </c>
      <c r="G511" s="6">
        <f t="shared" si="92"/>
        <v>9.3550607287448996E-3</v>
      </c>
      <c r="H511" s="6" t="str">
        <f t="shared" si="93"/>
        <v>🟢 Over-injection</v>
      </c>
      <c r="I511" s="6">
        <f t="shared" si="94"/>
        <v>-0.231069999999999</v>
      </c>
      <c r="J511" s="3">
        <v>3.3812000000000002</v>
      </c>
      <c r="K511" s="6">
        <f t="shared" si="95"/>
        <v>3.7049999999999996</v>
      </c>
      <c r="L511" s="6">
        <f t="shared" si="96"/>
        <v>4.9400000000000004</v>
      </c>
      <c r="M511" s="6">
        <f t="shared" si="97"/>
        <v>0.231069999999999</v>
      </c>
      <c r="N511" s="6">
        <f t="shared" si="98"/>
        <v>0</v>
      </c>
      <c r="O511" s="6">
        <f t="shared" si="99"/>
        <v>0</v>
      </c>
      <c r="P511" s="6">
        <f t="shared" si="100"/>
        <v>-156.25877679999934</v>
      </c>
      <c r="Q511" s="3">
        <v>-156.25877680000002</v>
      </c>
      <c r="R511" s="6">
        <f t="shared" si="101"/>
        <v>6.8212102632969618E-13</v>
      </c>
      <c r="S511" s="6" t="str">
        <f t="shared" si="102"/>
        <v>OK</v>
      </c>
    </row>
    <row r="512" spans="1:19" x14ac:dyDescent="0.25">
      <c r="A512" s="3" t="str">
        <f t="shared" si="103"/>
        <v>04.07.2026</v>
      </c>
      <c r="B512" s="5">
        <v>15</v>
      </c>
      <c r="C512" s="5" t="s">
        <v>103</v>
      </c>
      <c r="D512" s="3">
        <v>24.7</v>
      </c>
      <c r="E512" s="3">
        <v>24.931069999999998</v>
      </c>
      <c r="F512" s="6">
        <f t="shared" si="91"/>
        <v>0.231069999999999</v>
      </c>
      <c r="G512" s="6">
        <f t="shared" si="92"/>
        <v>9.3550607287448996E-3</v>
      </c>
      <c r="H512" s="6" t="str">
        <f t="shared" si="93"/>
        <v>🟢 Over-injection</v>
      </c>
      <c r="I512" s="6">
        <f t="shared" si="94"/>
        <v>-0.231069999999999</v>
      </c>
      <c r="J512" s="3">
        <v>3.3835999999999999</v>
      </c>
      <c r="K512" s="6">
        <f t="shared" si="95"/>
        <v>3.7049999999999996</v>
      </c>
      <c r="L512" s="6">
        <f t="shared" si="96"/>
        <v>4.9400000000000004</v>
      </c>
      <c r="M512" s="6">
        <f t="shared" si="97"/>
        <v>0.231069999999999</v>
      </c>
      <c r="N512" s="6">
        <f t="shared" si="98"/>
        <v>0</v>
      </c>
      <c r="O512" s="6">
        <f t="shared" si="99"/>
        <v>0</v>
      </c>
      <c r="P512" s="6">
        <f t="shared" si="100"/>
        <v>-156.36969039999934</v>
      </c>
      <c r="Q512" s="3">
        <v>-156.3696904</v>
      </c>
      <c r="R512" s="6">
        <f t="shared" si="101"/>
        <v>6.5369931689929217E-13</v>
      </c>
      <c r="S512" s="6" t="str">
        <f t="shared" si="102"/>
        <v>OK</v>
      </c>
    </row>
    <row r="513" spans="1:19" x14ac:dyDescent="0.25">
      <c r="A513" s="3" t="str">
        <f t="shared" si="103"/>
        <v>04.07.2026</v>
      </c>
      <c r="B513" s="5">
        <v>16</v>
      </c>
      <c r="C513" s="5" t="s">
        <v>102</v>
      </c>
      <c r="D513" s="3">
        <v>24.7</v>
      </c>
      <c r="E513" s="3">
        <v>24.931069999999998</v>
      </c>
      <c r="F513" s="6">
        <f t="shared" si="91"/>
        <v>0.231069999999999</v>
      </c>
      <c r="G513" s="6">
        <f t="shared" si="92"/>
        <v>9.3550607287448996E-3</v>
      </c>
      <c r="H513" s="6" t="str">
        <f t="shared" si="93"/>
        <v>🟢 Over-injection</v>
      </c>
      <c r="I513" s="6">
        <f t="shared" si="94"/>
        <v>-0.231069999999999</v>
      </c>
      <c r="J513" s="3">
        <v>3.5246</v>
      </c>
      <c r="K513" s="6">
        <f t="shared" si="95"/>
        <v>3.7049999999999996</v>
      </c>
      <c r="L513" s="6">
        <f t="shared" si="96"/>
        <v>4.9400000000000004</v>
      </c>
      <c r="M513" s="6">
        <f t="shared" si="97"/>
        <v>0.231069999999999</v>
      </c>
      <c r="N513" s="6">
        <f t="shared" si="98"/>
        <v>0</v>
      </c>
      <c r="O513" s="6">
        <f t="shared" si="99"/>
        <v>0</v>
      </c>
      <c r="P513" s="6">
        <f t="shared" si="100"/>
        <v>-162.88586439999929</v>
      </c>
      <c r="Q513" s="3">
        <v>-162.8858644</v>
      </c>
      <c r="R513" s="6">
        <f t="shared" si="101"/>
        <v>7.1054273576010019E-13</v>
      </c>
      <c r="S513" s="6" t="str">
        <f t="shared" si="102"/>
        <v>OK</v>
      </c>
    </row>
    <row r="514" spans="1:19" x14ac:dyDescent="0.25">
      <c r="A514" s="3" t="str">
        <f t="shared" si="103"/>
        <v>04.07.2026</v>
      </c>
      <c r="B514" s="5">
        <v>17</v>
      </c>
      <c r="C514" s="5" t="s">
        <v>101</v>
      </c>
      <c r="D514" s="3">
        <v>24.7</v>
      </c>
      <c r="E514" s="3">
        <v>24.919720000000002</v>
      </c>
      <c r="F514" s="6">
        <f t="shared" si="91"/>
        <v>0.21972000000000236</v>
      </c>
      <c r="G514" s="6">
        <f t="shared" si="92"/>
        <v>8.8955465587045486E-3</v>
      </c>
      <c r="H514" s="6" t="str">
        <f t="shared" si="93"/>
        <v>🟢 Over-injection</v>
      </c>
      <c r="I514" s="6">
        <f t="shared" si="94"/>
        <v>-0.21972000000000236</v>
      </c>
      <c r="J514" s="3">
        <v>3.4451000000000001</v>
      </c>
      <c r="K514" s="6">
        <f t="shared" si="95"/>
        <v>3.7049999999999996</v>
      </c>
      <c r="L514" s="6">
        <f t="shared" si="96"/>
        <v>4.9400000000000004</v>
      </c>
      <c r="M514" s="6">
        <f t="shared" si="97"/>
        <v>0.21972000000000236</v>
      </c>
      <c r="N514" s="6">
        <f t="shared" si="98"/>
        <v>0</v>
      </c>
      <c r="O514" s="6">
        <f t="shared" si="99"/>
        <v>0</v>
      </c>
      <c r="P514" s="6">
        <f t="shared" si="100"/>
        <v>-151.39147440000164</v>
      </c>
      <c r="Q514" s="3">
        <v>-151.39147439999999</v>
      </c>
      <c r="R514" s="6">
        <f t="shared" si="101"/>
        <v>-1.6484591469634324E-12</v>
      </c>
      <c r="S514" s="6" t="str">
        <f t="shared" si="102"/>
        <v>OK</v>
      </c>
    </row>
    <row r="515" spans="1:19" x14ac:dyDescent="0.25">
      <c r="A515" s="3" t="str">
        <f t="shared" si="103"/>
        <v>04.07.2026</v>
      </c>
      <c r="B515" s="5">
        <v>18</v>
      </c>
      <c r="C515" s="5" t="s">
        <v>100</v>
      </c>
      <c r="D515" s="3">
        <v>24.7</v>
      </c>
      <c r="E515" s="3">
        <v>24.919720000000002</v>
      </c>
      <c r="F515" s="6">
        <f t="shared" si="91"/>
        <v>0.21972000000000236</v>
      </c>
      <c r="G515" s="6">
        <f t="shared" si="92"/>
        <v>8.8955465587045486E-3</v>
      </c>
      <c r="H515" s="6" t="str">
        <f t="shared" si="93"/>
        <v>🟢 Over-injection</v>
      </c>
      <c r="I515" s="6">
        <f t="shared" si="94"/>
        <v>-0.21972000000000236</v>
      </c>
      <c r="J515" s="3">
        <v>3.532</v>
      </c>
      <c r="K515" s="6">
        <f t="shared" si="95"/>
        <v>3.7049999999999996</v>
      </c>
      <c r="L515" s="6">
        <f t="shared" si="96"/>
        <v>4.9400000000000004</v>
      </c>
      <c r="M515" s="6">
        <f t="shared" si="97"/>
        <v>0.21972000000000236</v>
      </c>
      <c r="N515" s="6">
        <f t="shared" si="98"/>
        <v>0</v>
      </c>
      <c r="O515" s="6">
        <f t="shared" si="99"/>
        <v>0</v>
      </c>
      <c r="P515" s="6">
        <f t="shared" si="100"/>
        <v>-155.21020800000167</v>
      </c>
      <c r="Q515" s="3">
        <v>-155.21020800000002</v>
      </c>
      <c r="R515" s="6">
        <f t="shared" si="101"/>
        <v>-1.6484591469634324E-12</v>
      </c>
      <c r="S515" s="6" t="str">
        <f t="shared" si="102"/>
        <v>OK</v>
      </c>
    </row>
    <row r="516" spans="1:19" x14ac:dyDescent="0.25">
      <c r="A516" s="3" t="str">
        <f t="shared" si="103"/>
        <v>04.07.2026</v>
      </c>
      <c r="B516" s="5">
        <v>19</v>
      </c>
      <c r="C516" s="5" t="s">
        <v>99</v>
      </c>
      <c r="D516" s="3">
        <v>24.7</v>
      </c>
      <c r="E516" s="3">
        <v>24.908370000000001</v>
      </c>
      <c r="F516" s="6">
        <f t="shared" si="91"/>
        <v>0.20837000000000216</v>
      </c>
      <c r="G516" s="6">
        <f t="shared" si="92"/>
        <v>8.4360323886640554E-3</v>
      </c>
      <c r="H516" s="6" t="str">
        <f t="shared" si="93"/>
        <v>🟢 Over-injection</v>
      </c>
      <c r="I516" s="6">
        <f t="shared" si="94"/>
        <v>-0.20837000000000216</v>
      </c>
      <c r="J516" s="3">
        <v>3.6339999999999999</v>
      </c>
      <c r="K516" s="6">
        <f t="shared" si="95"/>
        <v>3.7049999999999996</v>
      </c>
      <c r="L516" s="6">
        <f t="shared" si="96"/>
        <v>4.9400000000000004</v>
      </c>
      <c r="M516" s="6">
        <f t="shared" si="97"/>
        <v>0.20837000000000216</v>
      </c>
      <c r="N516" s="6">
        <f t="shared" si="98"/>
        <v>0</v>
      </c>
      <c r="O516" s="6">
        <f t="shared" si="99"/>
        <v>0</v>
      </c>
      <c r="P516" s="6">
        <f t="shared" si="100"/>
        <v>-151.44331600000157</v>
      </c>
      <c r="Q516" s="3">
        <v>-151.44331599999998</v>
      </c>
      <c r="R516" s="6">
        <f t="shared" si="101"/>
        <v>-1.5916157281026244E-12</v>
      </c>
      <c r="S516" s="6" t="str">
        <f t="shared" si="102"/>
        <v>OK</v>
      </c>
    </row>
    <row r="517" spans="1:19" x14ac:dyDescent="0.25">
      <c r="A517" s="3" t="str">
        <f t="shared" si="103"/>
        <v>04.07.2026</v>
      </c>
      <c r="B517" s="5">
        <v>20</v>
      </c>
      <c r="C517" s="5" t="s">
        <v>98</v>
      </c>
      <c r="D517" s="3">
        <v>24.7</v>
      </c>
      <c r="E517" s="3">
        <v>24.908370000000001</v>
      </c>
      <c r="F517" s="6">
        <f t="shared" si="91"/>
        <v>0.20837000000000216</v>
      </c>
      <c r="G517" s="6">
        <f t="shared" si="92"/>
        <v>8.4360323886640554E-3</v>
      </c>
      <c r="H517" s="6" t="str">
        <f t="shared" si="93"/>
        <v>🟢 Over-injection</v>
      </c>
      <c r="I517" s="6">
        <f t="shared" si="94"/>
        <v>-0.20837000000000216</v>
      </c>
      <c r="J517" s="3">
        <v>3.6361000000000003</v>
      </c>
      <c r="K517" s="6">
        <f t="shared" si="95"/>
        <v>3.7049999999999996</v>
      </c>
      <c r="L517" s="6">
        <f t="shared" si="96"/>
        <v>4.9400000000000004</v>
      </c>
      <c r="M517" s="6">
        <f t="shared" si="97"/>
        <v>0.20837000000000216</v>
      </c>
      <c r="N517" s="6">
        <f t="shared" si="98"/>
        <v>0</v>
      </c>
      <c r="O517" s="6">
        <f t="shared" si="99"/>
        <v>0</v>
      </c>
      <c r="P517" s="6">
        <f t="shared" si="100"/>
        <v>-151.5308314000016</v>
      </c>
      <c r="Q517" s="3">
        <v>-151.53083140000001</v>
      </c>
      <c r="R517" s="6">
        <f t="shared" si="101"/>
        <v>-1.5916157281026244E-12</v>
      </c>
      <c r="S517" s="6" t="str">
        <f t="shared" si="102"/>
        <v>OK</v>
      </c>
    </row>
    <row r="518" spans="1:19" x14ac:dyDescent="0.25">
      <c r="A518" s="3" t="str">
        <f t="shared" si="103"/>
        <v>04.07.2026</v>
      </c>
      <c r="B518" s="5">
        <v>21</v>
      </c>
      <c r="C518" s="5" t="s">
        <v>97</v>
      </c>
      <c r="D518" s="3">
        <v>24.7</v>
      </c>
      <c r="E518" s="3">
        <v>24.897020000000001</v>
      </c>
      <c r="F518" s="6">
        <f t="shared" si="91"/>
        <v>0.19702000000000197</v>
      </c>
      <c r="G518" s="6">
        <f t="shared" si="92"/>
        <v>7.9765182186235621E-3</v>
      </c>
      <c r="H518" s="6" t="str">
        <f t="shared" si="93"/>
        <v>🟢 Over-injection</v>
      </c>
      <c r="I518" s="6">
        <f t="shared" si="94"/>
        <v>-0.19702000000000197</v>
      </c>
      <c r="J518" s="3">
        <v>3.6370999999999998</v>
      </c>
      <c r="K518" s="6">
        <f t="shared" si="95"/>
        <v>3.7049999999999996</v>
      </c>
      <c r="L518" s="6">
        <f t="shared" si="96"/>
        <v>4.9400000000000004</v>
      </c>
      <c r="M518" s="6">
        <f t="shared" si="97"/>
        <v>0.19702000000000197</v>
      </c>
      <c r="N518" s="6">
        <f t="shared" si="98"/>
        <v>0</v>
      </c>
      <c r="O518" s="6">
        <f t="shared" si="99"/>
        <v>0</v>
      </c>
      <c r="P518" s="6">
        <f t="shared" si="100"/>
        <v>-143.31628840000144</v>
      </c>
      <c r="Q518" s="3">
        <v>-143.31628839999999</v>
      </c>
      <c r="R518" s="6">
        <f t="shared" si="101"/>
        <v>-1.4495071809506044E-12</v>
      </c>
      <c r="S518" s="6" t="str">
        <f t="shared" si="102"/>
        <v>OK</v>
      </c>
    </row>
    <row r="519" spans="1:19" x14ac:dyDescent="0.25">
      <c r="A519" s="3" t="str">
        <f t="shared" si="103"/>
        <v>04.07.2026</v>
      </c>
      <c r="B519" s="5">
        <v>22</v>
      </c>
      <c r="C519" s="5" t="s">
        <v>96</v>
      </c>
      <c r="D519" s="3">
        <v>24.7</v>
      </c>
      <c r="E519" s="3">
        <v>19.847270000000002</v>
      </c>
      <c r="F519" s="6">
        <f t="shared" si="91"/>
        <v>-4.8527299999999975</v>
      </c>
      <c r="G519" s="6">
        <f t="shared" si="92"/>
        <v>-0.19646680161943311</v>
      </c>
      <c r="H519" s="6" t="str">
        <f t="shared" si="93"/>
        <v>🔴 Under-injection</v>
      </c>
      <c r="I519" s="6">
        <f t="shared" si="94"/>
        <v>4.8527299999999975</v>
      </c>
      <c r="J519" s="3">
        <v>3.7869000000000002</v>
      </c>
      <c r="K519" s="6">
        <f t="shared" si="95"/>
        <v>3.7049999999999996</v>
      </c>
      <c r="L519" s="6">
        <f t="shared" si="96"/>
        <v>4.9400000000000004</v>
      </c>
      <c r="M519" s="6">
        <f t="shared" si="97"/>
        <v>3.7049999999999996</v>
      </c>
      <c r="N519" s="6">
        <f t="shared" si="98"/>
        <v>1.1477299999999979</v>
      </c>
      <c r="O519" s="6">
        <f t="shared" si="99"/>
        <v>0</v>
      </c>
      <c r="P519" s="6">
        <f t="shared" si="100"/>
        <v>4878.2400839249985</v>
      </c>
      <c r="Q519" s="3">
        <v>4878.2400839250013</v>
      </c>
      <c r="R519" s="6">
        <f t="shared" si="101"/>
        <v>0</v>
      </c>
      <c r="S519" s="6" t="str">
        <f t="shared" si="102"/>
        <v>OK</v>
      </c>
    </row>
    <row r="520" spans="1:19" x14ac:dyDescent="0.25">
      <c r="A520" s="3" t="str">
        <f t="shared" si="103"/>
        <v>04.07.2026</v>
      </c>
      <c r="B520" s="5">
        <v>23</v>
      </c>
      <c r="C520" s="5" t="s">
        <v>95</v>
      </c>
      <c r="D520" s="3">
        <v>24.7</v>
      </c>
      <c r="E520" s="3">
        <v>16.964929999999999</v>
      </c>
      <c r="F520" s="6">
        <f t="shared" si="91"/>
        <v>-7.7350700000000003</v>
      </c>
      <c r="G520" s="6">
        <f t="shared" si="92"/>
        <v>-0.31316072874493928</v>
      </c>
      <c r="H520" s="6" t="str">
        <f t="shared" si="93"/>
        <v>🔴 Under-injection</v>
      </c>
      <c r="I520" s="6">
        <f t="shared" si="94"/>
        <v>7.7350700000000003</v>
      </c>
      <c r="J520" s="3">
        <v>4.1952999999999996</v>
      </c>
      <c r="K520" s="6">
        <f t="shared" si="95"/>
        <v>3.7049999999999996</v>
      </c>
      <c r="L520" s="6">
        <f t="shared" si="96"/>
        <v>4.9400000000000004</v>
      </c>
      <c r="M520" s="6">
        <f t="shared" si="97"/>
        <v>3.7049999999999996</v>
      </c>
      <c r="N520" s="6">
        <f t="shared" si="98"/>
        <v>1.2350000000000008</v>
      </c>
      <c r="O520" s="6">
        <f t="shared" si="99"/>
        <v>2.7950699999999999</v>
      </c>
      <c r="P520" s="6">
        <f t="shared" si="100"/>
        <v>9022.8673700500003</v>
      </c>
      <c r="Q520" s="3">
        <v>9022.8673700499985</v>
      </c>
      <c r="R520" s="6">
        <f t="shared" si="101"/>
        <v>0</v>
      </c>
      <c r="S520" s="6" t="str">
        <f t="shared" si="102"/>
        <v>OK</v>
      </c>
    </row>
    <row r="521" spans="1:19" x14ac:dyDescent="0.25">
      <c r="A521" s="3" t="str">
        <f t="shared" si="103"/>
        <v>04.07.2026</v>
      </c>
      <c r="B521" s="5">
        <v>24</v>
      </c>
      <c r="C521" s="5" t="s">
        <v>94</v>
      </c>
      <c r="D521" s="3">
        <v>24.7</v>
      </c>
      <c r="E521" s="3">
        <v>24.97645</v>
      </c>
      <c r="F521" s="6">
        <f t="shared" si="91"/>
        <v>0.27645000000000053</v>
      </c>
      <c r="G521" s="6">
        <f t="shared" si="92"/>
        <v>1.1192307692307713E-2</v>
      </c>
      <c r="H521" s="6" t="str">
        <f t="shared" si="93"/>
        <v>🟢 Over-injection</v>
      </c>
      <c r="I521" s="6">
        <f t="shared" si="94"/>
        <v>-0.27645000000000053</v>
      </c>
      <c r="J521" s="3">
        <v>4.4038000000000004</v>
      </c>
      <c r="K521" s="6">
        <f t="shared" si="95"/>
        <v>3.7049999999999996</v>
      </c>
      <c r="L521" s="6">
        <f t="shared" si="96"/>
        <v>4.9400000000000004</v>
      </c>
      <c r="M521" s="6">
        <f t="shared" si="97"/>
        <v>0.27645000000000053</v>
      </c>
      <c r="N521" s="6">
        <f t="shared" si="98"/>
        <v>0</v>
      </c>
      <c r="O521" s="6">
        <f t="shared" si="99"/>
        <v>0</v>
      </c>
      <c r="P521" s="6">
        <f t="shared" si="100"/>
        <v>-243.4861020000005</v>
      </c>
      <c r="Q521" s="3">
        <v>-243.48610200000002</v>
      </c>
      <c r="R521" s="6">
        <f t="shared" si="101"/>
        <v>-4.8316906031686813E-13</v>
      </c>
      <c r="S521" s="6" t="str">
        <f t="shared" si="102"/>
        <v>OK</v>
      </c>
    </row>
    <row r="522" spans="1:19" x14ac:dyDescent="0.25">
      <c r="A522" s="3" t="str">
        <f t="shared" si="103"/>
        <v>04.07.2026</v>
      </c>
      <c r="B522" s="5">
        <v>25</v>
      </c>
      <c r="C522" s="5" t="s">
        <v>93</v>
      </c>
      <c r="D522" s="3">
        <v>15</v>
      </c>
      <c r="E522" s="3">
        <v>19.370650000000001</v>
      </c>
      <c r="F522" s="6">
        <f t="shared" si="91"/>
        <v>4.3706500000000013</v>
      </c>
      <c r="G522" s="6">
        <f t="shared" si="92"/>
        <v>0.29137666666666673</v>
      </c>
      <c r="H522" s="6" t="str">
        <f t="shared" si="93"/>
        <v>🟢 Over-injection</v>
      </c>
      <c r="I522" s="6">
        <f t="shared" si="94"/>
        <v>-4.3706500000000013</v>
      </c>
      <c r="J522" s="3">
        <v>4.1429999999999998</v>
      </c>
      <c r="K522" s="6">
        <f t="shared" si="95"/>
        <v>2.25</v>
      </c>
      <c r="L522" s="6">
        <f t="shared" si="96"/>
        <v>3</v>
      </c>
      <c r="M522" s="6">
        <f t="shared" si="97"/>
        <v>2.25</v>
      </c>
      <c r="N522" s="6">
        <f t="shared" si="98"/>
        <v>0</v>
      </c>
      <c r="O522" s="6">
        <f t="shared" si="99"/>
        <v>0</v>
      </c>
      <c r="P522" s="6">
        <f t="shared" si="100"/>
        <v>-1864.35</v>
      </c>
      <c r="Q522" s="3">
        <v>-1864.35</v>
      </c>
      <c r="R522" s="6">
        <f t="shared" si="101"/>
        <v>0</v>
      </c>
      <c r="S522" s="6" t="str">
        <f t="shared" si="102"/>
        <v>OK</v>
      </c>
    </row>
    <row r="523" spans="1:19" x14ac:dyDescent="0.25">
      <c r="A523" s="3" t="str">
        <f t="shared" si="103"/>
        <v>04.07.2026</v>
      </c>
      <c r="B523" s="5">
        <v>26</v>
      </c>
      <c r="C523" s="5" t="s">
        <v>92</v>
      </c>
      <c r="D523" s="3">
        <v>15</v>
      </c>
      <c r="E523" s="3">
        <v>15.34219</v>
      </c>
      <c r="F523" s="6">
        <f t="shared" si="91"/>
        <v>0.34219000000000044</v>
      </c>
      <c r="G523" s="6">
        <f t="shared" si="92"/>
        <v>2.2812666666666696E-2</v>
      </c>
      <c r="H523" s="6" t="str">
        <f t="shared" si="93"/>
        <v>🟢 Over-injection</v>
      </c>
      <c r="I523" s="6">
        <f t="shared" si="94"/>
        <v>-0.34219000000000044</v>
      </c>
      <c r="J523" s="3">
        <v>4.1239999999999997</v>
      </c>
      <c r="K523" s="6">
        <f t="shared" si="95"/>
        <v>2.25</v>
      </c>
      <c r="L523" s="6">
        <f t="shared" si="96"/>
        <v>3</v>
      </c>
      <c r="M523" s="6">
        <f t="shared" si="97"/>
        <v>0.34219000000000044</v>
      </c>
      <c r="N523" s="6">
        <f t="shared" si="98"/>
        <v>0</v>
      </c>
      <c r="O523" s="6">
        <f t="shared" si="99"/>
        <v>0</v>
      </c>
      <c r="P523" s="6">
        <f t="shared" si="100"/>
        <v>-282.23831200000041</v>
      </c>
      <c r="Q523" s="3">
        <v>-282.23831200000001</v>
      </c>
      <c r="R523" s="6">
        <f t="shared" si="101"/>
        <v>0</v>
      </c>
      <c r="S523" s="6" t="str">
        <f t="shared" si="102"/>
        <v>OK</v>
      </c>
    </row>
    <row r="524" spans="1:19" x14ac:dyDescent="0.25">
      <c r="A524" s="3" t="str">
        <f t="shared" si="103"/>
        <v>04.07.2026</v>
      </c>
      <c r="B524" s="5">
        <v>27</v>
      </c>
      <c r="C524" s="5" t="s">
        <v>91</v>
      </c>
      <c r="D524" s="3">
        <v>15</v>
      </c>
      <c r="E524" s="3">
        <v>15.387589999999999</v>
      </c>
      <c r="F524" s="6">
        <f t="shared" si="91"/>
        <v>0.38758999999999943</v>
      </c>
      <c r="G524" s="6">
        <f t="shared" si="92"/>
        <v>2.5839333333333294E-2</v>
      </c>
      <c r="H524" s="6" t="str">
        <f t="shared" si="93"/>
        <v>🟢 Over-injection</v>
      </c>
      <c r="I524" s="6">
        <f t="shared" si="94"/>
        <v>-0.38758999999999943</v>
      </c>
      <c r="J524" s="3">
        <v>4.0167000000000002</v>
      </c>
      <c r="K524" s="6">
        <f t="shared" si="95"/>
        <v>2.25</v>
      </c>
      <c r="L524" s="6">
        <f t="shared" si="96"/>
        <v>3</v>
      </c>
      <c r="M524" s="6">
        <f t="shared" si="97"/>
        <v>0.38758999999999943</v>
      </c>
      <c r="N524" s="6">
        <f t="shared" si="98"/>
        <v>0</v>
      </c>
      <c r="O524" s="6">
        <f t="shared" si="99"/>
        <v>0</v>
      </c>
      <c r="P524" s="6">
        <f t="shared" si="100"/>
        <v>-311.36655059999958</v>
      </c>
      <c r="Q524" s="3">
        <v>-311.36655060000004</v>
      </c>
      <c r="R524" s="6">
        <f t="shared" si="101"/>
        <v>4.5474735088646412E-13</v>
      </c>
      <c r="S524" s="6" t="str">
        <f t="shared" si="102"/>
        <v>OK</v>
      </c>
    </row>
    <row r="525" spans="1:19" x14ac:dyDescent="0.25">
      <c r="A525" s="3" t="str">
        <f t="shared" si="103"/>
        <v>04.07.2026</v>
      </c>
      <c r="B525" s="5">
        <v>28</v>
      </c>
      <c r="C525" s="5" t="s">
        <v>90</v>
      </c>
      <c r="D525" s="3">
        <v>15</v>
      </c>
      <c r="E525" s="3">
        <v>15.41028</v>
      </c>
      <c r="F525" s="6">
        <f t="shared" si="91"/>
        <v>0.4102800000000002</v>
      </c>
      <c r="G525" s="6">
        <f t="shared" si="92"/>
        <v>2.7352000000000012E-2</v>
      </c>
      <c r="H525" s="6" t="str">
        <f t="shared" si="93"/>
        <v>🟢 Over-injection</v>
      </c>
      <c r="I525" s="6">
        <f t="shared" si="94"/>
        <v>-0.4102800000000002</v>
      </c>
      <c r="J525" s="3">
        <v>3.7892000000000001</v>
      </c>
      <c r="K525" s="6">
        <f t="shared" si="95"/>
        <v>2.25</v>
      </c>
      <c r="L525" s="6">
        <f t="shared" si="96"/>
        <v>3</v>
      </c>
      <c r="M525" s="6">
        <f t="shared" si="97"/>
        <v>0.4102800000000002</v>
      </c>
      <c r="N525" s="6">
        <f t="shared" si="98"/>
        <v>0</v>
      </c>
      <c r="O525" s="6">
        <f t="shared" si="99"/>
        <v>0</v>
      </c>
      <c r="P525" s="6">
        <f t="shared" si="100"/>
        <v>-310.92659520000018</v>
      </c>
      <c r="Q525" s="3">
        <v>-310.92659520000001</v>
      </c>
      <c r="R525" s="6">
        <f t="shared" si="101"/>
        <v>0</v>
      </c>
      <c r="S525" s="6" t="str">
        <f t="shared" si="102"/>
        <v>OK</v>
      </c>
    </row>
    <row r="526" spans="1:19" x14ac:dyDescent="0.25">
      <c r="A526" s="3" t="str">
        <f t="shared" si="103"/>
        <v>04.07.2026</v>
      </c>
      <c r="B526" s="5">
        <v>29</v>
      </c>
      <c r="C526" s="5" t="s">
        <v>89</v>
      </c>
      <c r="D526" s="3">
        <v>19</v>
      </c>
      <c r="E526" s="3">
        <v>15.432980000000001</v>
      </c>
      <c r="F526" s="6">
        <f t="shared" si="91"/>
        <v>-3.5670199999999994</v>
      </c>
      <c r="G526" s="6">
        <f t="shared" si="92"/>
        <v>-0.18773789473684208</v>
      </c>
      <c r="H526" s="6" t="str">
        <f t="shared" si="93"/>
        <v>🔴 Under-injection</v>
      </c>
      <c r="I526" s="6">
        <f t="shared" si="94"/>
        <v>3.5670199999999994</v>
      </c>
      <c r="J526" s="3">
        <v>3.5912999999999999</v>
      </c>
      <c r="K526" s="6">
        <f t="shared" si="95"/>
        <v>2.85</v>
      </c>
      <c r="L526" s="6">
        <f t="shared" si="96"/>
        <v>3.8000000000000003</v>
      </c>
      <c r="M526" s="6">
        <f t="shared" si="97"/>
        <v>2.85</v>
      </c>
      <c r="N526" s="6">
        <f t="shared" si="98"/>
        <v>0.71701999999999932</v>
      </c>
      <c r="O526" s="6">
        <f t="shared" si="99"/>
        <v>0</v>
      </c>
      <c r="P526" s="6">
        <f t="shared" si="100"/>
        <v>3394.8756421499997</v>
      </c>
      <c r="Q526" s="3">
        <v>3394.8756421499997</v>
      </c>
      <c r="R526" s="6">
        <f t="shared" si="101"/>
        <v>0</v>
      </c>
      <c r="S526" s="6" t="str">
        <f t="shared" si="102"/>
        <v>OK</v>
      </c>
    </row>
    <row r="527" spans="1:19" x14ac:dyDescent="0.25">
      <c r="A527" s="3" t="str">
        <f t="shared" si="103"/>
        <v>04.07.2026</v>
      </c>
      <c r="B527" s="5">
        <v>30</v>
      </c>
      <c r="C527" s="5" t="s">
        <v>88</v>
      </c>
      <c r="D527" s="3">
        <v>19</v>
      </c>
      <c r="E527" s="3">
        <v>19.120999999999999</v>
      </c>
      <c r="F527" s="6">
        <f t="shared" si="91"/>
        <v>0.12099999999999866</v>
      </c>
      <c r="G527" s="6">
        <f t="shared" si="92"/>
        <v>6.3684210526315085E-3</v>
      </c>
      <c r="H527" s="6" t="str">
        <f t="shared" si="93"/>
        <v>🟢 Over-injection</v>
      </c>
      <c r="I527" s="6">
        <f t="shared" si="94"/>
        <v>-0.12099999999999866</v>
      </c>
      <c r="J527" s="3">
        <v>3.391</v>
      </c>
      <c r="K527" s="6">
        <f t="shared" si="95"/>
        <v>2.85</v>
      </c>
      <c r="L527" s="6">
        <f t="shared" si="96"/>
        <v>3.8000000000000003</v>
      </c>
      <c r="M527" s="6">
        <f t="shared" si="97"/>
        <v>0.12099999999999866</v>
      </c>
      <c r="N527" s="6">
        <f t="shared" si="98"/>
        <v>0</v>
      </c>
      <c r="O527" s="6">
        <f t="shared" si="99"/>
        <v>0</v>
      </c>
      <c r="P527" s="6">
        <f t="shared" si="100"/>
        <v>-82.062199999999095</v>
      </c>
      <c r="Q527" s="3">
        <v>-82.062200000000004</v>
      </c>
      <c r="R527" s="6">
        <f t="shared" si="101"/>
        <v>9.0949470177292824E-13</v>
      </c>
      <c r="S527" s="6" t="str">
        <f t="shared" si="102"/>
        <v>OK</v>
      </c>
    </row>
    <row r="528" spans="1:19" x14ac:dyDescent="0.25">
      <c r="A528" s="3" t="str">
        <f t="shared" si="103"/>
        <v>04.07.2026</v>
      </c>
      <c r="B528" s="5">
        <v>31</v>
      </c>
      <c r="C528" s="5" t="s">
        <v>87</v>
      </c>
      <c r="D528" s="3">
        <v>19</v>
      </c>
      <c r="E528" s="3">
        <v>19.166399999999999</v>
      </c>
      <c r="F528" s="6">
        <f t="shared" si="91"/>
        <v>0.16639999999999944</v>
      </c>
      <c r="G528" s="6">
        <f t="shared" si="92"/>
        <v>8.7578947368420756E-3</v>
      </c>
      <c r="H528" s="6" t="str">
        <f t="shared" si="93"/>
        <v>🟢 Over-injection</v>
      </c>
      <c r="I528" s="6">
        <f t="shared" si="94"/>
        <v>-0.16639999999999944</v>
      </c>
      <c r="J528" s="3">
        <v>2.9774000000000003</v>
      </c>
      <c r="K528" s="6">
        <f t="shared" si="95"/>
        <v>2.85</v>
      </c>
      <c r="L528" s="6">
        <f t="shared" si="96"/>
        <v>3.8000000000000003</v>
      </c>
      <c r="M528" s="6">
        <f t="shared" si="97"/>
        <v>0.16639999999999944</v>
      </c>
      <c r="N528" s="6">
        <f t="shared" si="98"/>
        <v>0</v>
      </c>
      <c r="O528" s="6">
        <f t="shared" si="99"/>
        <v>0</v>
      </c>
      <c r="P528" s="6">
        <f t="shared" si="100"/>
        <v>-99.087871999999678</v>
      </c>
      <c r="Q528" s="3">
        <v>-99.087872000000019</v>
      </c>
      <c r="R528" s="6">
        <f t="shared" si="101"/>
        <v>3.4106051316484809E-13</v>
      </c>
      <c r="S528" s="6" t="str">
        <f t="shared" si="102"/>
        <v>OK</v>
      </c>
    </row>
    <row r="529" spans="1:19" x14ac:dyDescent="0.25">
      <c r="A529" s="3" t="str">
        <f t="shared" si="103"/>
        <v>04.07.2026</v>
      </c>
      <c r="B529" s="5">
        <v>32</v>
      </c>
      <c r="C529" s="5" t="s">
        <v>86</v>
      </c>
      <c r="D529" s="3">
        <v>19</v>
      </c>
      <c r="E529" s="3">
        <v>19.17774</v>
      </c>
      <c r="F529" s="6">
        <f t="shared" si="91"/>
        <v>0.17774000000000001</v>
      </c>
      <c r="G529" s="6">
        <f t="shared" si="92"/>
        <v>9.3547368421052629E-3</v>
      </c>
      <c r="H529" s="6" t="str">
        <f t="shared" si="93"/>
        <v>🟢 Over-injection</v>
      </c>
      <c r="I529" s="6">
        <f t="shared" si="94"/>
        <v>-0.17774000000000001</v>
      </c>
      <c r="J529" s="3">
        <v>2.5171999999999999</v>
      </c>
      <c r="K529" s="6">
        <f t="shared" si="95"/>
        <v>2.85</v>
      </c>
      <c r="L529" s="6">
        <f t="shared" si="96"/>
        <v>3.8000000000000003</v>
      </c>
      <c r="M529" s="6">
        <f t="shared" si="97"/>
        <v>0.17774000000000001</v>
      </c>
      <c r="N529" s="6">
        <f t="shared" si="98"/>
        <v>0</v>
      </c>
      <c r="O529" s="6">
        <f t="shared" si="99"/>
        <v>0</v>
      </c>
      <c r="P529" s="6">
        <f t="shared" si="100"/>
        <v>-89.481425599999994</v>
      </c>
      <c r="Q529" s="3">
        <v>-89.481425599999994</v>
      </c>
      <c r="R529" s="6">
        <f t="shared" si="101"/>
        <v>0</v>
      </c>
      <c r="S529" s="6" t="str">
        <f t="shared" si="102"/>
        <v>OK</v>
      </c>
    </row>
    <row r="530" spans="1:19" x14ac:dyDescent="0.25">
      <c r="A530" s="3" t="str">
        <f t="shared" si="103"/>
        <v>04.07.2026</v>
      </c>
      <c r="B530" s="5">
        <v>33</v>
      </c>
      <c r="C530" s="5" t="s">
        <v>85</v>
      </c>
      <c r="D530" s="3">
        <v>15</v>
      </c>
      <c r="E530" s="3">
        <v>16.363489999999999</v>
      </c>
      <c r="F530" s="6">
        <f t="shared" ref="F530:F593" si="104">E530-D530</f>
        <v>1.3634899999999988</v>
      </c>
      <c r="G530" s="6">
        <f t="shared" ref="G530:G593" si="105">IF(D530=0,0,F530/D530)</f>
        <v>9.0899333333333249E-2</v>
      </c>
      <c r="H530" s="6" t="str">
        <f t="shared" ref="H530:H593" si="106">IF(E530&gt;D530,"🟢 Over-injection",IF(E530&lt;D530,"🔴 Under-injection","⚪ Nil"))</f>
        <v>🟢 Over-injection</v>
      </c>
      <c r="I530" s="6">
        <f t="shared" ref="I530:I593" si="107">-F530</f>
        <v>-1.3634899999999988</v>
      </c>
      <c r="J530" s="3">
        <v>1.9418</v>
      </c>
      <c r="K530" s="6">
        <f t="shared" ref="K530:K593" si="108">MIN(ABS(D530)*$B$7,$B$8)</f>
        <v>2.25</v>
      </c>
      <c r="L530" s="6">
        <f t="shared" ref="L530:L593" si="109">MIN(ABS(D530)*$B$9,$B$10)</f>
        <v>3</v>
      </c>
      <c r="M530" s="6">
        <f t="shared" ref="M530:M593" si="110">MIN(ABS(F530),K530)</f>
        <v>1.3634899999999988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-529.52497639999956</v>
      </c>
      <c r="Q530" s="3">
        <v>-529.52497640000001</v>
      </c>
      <c r="R530" s="6">
        <f t="shared" ref="R530:R593" si="114">P530-Q530</f>
        <v>0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04.07.2026</v>
      </c>
      <c r="B531" s="5">
        <v>34</v>
      </c>
      <c r="C531" s="5" t="s">
        <v>84</v>
      </c>
      <c r="D531" s="3">
        <v>15</v>
      </c>
      <c r="E531" s="3">
        <v>15.34219</v>
      </c>
      <c r="F531" s="6">
        <f t="shared" si="104"/>
        <v>0.34219000000000044</v>
      </c>
      <c r="G531" s="6">
        <f t="shared" si="105"/>
        <v>2.2812666666666696E-2</v>
      </c>
      <c r="H531" s="6" t="str">
        <f t="shared" si="106"/>
        <v>🟢 Over-injection</v>
      </c>
      <c r="I531" s="6">
        <f t="shared" si="107"/>
        <v>-0.34219000000000044</v>
      </c>
      <c r="J531" s="3">
        <v>1.4797</v>
      </c>
      <c r="K531" s="6">
        <f t="shared" si="108"/>
        <v>2.25</v>
      </c>
      <c r="L531" s="6">
        <f t="shared" si="109"/>
        <v>3</v>
      </c>
      <c r="M531" s="6">
        <f t="shared" si="110"/>
        <v>0.34219000000000044</v>
      </c>
      <c r="N531" s="6">
        <f t="shared" si="111"/>
        <v>0</v>
      </c>
      <c r="O531" s="6">
        <f t="shared" si="112"/>
        <v>0</v>
      </c>
      <c r="P531" s="6">
        <f t="shared" si="113"/>
        <v>-101.26770860000015</v>
      </c>
      <c r="Q531" s="3">
        <v>-101.26770860000001</v>
      </c>
      <c r="R531" s="6">
        <f t="shared" si="114"/>
        <v>-1.4210854715202004E-13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04.07.2026</v>
      </c>
      <c r="B532" s="5">
        <v>35</v>
      </c>
      <c r="C532" s="5" t="s">
        <v>83</v>
      </c>
      <c r="D532" s="3">
        <v>17.5</v>
      </c>
      <c r="E532" s="3">
        <v>17.271319999999999</v>
      </c>
      <c r="F532" s="6">
        <f t="shared" si="104"/>
        <v>-0.22868000000000066</v>
      </c>
      <c r="G532" s="6">
        <f t="shared" si="105"/>
        <v>-1.306742857142861E-2</v>
      </c>
      <c r="H532" s="6" t="str">
        <f t="shared" si="106"/>
        <v>🔴 Under-injection</v>
      </c>
      <c r="I532" s="6">
        <f t="shared" si="107"/>
        <v>0.22868000000000066</v>
      </c>
      <c r="J532" s="3">
        <v>1.2726999999999999</v>
      </c>
      <c r="K532" s="6">
        <f t="shared" si="108"/>
        <v>2.625</v>
      </c>
      <c r="L532" s="6">
        <f t="shared" si="109"/>
        <v>3.5</v>
      </c>
      <c r="M532" s="6">
        <f t="shared" si="110"/>
        <v>0.22868000000000066</v>
      </c>
      <c r="N532" s="6">
        <f t="shared" si="111"/>
        <v>0</v>
      </c>
      <c r="O532" s="6">
        <f t="shared" si="112"/>
        <v>0</v>
      </c>
      <c r="P532" s="6">
        <f t="shared" si="113"/>
        <v>76.398271950000222</v>
      </c>
      <c r="Q532" s="3">
        <v>76.398271949999994</v>
      </c>
      <c r="R532" s="6">
        <f t="shared" si="114"/>
        <v>2.2737367544323206E-13</v>
      </c>
      <c r="S532" s="6" t="str">
        <f t="shared" si="115"/>
        <v>OK</v>
      </c>
    </row>
    <row r="533" spans="1:19" x14ac:dyDescent="0.25">
      <c r="A533" s="3" t="str">
        <f t="shared" si="116"/>
        <v>04.07.2026</v>
      </c>
      <c r="B533" s="5">
        <v>36</v>
      </c>
      <c r="C533" s="5" t="s">
        <v>82</v>
      </c>
      <c r="D533" s="3">
        <v>17.5</v>
      </c>
      <c r="E533" s="3">
        <v>17.702529999999999</v>
      </c>
      <c r="F533" s="6">
        <f t="shared" si="104"/>
        <v>0.20252999999999943</v>
      </c>
      <c r="G533" s="6">
        <f t="shared" si="105"/>
        <v>1.1573142857142825E-2</v>
      </c>
      <c r="H533" s="6" t="str">
        <f t="shared" si="106"/>
        <v>🟢 Over-injection</v>
      </c>
      <c r="I533" s="6">
        <f t="shared" si="107"/>
        <v>-0.20252999999999943</v>
      </c>
      <c r="J533" s="3">
        <v>1.153</v>
      </c>
      <c r="K533" s="6">
        <f t="shared" si="108"/>
        <v>2.625</v>
      </c>
      <c r="L533" s="6">
        <f t="shared" si="109"/>
        <v>3.5</v>
      </c>
      <c r="M533" s="6">
        <f t="shared" si="110"/>
        <v>0.20252999999999943</v>
      </c>
      <c r="N533" s="6">
        <f t="shared" si="111"/>
        <v>0</v>
      </c>
      <c r="O533" s="6">
        <f t="shared" si="112"/>
        <v>0</v>
      </c>
      <c r="P533" s="6">
        <f t="shared" si="113"/>
        <v>-46.703417999999871</v>
      </c>
      <c r="Q533" s="3">
        <v>-46.703418000000006</v>
      </c>
      <c r="R533" s="6">
        <f t="shared" si="114"/>
        <v>1.3500311979441904E-13</v>
      </c>
      <c r="S533" s="6" t="str">
        <f t="shared" si="115"/>
        <v>OK</v>
      </c>
    </row>
    <row r="534" spans="1:19" x14ac:dyDescent="0.25">
      <c r="A534" s="3" t="str">
        <f t="shared" si="116"/>
        <v>04.07.2026</v>
      </c>
      <c r="B534" s="5">
        <v>37</v>
      </c>
      <c r="C534" s="5" t="s">
        <v>81</v>
      </c>
      <c r="D534" s="3">
        <v>20</v>
      </c>
      <c r="E534" s="3">
        <v>19.869949999999999</v>
      </c>
      <c r="F534" s="6">
        <f t="shared" si="104"/>
        <v>-0.13005000000000067</v>
      </c>
      <c r="G534" s="6">
        <f t="shared" si="105"/>
        <v>-6.5025000000000334E-3</v>
      </c>
      <c r="H534" s="6" t="str">
        <f t="shared" si="106"/>
        <v>🔴 Under-injection</v>
      </c>
      <c r="I534" s="6">
        <f t="shared" si="107"/>
        <v>0.13005000000000067</v>
      </c>
      <c r="J534" s="3">
        <v>0.64300000000000002</v>
      </c>
      <c r="K534" s="6">
        <f t="shared" si="108"/>
        <v>3</v>
      </c>
      <c r="L534" s="6">
        <f t="shared" si="109"/>
        <v>4</v>
      </c>
      <c r="M534" s="6">
        <f t="shared" si="110"/>
        <v>0.13005000000000067</v>
      </c>
      <c r="N534" s="6">
        <f t="shared" si="111"/>
        <v>0</v>
      </c>
      <c r="O534" s="6">
        <f t="shared" si="112"/>
        <v>0</v>
      </c>
      <c r="P534" s="6">
        <f t="shared" si="113"/>
        <v>21.950814375000117</v>
      </c>
      <c r="Q534" s="3">
        <v>21.950814375000004</v>
      </c>
      <c r="R534" s="6">
        <f t="shared" si="114"/>
        <v>1.1368683772161603E-13</v>
      </c>
      <c r="S534" s="6" t="str">
        <f t="shared" si="115"/>
        <v>OK</v>
      </c>
    </row>
    <row r="535" spans="1:19" x14ac:dyDescent="0.25">
      <c r="A535" s="3" t="str">
        <f t="shared" si="116"/>
        <v>04.07.2026</v>
      </c>
      <c r="B535" s="5">
        <v>38</v>
      </c>
      <c r="C535" s="5" t="s">
        <v>80</v>
      </c>
      <c r="D535" s="3">
        <v>20</v>
      </c>
      <c r="E535" s="3">
        <v>20.403300000000002</v>
      </c>
      <c r="F535" s="6">
        <f t="shared" si="104"/>
        <v>0.40330000000000155</v>
      </c>
      <c r="G535" s="6">
        <f t="shared" si="105"/>
        <v>2.0165000000000079E-2</v>
      </c>
      <c r="H535" s="6" t="str">
        <f t="shared" si="106"/>
        <v>🟢 Over-injection</v>
      </c>
      <c r="I535" s="6">
        <f t="shared" si="107"/>
        <v>-0.40330000000000155</v>
      </c>
      <c r="J535" s="3">
        <v>0.65500000000000003</v>
      </c>
      <c r="K535" s="6">
        <f t="shared" si="108"/>
        <v>3</v>
      </c>
      <c r="L535" s="6">
        <f t="shared" si="109"/>
        <v>4</v>
      </c>
      <c r="M535" s="6">
        <f t="shared" si="110"/>
        <v>0.40330000000000155</v>
      </c>
      <c r="N535" s="6">
        <f t="shared" si="111"/>
        <v>0</v>
      </c>
      <c r="O535" s="6">
        <f t="shared" si="112"/>
        <v>0</v>
      </c>
      <c r="P535" s="6">
        <f t="shared" si="113"/>
        <v>-52.83230000000021</v>
      </c>
      <c r="Q535" s="3">
        <v>-52.832299999999996</v>
      </c>
      <c r="R535" s="6">
        <f t="shared" si="114"/>
        <v>-2.1316282072803006E-13</v>
      </c>
      <c r="S535" s="6" t="str">
        <f t="shared" si="115"/>
        <v>OK</v>
      </c>
    </row>
    <row r="536" spans="1:19" x14ac:dyDescent="0.25">
      <c r="A536" s="3" t="str">
        <f t="shared" si="116"/>
        <v>04.07.2026</v>
      </c>
      <c r="B536" s="5">
        <v>39</v>
      </c>
      <c r="C536" s="5" t="s">
        <v>79</v>
      </c>
      <c r="D536" s="3">
        <v>22</v>
      </c>
      <c r="E536" s="3">
        <v>21.685600000000001</v>
      </c>
      <c r="F536" s="6">
        <f t="shared" si="104"/>
        <v>-0.31439999999999912</v>
      </c>
      <c r="G536" s="6">
        <f t="shared" si="105"/>
        <v>-1.429090909090905E-2</v>
      </c>
      <c r="H536" s="6" t="str">
        <f t="shared" si="106"/>
        <v>🔴 Under-injection</v>
      </c>
      <c r="I536" s="6">
        <f t="shared" si="107"/>
        <v>0.31439999999999912</v>
      </c>
      <c r="J536" s="3">
        <v>0.76849999999999996</v>
      </c>
      <c r="K536" s="6">
        <f t="shared" si="108"/>
        <v>3.3</v>
      </c>
      <c r="L536" s="6">
        <f t="shared" si="109"/>
        <v>4.4000000000000004</v>
      </c>
      <c r="M536" s="6">
        <f t="shared" si="110"/>
        <v>0.31439999999999912</v>
      </c>
      <c r="N536" s="6">
        <f t="shared" si="111"/>
        <v>0</v>
      </c>
      <c r="O536" s="6">
        <f t="shared" si="112"/>
        <v>0</v>
      </c>
      <c r="P536" s="6">
        <f t="shared" si="113"/>
        <v>63.424304999999819</v>
      </c>
      <c r="Q536" s="3">
        <v>63.424304999999997</v>
      </c>
      <c r="R536" s="6">
        <f t="shared" si="114"/>
        <v>-1.7763568394002505E-13</v>
      </c>
      <c r="S536" s="6" t="str">
        <f t="shared" si="115"/>
        <v>OK</v>
      </c>
    </row>
    <row r="537" spans="1:19" x14ac:dyDescent="0.25">
      <c r="A537" s="3" t="str">
        <f t="shared" si="116"/>
        <v>04.07.2026</v>
      </c>
      <c r="B537" s="5">
        <v>40</v>
      </c>
      <c r="C537" s="5" t="s">
        <v>78</v>
      </c>
      <c r="D537" s="3">
        <v>22</v>
      </c>
      <c r="E537" s="3">
        <v>22.25299</v>
      </c>
      <c r="F537" s="6">
        <f t="shared" si="104"/>
        <v>0.25299000000000049</v>
      </c>
      <c r="G537" s="6">
        <f t="shared" si="105"/>
        <v>1.1499545454545478E-2</v>
      </c>
      <c r="H537" s="6" t="str">
        <f t="shared" si="106"/>
        <v>🟢 Over-injection</v>
      </c>
      <c r="I537" s="6">
        <f t="shared" si="107"/>
        <v>-0.25299000000000049</v>
      </c>
      <c r="J537" s="3">
        <v>0.77469999999999994</v>
      </c>
      <c r="K537" s="6">
        <f t="shared" si="108"/>
        <v>3.3</v>
      </c>
      <c r="L537" s="6">
        <f t="shared" si="109"/>
        <v>4.4000000000000004</v>
      </c>
      <c r="M537" s="6">
        <f t="shared" si="110"/>
        <v>0.25299000000000049</v>
      </c>
      <c r="N537" s="6">
        <f t="shared" si="111"/>
        <v>0</v>
      </c>
      <c r="O537" s="6">
        <f t="shared" si="112"/>
        <v>0</v>
      </c>
      <c r="P537" s="6">
        <f t="shared" si="113"/>
        <v>-39.198270600000079</v>
      </c>
      <c r="Q537" s="3">
        <v>-39.198270599999994</v>
      </c>
      <c r="R537" s="6">
        <f t="shared" si="114"/>
        <v>-8.5265128291212022E-14</v>
      </c>
      <c r="S537" s="6" t="str">
        <f t="shared" si="115"/>
        <v>OK</v>
      </c>
    </row>
    <row r="538" spans="1:19" x14ac:dyDescent="0.25">
      <c r="A538" s="3" t="str">
        <f t="shared" si="116"/>
        <v>04.07.2026</v>
      </c>
      <c r="B538" s="5">
        <v>41</v>
      </c>
      <c r="C538" s="5" t="s">
        <v>77</v>
      </c>
      <c r="D538" s="3">
        <v>22</v>
      </c>
      <c r="E538" s="3">
        <v>22.25299</v>
      </c>
      <c r="F538" s="6">
        <f t="shared" si="104"/>
        <v>0.25299000000000049</v>
      </c>
      <c r="G538" s="6">
        <f t="shared" si="105"/>
        <v>1.1499545454545478E-2</v>
      </c>
      <c r="H538" s="6" t="str">
        <f t="shared" si="106"/>
        <v>🟢 Over-injection</v>
      </c>
      <c r="I538" s="6">
        <f t="shared" si="107"/>
        <v>-0.25299000000000049</v>
      </c>
      <c r="J538" s="3">
        <v>0.65069999999999995</v>
      </c>
      <c r="K538" s="6">
        <f t="shared" si="108"/>
        <v>3.3</v>
      </c>
      <c r="L538" s="6">
        <f t="shared" si="109"/>
        <v>4.4000000000000004</v>
      </c>
      <c r="M538" s="6">
        <f t="shared" si="110"/>
        <v>0.25299000000000049</v>
      </c>
      <c r="N538" s="6">
        <f t="shared" si="111"/>
        <v>0</v>
      </c>
      <c r="O538" s="6">
        <f t="shared" si="112"/>
        <v>0</v>
      </c>
      <c r="P538" s="6">
        <f t="shared" si="113"/>
        <v>-32.924118600000064</v>
      </c>
      <c r="Q538" s="3">
        <v>-32.9241186</v>
      </c>
      <c r="R538" s="6">
        <f t="shared" si="114"/>
        <v>-6.3948846218409017E-14</v>
      </c>
      <c r="S538" s="6" t="str">
        <f t="shared" si="115"/>
        <v>OK</v>
      </c>
    </row>
    <row r="539" spans="1:19" x14ac:dyDescent="0.25">
      <c r="A539" s="3" t="str">
        <f t="shared" si="116"/>
        <v>04.07.2026</v>
      </c>
      <c r="B539" s="5">
        <v>42</v>
      </c>
      <c r="C539" s="5" t="s">
        <v>76</v>
      </c>
      <c r="D539" s="3">
        <v>22</v>
      </c>
      <c r="E539" s="3">
        <v>22.25299</v>
      </c>
      <c r="F539" s="6">
        <f t="shared" si="104"/>
        <v>0.25299000000000049</v>
      </c>
      <c r="G539" s="6">
        <f t="shared" si="105"/>
        <v>1.1499545454545478E-2</v>
      </c>
      <c r="H539" s="6" t="str">
        <f t="shared" si="106"/>
        <v>🟢 Over-injection</v>
      </c>
      <c r="I539" s="6">
        <f t="shared" si="107"/>
        <v>-0.25299000000000049</v>
      </c>
      <c r="J539" s="3">
        <v>0.45600000000000002</v>
      </c>
      <c r="K539" s="6">
        <f t="shared" si="108"/>
        <v>3.3</v>
      </c>
      <c r="L539" s="6">
        <f t="shared" si="109"/>
        <v>4.4000000000000004</v>
      </c>
      <c r="M539" s="6">
        <f t="shared" si="110"/>
        <v>0.25299000000000049</v>
      </c>
      <c r="N539" s="6">
        <f t="shared" si="111"/>
        <v>0</v>
      </c>
      <c r="O539" s="6">
        <f t="shared" si="112"/>
        <v>0</v>
      </c>
      <c r="P539" s="6">
        <f t="shared" si="113"/>
        <v>-23.072688000000046</v>
      </c>
      <c r="Q539" s="3">
        <v>-23.072687999999999</v>
      </c>
      <c r="R539" s="6">
        <f t="shared" si="114"/>
        <v>-4.6185277824406512E-14</v>
      </c>
      <c r="S539" s="6" t="str">
        <f t="shared" si="115"/>
        <v>OK</v>
      </c>
    </row>
    <row r="540" spans="1:19" x14ac:dyDescent="0.25">
      <c r="A540" s="3" t="str">
        <f t="shared" si="116"/>
        <v>04.07.2026</v>
      </c>
      <c r="B540" s="5">
        <v>43</v>
      </c>
      <c r="C540" s="5" t="s">
        <v>75</v>
      </c>
      <c r="D540" s="3">
        <v>22</v>
      </c>
      <c r="E540" s="3">
        <v>22.25299</v>
      </c>
      <c r="F540" s="6">
        <f t="shared" si="104"/>
        <v>0.25299000000000049</v>
      </c>
      <c r="G540" s="6">
        <f t="shared" si="105"/>
        <v>1.1499545454545478E-2</v>
      </c>
      <c r="H540" s="6" t="str">
        <f t="shared" si="106"/>
        <v>🟢 Over-injection</v>
      </c>
      <c r="I540" s="6">
        <f t="shared" si="107"/>
        <v>-0.25299000000000049</v>
      </c>
      <c r="J540" s="3">
        <v>0.55149999999999999</v>
      </c>
      <c r="K540" s="6">
        <f t="shared" si="108"/>
        <v>3.3</v>
      </c>
      <c r="L540" s="6">
        <f t="shared" si="109"/>
        <v>4.4000000000000004</v>
      </c>
      <c r="M540" s="6">
        <f t="shared" si="110"/>
        <v>0.25299000000000049</v>
      </c>
      <c r="N540" s="6">
        <f t="shared" si="111"/>
        <v>0</v>
      </c>
      <c r="O540" s="6">
        <f t="shared" si="112"/>
        <v>0</v>
      </c>
      <c r="P540" s="6">
        <f t="shared" si="113"/>
        <v>-27.904797000000055</v>
      </c>
      <c r="Q540" s="3">
        <v>-27.904797000000002</v>
      </c>
      <c r="R540" s="6">
        <f t="shared" si="114"/>
        <v>-5.3290705182007514E-14</v>
      </c>
      <c r="S540" s="6" t="str">
        <f t="shared" si="115"/>
        <v>OK</v>
      </c>
    </row>
    <row r="541" spans="1:19" x14ac:dyDescent="0.25">
      <c r="A541" s="3" t="str">
        <f t="shared" si="116"/>
        <v>04.07.2026</v>
      </c>
      <c r="B541" s="5">
        <v>44</v>
      </c>
      <c r="C541" s="5" t="s">
        <v>74</v>
      </c>
      <c r="D541" s="3">
        <v>22</v>
      </c>
      <c r="E541" s="3">
        <v>22.24164</v>
      </c>
      <c r="F541" s="6">
        <f t="shared" si="104"/>
        <v>0.2416400000000003</v>
      </c>
      <c r="G541" s="6">
        <f t="shared" si="105"/>
        <v>1.0983636363636378E-2</v>
      </c>
      <c r="H541" s="6" t="str">
        <f t="shared" si="106"/>
        <v>🟢 Over-injection</v>
      </c>
      <c r="I541" s="6">
        <f t="shared" si="107"/>
        <v>-0.2416400000000003</v>
      </c>
      <c r="J541" s="3">
        <v>0.5504</v>
      </c>
      <c r="K541" s="6">
        <f t="shared" si="108"/>
        <v>3.3</v>
      </c>
      <c r="L541" s="6">
        <f t="shared" si="109"/>
        <v>4.4000000000000004</v>
      </c>
      <c r="M541" s="6">
        <f t="shared" si="110"/>
        <v>0.2416400000000003</v>
      </c>
      <c r="N541" s="6">
        <f t="shared" si="111"/>
        <v>0</v>
      </c>
      <c r="O541" s="6">
        <f t="shared" si="112"/>
        <v>0</v>
      </c>
      <c r="P541" s="6">
        <f t="shared" si="113"/>
        <v>-26.599731200000036</v>
      </c>
      <c r="Q541" s="3">
        <v>-26.599731200000001</v>
      </c>
      <c r="R541" s="6">
        <f t="shared" si="114"/>
        <v>-3.5527136788005009E-14</v>
      </c>
      <c r="S541" s="6" t="str">
        <f t="shared" si="115"/>
        <v>OK</v>
      </c>
    </row>
    <row r="542" spans="1:19" x14ac:dyDescent="0.25">
      <c r="A542" s="3" t="str">
        <f t="shared" si="116"/>
        <v>04.07.2026</v>
      </c>
      <c r="B542" s="5">
        <v>45</v>
      </c>
      <c r="C542" s="5" t="s">
        <v>73</v>
      </c>
      <c r="D542" s="3">
        <v>22</v>
      </c>
      <c r="E542" s="3">
        <v>22.24164</v>
      </c>
      <c r="F542" s="6">
        <f t="shared" si="104"/>
        <v>0.2416400000000003</v>
      </c>
      <c r="G542" s="6">
        <f t="shared" si="105"/>
        <v>1.0983636363636378E-2</v>
      </c>
      <c r="H542" s="6" t="str">
        <f t="shared" si="106"/>
        <v>🟢 Over-injection</v>
      </c>
      <c r="I542" s="6">
        <f t="shared" si="107"/>
        <v>-0.2416400000000003</v>
      </c>
      <c r="J542" s="3">
        <v>0.48350000000000004</v>
      </c>
      <c r="K542" s="6">
        <f t="shared" si="108"/>
        <v>3.3</v>
      </c>
      <c r="L542" s="6">
        <f t="shared" si="109"/>
        <v>4.4000000000000004</v>
      </c>
      <c r="M542" s="6">
        <f t="shared" si="110"/>
        <v>0.2416400000000003</v>
      </c>
      <c r="N542" s="6">
        <f t="shared" si="111"/>
        <v>0</v>
      </c>
      <c r="O542" s="6">
        <f t="shared" si="112"/>
        <v>0</v>
      </c>
      <c r="P542" s="6">
        <f t="shared" si="113"/>
        <v>-23.366588000000032</v>
      </c>
      <c r="Q542" s="3">
        <v>-23.366588</v>
      </c>
      <c r="R542" s="6">
        <f t="shared" si="114"/>
        <v>-3.1974423109204508E-14</v>
      </c>
      <c r="S542" s="6" t="str">
        <f t="shared" si="115"/>
        <v>OK</v>
      </c>
    </row>
    <row r="543" spans="1:19" x14ac:dyDescent="0.25">
      <c r="A543" s="3" t="str">
        <f t="shared" si="116"/>
        <v>04.07.2026</v>
      </c>
      <c r="B543" s="5">
        <v>46</v>
      </c>
      <c r="C543" s="5" t="s">
        <v>72</v>
      </c>
      <c r="D543" s="3">
        <v>22</v>
      </c>
      <c r="E543" s="3">
        <v>22.24164</v>
      </c>
      <c r="F543" s="6">
        <f t="shared" si="104"/>
        <v>0.2416400000000003</v>
      </c>
      <c r="G543" s="6">
        <f t="shared" si="105"/>
        <v>1.0983636363636378E-2</v>
      </c>
      <c r="H543" s="6" t="str">
        <f t="shared" si="106"/>
        <v>🟢 Over-injection</v>
      </c>
      <c r="I543" s="6">
        <f t="shared" si="107"/>
        <v>-0.2416400000000003</v>
      </c>
      <c r="J543" s="3">
        <v>0.47619999999999996</v>
      </c>
      <c r="K543" s="6">
        <f t="shared" si="108"/>
        <v>3.3</v>
      </c>
      <c r="L543" s="6">
        <f t="shared" si="109"/>
        <v>4.4000000000000004</v>
      </c>
      <c r="M543" s="6">
        <f t="shared" si="110"/>
        <v>0.2416400000000003</v>
      </c>
      <c r="N543" s="6">
        <f t="shared" si="111"/>
        <v>0</v>
      </c>
      <c r="O543" s="6">
        <f t="shared" si="112"/>
        <v>0</v>
      </c>
      <c r="P543" s="6">
        <f t="shared" si="113"/>
        <v>-23.013793600000032</v>
      </c>
      <c r="Q543" s="3">
        <v>-23.0137936</v>
      </c>
      <c r="R543" s="6">
        <f t="shared" si="114"/>
        <v>-3.1974423109204508E-14</v>
      </c>
      <c r="S543" s="6" t="str">
        <f t="shared" si="115"/>
        <v>OK</v>
      </c>
    </row>
    <row r="544" spans="1:19" x14ac:dyDescent="0.25">
      <c r="A544" s="3" t="str">
        <f t="shared" si="116"/>
        <v>04.07.2026</v>
      </c>
      <c r="B544" s="5">
        <v>47</v>
      </c>
      <c r="C544" s="5" t="s">
        <v>71</v>
      </c>
      <c r="D544" s="3">
        <v>23</v>
      </c>
      <c r="E544" s="3">
        <v>22.93385</v>
      </c>
      <c r="F544" s="6">
        <f t="shared" si="104"/>
        <v>-6.6150000000000375E-2</v>
      </c>
      <c r="G544" s="6">
        <f t="shared" si="105"/>
        <v>-2.8760869565217554E-3</v>
      </c>
      <c r="H544" s="6" t="str">
        <f t="shared" si="106"/>
        <v>🔴 Under-injection</v>
      </c>
      <c r="I544" s="6">
        <f t="shared" si="107"/>
        <v>6.6150000000000375E-2</v>
      </c>
      <c r="J544" s="3">
        <v>0.44719999999999999</v>
      </c>
      <c r="K544" s="6">
        <f t="shared" si="108"/>
        <v>3.4499999999999997</v>
      </c>
      <c r="L544" s="6">
        <f t="shared" si="109"/>
        <v>4.6000000000000005</v>
      </c>
      <c r="M544" s="6">
        <f t="shared" si="110"/>
        <v>6.6150000000000375E-2</v>
      </c>
      <c r="N544" s="6">
        <f t="shared" si="111"/>
        <v>0</v>
      </c>
      <c r="O544" s="6">
        <f t="shared" si="112"/>
        <v>0</v>
      </c>
      <c r="P544" s="6">
        <f t="shared" si="113"/>
        <v>7.7653485000000444</v>
      </c>
      <c r="Q544" s="3">
        <v>7.7653485000000009</v>
      </c>
      <c r="R544" s="6">
        <f t="shared" si="114"/>
        <v>4.3520742565306136E-14</v>
      </c>
      <c r="S544" s="6" t="str">
        <f t="shared" si="115"/>
        <v>OK</v>
      </c>
    </row>
    <row r="545" spans="1:19" x14ac:dyDescent="0.25">
      <c r="A545" s="3" t="str">
        <f t="shared" si="116"/>
        <v>04.07.2026</v>
      </c>
      <c r="B545" s="5">
        <v>48</v>
      </c>
      <c r="C545" s="5" t="s">
        <v>70</v>
      </c>
      <c r="D545" s="3">
        <v>23</v>
      </c>
      <c r="E545" s="3">
        <v>23.09273</v>
      </c>
      <c r="F545" s="6">
        <f t="shared" si="104"/>
        <v>9.2729999999999535E-2</v>
      </c>
      <c r="G545" s="6">
        <f t="shared" si="105"/>
        <v>4.0317391304347623E-3</v>
      </c>
      <c r="H545" s="6" t="str">
        <f t="shared" si="106"/>
        <v>🟢 Over-injection</v>
      </c>
      <c r="I545" s="6">
        <f t="shared" si="107"/>
        <v>-9.2729999999999535E-2</v>
      </c>
      <c r="J545" s="3">
        <v>0.45119999999999999</v>
      </c>
      <c r="K545" s="6">
        <f t="shared" si="108"/>
        <v>3.4499999999999997</v>
      </c>
      <c r="L545" s="6">
        <f t="shared" si="109"/>
        <v>4.6000000000000005</v>
      </c>
      <c r="M545" s="6">
        <f t="shared" si="110"/>
        <v>9.2729999999999535E-2</v>
      </c>
      <c r="N545" s="6">
        <f t="shared" si="111"/>
        <v>0</v>
      </c>
      <c r="O545" s="6">
        <f t="shared" si="112"/>
        <v>0</v>
      </c>
      <c r="P545" s="6">
        <f t="shared" si="113"/>
        <v>-8.3679551999999582</v>
      </c>
      <c r="Q545" s="3">
        <v>-8.3679552000000008</v>
      </c>
      <c r="R545" s="6">
        <f t="shared" si="114"/>
        <v>4.2632564145606011E-14</v>
      </c>
      <c r="S545" s="6" t="str">
        <f t="shared" si="115"/>
        <v>OK</v>
      </c>
    </row>
    <row r="546" spans="1:19" x14ac:dyDescent="0.25">
      <c r="A546" s="3" t="str">
        <f t="shared" si="116"/>
        <v>04.07.2026</v>
      </c>
      <c r="B546" s="5">
        <v>49</v>
      </c>
      <c r="C546" s="5" t="s">
        <v>69</v>
      </c>
      <c r="D546" s="3">
        <v>23</v>
      </c>
      <c r="E546" s="3">
        <v>23.08137</v>
      </c>
      <c r="F546" s="6">
        <f t="shared" si="104"/>
        <v>8.136999999999972E-2</v>
      </c>
      <c r="G546" s="6">
        <f t="shared" si="105"/>
        <v>3.5378260869565097E-3</v>
      </c>
      <c r="H546" s="6" t="str">
        <f t="shared" si="106"/>
        <v>🟢 Over-injection</v>
      </c>
      <c r="I546" s="6">
        <f t="shared" si="107"/>
        <v>-8.136999999999972E-2</v>
      </c>
      <c r="J546" s="3">
        <v>0.43770000000000003</v>
      </c>
      <c r="K546" s="6">
        <f t="shared" si="108"/>
        <v>3.4499999999999997</v>
      </c>
      <c r="L546" s="6">
        <f t="shared" si="109"/>
        <v>4.6000000000000005</v>
      </c>
      <c r="M546" s="6">
        <f t="shared" si="110"/>
        <v>8.136999999999972E-2</v>
      </c>
      <c r="N546" s="6">
        <f t="shared" si="111"/>
        <v>0</v>
      </c>
      <c r="O546" s="6">
        <f t="shared" si="112"/>
        <v>0</v>
      </c>
      <c r="P546" s="6">
        <f t="shared" si="113"/>
        <v>-7.123129799999977</v>
      </c>
      <c r="Q546" s="3">
        <v>-7.1231298000000001</v>
      </c>
      <c r="R546" s="6">
        <f t="shared" si="114"/>
        <v>2.3092638912203256E-14</v>
      </c>
      <c r="S546" s="6" t="str">
        <f t="shared" si="115"/>
        <v>OK</v>
      </c>
    </row>
    <row r="547" spans="1:19" x14ac:dyDescent="0.25">
      <c r="A547" s="3" t="str">
        <f t="shared" si="116"/>
        <v>04.07.2026</v>
      </c>
      <c r="B547" s="5">
        <v>50</v>
      </c>
      <c r="C547" s="5" t="s">
        <v>68</v>
      </c>
      <c r="D547" s="3">
        <v>23</v>
      </c>
      <c r="E547" s="3">
        <v>23.08137</v>
      </c>
      <c r="F547" s="6">
        <f t="shared" si="104"/>
        <v>8.136999999999972E-2</v>
      </c>
      <c r="G547" s="6">
        <f t="shared" si="105"/>
        <v>3.5378260869565097E-3</v>
      </c>
      <c r="H547" s="6" t="str">
        <f t="shared" si="106"/>
        <v>🟢 Over-injection</v>
      </c>
      <c r="I547" s="6">
        <f t="shared" si="107"/>
        <v>-8.136999999999972E-2</v>
      </c>
      <c r="J547" s="3">
        <v>0.42149999999999999</v>
      </c>
      <c r="K547" s="6">
        <f t="shared" si="108"/>
        <v>3.4499999999999997</v>
      </c>
      <c r="L547" s="6">
        <f t="shared" si="109"/>
        <v>4.6000000000000005</v>
      </c>
      <c r="M547" s="6">
        <f t="shared" si="110"/>
        <v>8.136999999999972E-2</v>
      </c>
      <c r="N547" s="6">
        <f t="shared" si="111"/>
        <v>0</v>
      </c>
      <c r="O547" s="6">
        <f t="shared" si="112"/>
        <v>0</v>
      </c>
      <c r="P547" s="6">
        <f t="shared" si="113"/>
        <v>-6.8594909999999762</v>
      </c>
      <c r="Q547" s="3">
        <v>-6.8594909999999993</v>
      </c>
      <c r="R547" s="6">
        <f t="shared" si="114"/>
        <v>2.3092638912203256E-14</v>
      </c>
      <c r="S547" s="6" t="str">
        <f t="shared" si="115"/>
        <v>OK</v>
      </c>
    </row>
    <row r="548" spans="1:19" x14ac:dyDescent="0.25">
      <c r="A548" s="3" t="str">
        <f t="shared" si="116"/>
        <v>04.07.2026</v>
      </c>
      <c r="B548" s="5">
        <v>51</v>
      </c>
      <c r="C548" s="5" t="s">
        <v>67</v>
      </c>
      <c r="D548" s="3">
        <v>21.5</v>
      </c>
      <c r="E548" s="3">
        <v>22.196249999999999</v>
      </c>
      <c r="F548" s="6">
        <f t="shared" si="104"/>
        <v>0.69624999999999915</v>
      </c>
      <c r="G548" s="6">
        <f t="shared" si="105"/>
        <v>3.2383720930232521E-2</v>
      </c>
      <c r="H548" s="6" t="str">
        <f t="shared" si="106"/>
        <v>🟢 Over-injection</v>
      </c>
      <c r="I548" s="6">
        <f t="shared" si="107"/>
        <v>-0.69624999999999915</v>
      </c>
      <c r="J548" s="3">
        <v>0.4219</v>
      </c>
      <c r="K548" s="6">
        <f t="shared" si="108"/>
        <v>3.2250000000000001</v>
      </c>
      <c r="L548" s="6">
        <f t="shared" si="109"/>
        <v>4.3</v>
      </c>
      <c r="M548" s="6">
        <f t="shared" si="110"/>
        <v>0.69624999999999915</v>
      </c>
      <c r="N548" s="6">
        <f t="shared" si="111"/>
        <v>0</v>
      </c>
      <c r="O548" s="6">
        <f t="shared" si="112"/>
        <v>0</v>
      </c>
      <c r="P548" s="6">
        <f t="shared" si="113"/>
        <v>-58.749574999999936</v>
      </c>
      <c r="Q548" s="3">
        <v>-58.749575000000014</v>
      </c>
      <c r="R548" s="6">
        <f t="shared" si="114"/>
        <v>7.815970093361102E-14</v>
      </c>
      <c r="S548" s="6" t="str">
        <f t="shared" si="115"/>
        <v>OK</v>
      </c>
    </row>
    <row r="549" spans="1:19" x14ac:dyDescent="0.25">
      <c r="A549" s="3" t="str">
        <f t="shared" si="116"/>
        <v>04.07.2026</v>
      </c>
      <c r="B549" s="5">
        <v>52</v>
      </c>
      <c r="C549" s="5" t="s">
        <v>66</v>
      </c>
      <c r="D549" s="3">
        <v>21.5</v>
      </c>
      <c r="E549" s="3">
        <v>21.685600000000001</v>
      </c>
      <c r="F549" s="6">
        <f t="shared" si="104"/>
        <v>0.18560000000000088</v>
      </c>
      <c r="G549" s="6">
        <f t="shared" si="105"/>
        <v>8.6325581395349238E-3</v>
      </c>
      <c r="H549" s="6" t="str">
        <f t="shared" si="106"/>
        <v>🟢 Over-injection</v>
      </c>
      <c r="I549" s="6">
        <f t="shared" si="107"/>
        <v>-0.18560000000000088</v>
      </c>
      <c r="J549" s="3">
        <v>0.41749999999999998</v>
      </c>
      <c r="K549" s="6">
        <f t="shared" si="108"/>
        <v>3.2250000000000001</v>
      </c>
      <c r="L549" s="6">
        <f t="shared" si="109"/>
        <v>4.3</v>
      </c>
      <c r="M549" s="6">
        <f t="shared" si="110"/>
        <v>0.18560000000000088</v>
      </c>
      <c r="N549" s="6">
        <f t="shared" si="111"/>
        <v>0</v>
      </c>
      <c r="O549" s="6">
        <f t="shared" si="112"/>
        <v>0</v>
      </c>
      <c r="P549" s="6">
        <f t="shared" si="113"/>
        <v>-15.497600000000071</v>
      </c>
      <c r="Q549" s="3">
        <v>-15.4976</v>
      </c>
      <c r="R549" s="6">
        <f t="shared" si="114"/>
        <v>-7.1054273576010019E-14</v>
      </c>
      <c r="S549" s="6" t="str">
        <f t="shared" si="115"/>
        <v>OK</v>
      </c>
    </row>
    <row r="550" spans="1:19" x14ac:dyDescent="0.25">
      <c r="A550" s="3" t="str">
        <f t="shared" si="116"/>
        <v>04.07.2026</v>
      </c>
      <c r="B550" s="5">
        <v>53</v>
      </c>
      <c r="C550" s="5" t="s">
        <v>65</v>
      </c>
      <c r="D550" s="3">
        <v>21.5</v>
      </c>
      <c r="E550" s="3">
        <v>21.685600000000001</v>
      </c>
      <c r="F550" s="6">
        <f t="shared" si="104"/>
        <v>0.18560000000000088</v>
      </c>
      <c r="G550" s="6">
        <f t="shared" si="105"/>
        <v>8.6325581395349238E-3</v>
      </c>
      <c r="H550" s="6" t="str">
        <f t="shared" si="106"/>
        <v>🟢 Over-injection</v>
      </c>
      <c r="I550" s="6">
        <f t="shared" si="107"/>
        <v>-0.18560000000000088</v>
      </c>
      <c r="J550" s="3">
        <v>0.4118</v>
      </c>
      <c r="K550" s="6">
        <f t="shared" si="108"/>
        <v>3.2250000000000001</v>
      </c>
      <c r="L550" s="6">
        <f t="shared" si="109"/>
        <v>4.3</v>
      </c>
      <c r="M550" s="6">
        <f t="shared" si="110"/>
        <v>0.18560000000000088</v>
      </c>
      <c r="N550" s="6">
        <f t="shared" si="111"/>
        <v>0</v>
      </c>
      <c r="O550" s="6">
        <f t="shared" si="112"/>
        <v>0</v>
      </c>
      <c r="P550" s="6">
        <f t="shared" si="113"/>
        <v>-15.286016000000073</v>
      </c>
      <c r="Q550" s="3">
        <v>-15.286016</v>
      </c>
      <c r="R550" s="6">
        <f t="shared" si="114"/>
        <v>-7.2830630415410269E-14</v>
      </c>
      <c r="S550" s="6" t="str">
        <f t="shared" si="115"/>
        <v>OK</v>
      </c>
    </row>
    <row r="551" spans="1:19" x14ac:dyDescent="0.25">
      <c r="A551" s="3" t="str">
        <f t="shared" si="116"/>
        <v>04.07.2026</v>
      </c>
      <c r="B551" s="5">
        <v>54</v>
      </c>
      <c r="C551" s="5" t="s">
        <v>64</v>
      </c>
      <c r="D551" s="3">
        <v>21.5</v>
      </c>
      <c r="E551" s="3">
        <v>21.685600000000001</v>
      </c>
      <c r="F551" s="6">
        <f t="shared" si="104"/>
        <v>0.18560000000000088</v>
      </c>
      <c r="G551" s="6">
        <f t="shared" si="105"/>
        <v>8.6325581395349238E-3</v>
      </c>
      <c r="H551" s="6" t="str">
        <f t="shared" si="106"/>
        <v>🟢 Over-injection</v>
      </c>
      <c r="I551" s="6">
        <f t="shared" si="107"/>
        <v>-0.18560000000000088</v>
      </c>
      <c r="J551" s="3">
        <v>0.41090000000000004</v>
      </c>
      <c r="K551" s="6">
        <f t="shared" si="108"/>
        <v>3.2250000000000001</v>
      </c>
      <c r="L551" s="6">
        <f t="shared" si="109"/>
        <v>4.3</v>
      </c>
      <c r="M551" s="6">
        <f t="shared" si="110"/>
        <v>0.18560000000000088</v>
      </c>
      <c r="N551" s="6">
        <f t="shared" si="111"/>
        <v>0</v>
      </c>
      <c r="O551" s="6">
        <f t="shared" si="112"/>
        <v>0</v>
      </c>
      <c r="P551" s="6">
        <f t="shared" si="113"/>
        <v>-15.252608000000073</v>
      </c>
      <c r="Q551" s="3">
        <v>-15.252608000000002</v>
      </c>
      <c r="R551" s="6">
        <f t="shared" si="114"/>
        <v>-7.1054273576010019E-14</v>
      </c>
      <c r="S551" s="6" t="str">
        <f t="shared" si="115"/>
        <v>OK</v>
      </c>
    </row>
    <row r="552" spans="1:19" x14ac:dyDescent="0.25">
      <c r="A552" s="3" t="str">
        <f t="shared" si="116"/>
        <v>04.07.2026</v>
      </c>
      <c r="B552" s="5">
        <v>55</v>
      </c>
      <c r="C552" s="5" t="s">
        <v>63</v>
      </c>
      <c r="D552" s="3">
        <v>21.5</v>
      </c>
      <c r="E552" s="3">
        <v>21.696950000000001</v>
      </c>
      <c r="F552" s="6">
        <f t="shared" si="104"/>
        <v>0.19695000000000107</v>
      </c>
      <c r="G552" s="6">
        <f t="shared" si="105"/>
        <v>9.1604651162791196E-3</v>
      </c>
      <c r="H552" s="6" t="str">
        <f t="shared" si="106"/>
        <v>🟢 Over-injection</v>
      </c>
      <c r="I552" s="6">
        <f t="shared" si="107"/>
        <v>-0.19695000000000107</v>
      </c>
      <c r="J552" s="3">
        <v>0.40970000000000001</v>
      </c>
      <c r="K552" s="6">
        <f t="shared" si="108"/>
        <v>3.2250000000000001</v>
      </c>
      <c r="L552" s="6">
        <f t="shared" si="109"/>
        <v>4.3</v>
      </c>
      <c r="M552" s="6">
        <f t="shared" si="110"/>
        <v>0.19695000000000107</v>
      </c>
      <c r="N552" s="6">
        <f t="shared" si="111"/>
        <v>0</v>
      </c>
      <c r="O552" s="6">
        <f t="shared" si="112"/>
        <v>0</v>
      </c>
      <c r="P552" s="6">
        <f t="shared" si="113"/>
        <v>-16.138083000000087</v>
      </c>
      <c r="Q552" s="3">
        <v>-16.138083000000002</v>
      </c>
      <c r="R552" s="6">
        <f t="shared" si="114"/>
        <v>-8.5265128291212022E-14</v>
      </c>
      <c r="S552" s="6" t="str">
        <f t="shared" si="115"/>
        <v>OK</v>
      </c>
    </row>
    <row r="553" spans="1:19" x14ac:dyDescent="0.25">
      <c r="A553" s="3" t="str">
        <f t="shared" si="116"/>
        <v>04.07.2026</v>
      </c>
      <c r="B553" s="5">
        <v>56</v>
      </c>
      <c r="C553" s="5" t="s">
        <v>62</v>
      </c>
      <c r="D553" s="3">
        <v>21.5</v>
      </c>
      <c r="E553" s="3">
        <v>21.696950000000001</v>
      </c>
      <c r="F553" s="6">
        <f t="shared" si="104"/>
        <v>0.19695000000000107</v>
      </c>
      <c r="G553" s="6">
        <f t="shared" si="105"/>
        <v>9.1604651162791196E-3</v>
      </c>
      <c r="H553" s="6" t="str">
        <f t="shared" si="106"/>
        <v>🟢 Over-injection</v>
      </c>
      <c r="I553" s="6">
        <f t="shared" si="107"/>
        <v>-0.19695000000000107</v>
      </c>
      <c r="J553" s="3">
        <v>0.42590000000000006</v>
      </c>
      <c r="K553" s="6">
        <f t="shared" si="108"/>
        <v>3.2250000000000001</v>
      </c>
      <c r="L553" s="6">
        <f t="shared" si="109"/>
        <v>4.3</v>
      </c>
      <c r="M553" s="6">
        <f t="shared" si="110"/>
        <v>0.19695000000000107</v>
      </c>
      <c r="N553" s="6">
        <f t="shared" si="111"/>
        <v>0</v>
      </c>
      <c r="O553" s="6">
        <f t="shared" si="112"/>
        <v>0</v>
      </c>
      <c r="P553" s="6">
        <f t="shared" si="113"/>
        <v>-16.776201000000096</v>
      </c>
      <c r="Q553" s="3">
        <v>-16.776201</v>
      </c>
      <c r="R553" s="6">
        <f t="shared" si="114"/>
        <v>-9.5923269327613525E-14</v>
      </c>
      <c r="S553" s="6" t="str">
        <f t="shared" si="115"/>
        <v>OK</v>
      </c>
    </row>
    <row r="554" spans="1:19" x14ac:dyDescent="0.25">
      <c r="A554" s="3" t="str">
        <f t="shared" si="116"/>
        <v>04.07.2026</v>
      </c>
      <c r="B554" s="5">
        <v>57</v>
      </c>
      <c r="C554" s="5" t="s">
        <v>61</v>
      </c>
      <c r="D554" s="3">
        <v>21.5</v>
      </c>
      <c r="E554" s="3">
        <v>21.696950000000001</v>
      </c>
      <c r="F554" s="6">
        <f t="shared" si="104"/>
        <v>0.19695000000000107</v>
      </c>
      <c r="G554" s="6">
        <f t="shared" si="105"/>
        <v>9.1604651162791196E-3</v>
      </c>
      <c r="H554" s="6" t="str">
        <f t="shared" si="106"/>
        <v>🟢 Over-injection</v>
      </c>
      <c r="I554" s="6">
        <f t="shared" si="107"/>
        <v>-0.19695000000000107</v>
      </c>
      <c r="J554" s="3">
        <v>0.59060000000000001</v>
      </c>
      <c r="K554" s="6">
        <f t="shared" si="108"/>
        <v>3.2250000000000001</v>
      </c>
      <c r="L554" s="6">
        <f t="shared" si="109"/>
        <v>4.3</v>
      </c>
      <c r="M554" s="6">
        <f t="shared" si="110"/>
        <v>0.19695000000000107</v>
      </c>
      <c r="N554" s="6">
        <f t="shared" si="111"/>
        <v>0</v>
      </c>
      <c r="O554" s="6">
        <f t="shared" si="112"/>
        <v>0</v>
      </c>
      <c r="P554" s="6">
        <f t="shared" si="113"/>
        <v>-23.263734000000131</v>
      </c>
      <c r="Q554" s="3">
        <v>-23.263733999999999</v>
      </c>
      <c r="R554" s="6">
        <f t="shared" si="114"/>
        <v>-1.3145040611561853E-13</v>
      </c>
      <c r="S554" s="6" t="str">
        <f t="shared" si="115"/>
        <v>OK</v>
      </c>
    </row>
    <row r="555" spans="1:19" x14ac:dyDescent="0.25">
      <c r="A555" s="3" t="str">
        <f t="shared" si="116"/>
        <v>04.07.2026</v>
      </c>
      <c r="B555" s="5">
        <v>58</v>
      </c>
      <c r="C555" s="5" t="s">
        <v>60</v>
      </c>
      <c r="D555" s="3">
        <v>21.5</v>
      </c>
      <c r="E555" s="3">
        <v>21.685600000000001</v>
      </c>
      <c r="F555" s="6">
        <f t="shared" si="104"/>
        <v>0.18560000000000088</v>
      </c>
      <c r="G555" s="6">
        <f t="shared" si="105"/>
        <v>8.6325581395349238E-3</v>
      </c>
      <c r="H555" s="6" t="str">
        <f t="shared" si="106"/>
        <v>🟢 Over-injection</v>
      </c>
      <c r="I555" s="6">
        <f t="shared" si="107"/>
        <v>-0.18560000000000088</v>
      </c>
      <c r="J555" s="3">
        <v>0.95189999999999997</v>
      </c>
      <c r="K555" s="6">
        <f t="shared" si="108"/>
        <v>3.2250000000000001</v>
      </c>
      <c r="L555" s="6">
        <f t="shared" si="109"/>
        <v>4.3</v>
      </c>
      <c r="M555" s="6">
        <f t="shared" si="110"/>
        <v>0.18560000000000088</v>
      </c>
      <c r="N555" s="6">
        <f t="shared" si="111"/>
        <v>0</v>
      </c>
      <c r="O555" s="6">
        <f t="shared" si="112"/>
        <v>0</v>
      </c>
      <c r="P555" s="6">
        <f t="shared" si="113"/>
        <v>-35.334528000000162</v>
      </c>
      <c r="Q555" s="3">
        <v>-35.334527999999999</v>
      </c>
      <c r="R555" s="6">
        <f t="shared" si="114"/>
        <v>-1.6342482922482304E-13</v>
      </c>
      <c r="S555" s="6" t="str">
        <f t="shared" si="115"/>
        <v>OK</v>
      </c>
    </row>
    <row r="556" spans="1:19" x14ac:dyDescent="0.25">
      <c r="A556" s="3" t="str">
        <f t="shared" si="116"/>
        <v>04.07.2026</v>
      </c>
      <c r="B556" s="5">
        <v>59</v>
      </c>
      <c r="C556" s="5" t="s">
        <v>59</v>
      </c>
      <c r="D556" s="3">
        <v>21.5</v>
      </c>
      <c r="E556" s="3">
        <v>21.685600000000001</v>
      </c>
      <c r="F556" s="6">
        <f t="shared" si="104"/>
        <v>0.18560000000000088</v>
      </c>
      <c r="G556" s="6">
        <f t="shared" si="105"/>
        <v>8.6325581395349238E-3</v>
      </c>
      <c r="H556" s="6" t="str">
        <f t="shared" si="106"/>
        <v>🟢 Over-injection</v>
      </c>
      <c r="I556" s="6">
        <f t="shared" si="107"/>
        <v>-0.18560000000000088</v>
      </c>
      <c r="J556" s="3">
        <v>1.0634999999999999</v>
      </c>
      <c r="K556" s="6">
        <f t="shared" si="108"/>
        <v>3.2250000000000001</v>
      </c>
      <c r="L556" s="6">
        <f t="shared" si="109"/>
        <v>4.3</v>
      </c>
      <c r="M556" s="6">
        <f t="shared" si="110"/>
        <v>0.18560000000000088</v>
      </c>
      <c r="N556" s="6">
        <f t="shared" si="111"/>
        <v>0</v>
      </c>
      <c r="O556" s="6">
        <f t="shared" si="112"/>
        <v>0</v>
      </c>
      <c r="P556" s="6">
        <f t="shared" si="113"/>
        <v>-39.477120000000177</v>
      </c>
      <c r="Q556" s="3">
        <v>-39.477119999999999</v>
      </c>
      <c r="R556" s="6">
        <f t="shared" si="114"/>
        <v>-1.7763568394002505E-13</v>
      </c>
      <c r="S556" s="6" t="str">
        <f t="shared" si="115"/>
        <v>OK</v>
      </c>
    </row>
    <row r="557" spans="1:19" x14ac:dyDescent="0.25">
      <c r="A557" s="3" t="str">
        <f t="shared" si="116"/>
        <v>04.07.2026</v>
      </c>
      <c r="B557" s="5">
        <v>60</v>
      </c>
      <c r="C557" s="5" t="s">
        <v>58</v>
      </c>
      <c r="D557" s="3">
        <v>21.5</v>
      </c>
      <c r="E557" s="3">
        <v>21.696950000000001</v>
      </c>
      <c r="F557" s="6">
        <f t="shared" si="104"/>
        <v>0.19695000000000107</v>
      </c>
      <c r="G557" s="6">
        <f t="shared" si="105"/>
        <v>9.1604651162791196E-3</v>
      </c>
      <c r="H557" s="6" t="str">
        <f t="shared" si="106"/>
        <v>🟢 Over-injection</v>
      </c>
      <c r="I557" s="6">
        <f t="shared" si="107"/>
        <v>-0.19695000000000107</v>
      </c>
      <c r="J557" s="3">
        <v>1.151</v>
      </c>
      <c r="K557" s="6">
        <f t="shared" si="108"/>
        <v>3.2250000000000001</v>
      </c>
      <c r="L557" s="6">
        <f t="shared" si="109"/>
        <v>4.3</v>
      </c>
      <c r="M557" s="6">
        <f t="shared" si="110"/>
        <v>0.19695000000000107</v>
      </c>
      <c r="N557" s="6">
        <f t="shared" si="111"/>
        <v>0</v>
      </c>
      <c r="O557" s="6">
        <f t="shared" si="112"/>
        <v>0</v>
      </c>
      <c r="P557" s="6">
        <f t="shared" si="113"/>
        <v>-45.33789000000025</v>
      </c>
      <c r="Q557" s="3">
        <v>-45.337890000000002</v>
      </c>
      <c r="R557" s="6">
        <f t="shared" si="114"/>
        <v>-2.4868995751603507E-13</v>
      </c>
      <c r="S557" s="6" t="str">
        <f t="shared" si="115"/>
        <v>OK</v>
      </c>
    </row>
    <row r="558" spans="1:19" x14ac:dyDescent="0.25">
      <c r="A558" s="3" t="str">
        <f t="shared" si="116"/>
        <v>04.07.2026</v>
      </c>
      <c r="B558" s="5">
        <v>61</v>
      </c>
      <c r="C558" s="5" t="s">
        <v>57</v>
      </c>
      <c r="D558" s="3">
        <v>21.5</v>
      </c>
      <c r="E558" s="3">
        <v>21.696950000000001</v>
      </c>
      <c r="F558" s="6">
        <f t="shared" si="104"/>
        <v>0.19695000000000107</v>
      </c>
      <c r="G558" s="6">
        <f t="shared" si="105"/>
        <v>9.1604651162791196E-3</v>
      </c>
      <c r="H558" s="6" t="str">
        <f t="shared" si="106"/>
        <v>🟢 Over-injection</v>
      </c>
      <c r="I558" s="6">
        <f t="shared" si="107"/>
        <v>-0.19695000000000107</v>
      </c>
      <c r="J558" s="3">
        <v>1.4265999999999999</v>
      </c>
      <c r="K558" s="6">
        <f t="shared" si="108"/>
        <v>3.2250000000000001</v>
      </c>
      <c r="L558" s="6">
        <f t="shared" si="109"/>
        <v>4.3</v>
      </c>
      <c r="M558" s="6">
        <f t="shared" si="110"/>
        <v>0.19695000000000107</v>
      </c>
      <c r="N558" s="6">
        <f t="shared" si="111"/>
        <v>0</v>
      </c>
      <c r="O558" s="6">
        <f t="shared" si="112"/>
        <v>0</v>
      </c>
      <c r="P558" s="6">
        <f t="shared" si="113"/>
        <v>-56.193774000000303</v>
      </c>
      <c r="Q558" s="3">
        <v>-56.193773999999991</v>
      </c>
      <c r="R558" s="6">
        <f t="shared" si="114"/>
        <v>-3.1263880373444408E-13</v>
      </c>
      <c r="S558" s="6" t="str">
        <f t="shared" si="115"/>
        <v>OK</v>
      </c>
    </row>
    <row r="559" spans="1:19" x14ac:dyDescent="0.25">
      <c r="A559" s="3" t="str">
        <f t="shared" si="116"/>
        <v>04.07.2026</v>
      </c>
      <c r="B559" s="5">
        <v>62</v>
      </c>
      <c r="C559" s="5" t="s">
        <v>56</v>
      </c>
      <c r="D559" s="3">
        <v>21.5</v>
      </c>
      <c r="E559" s="3">
        <v>21.696950000000001</v>
      </c>
      <c r="F559" s="6">
        <f t="shared" si="104"/>
        <v>0.19695000000000107</v>
      </c>
      <c r="G559" s="6">
        <f t="shared" si="105"/>
        <v>9.1604651162791196E-3</v>
      </c>
      <c r="H559" s="6" t="str">
        <f t="shared" si="106"/>
        <v>🟢 Over-injection</v>
      </c>
      <c r="I559" s="6">
        <f t="shared" si="107"/>
        <v>-0.19695000000000107</v>
      </c>
      <c r="J559" s="3">
        <v>1.4912999999999998</v>
      </c>
      <c r="K559" s="6">
        <f t="shared" si="108"/>
        <v>3.2250000000000001</v>
      </c>
      <c r="L559" s="6">
        <f t="shared" si="109"/>
        <v>4.3</v>
      </c>
      <c r="M559" s="6">
        <f t="shared" si="110"/>
        <v>0.19695000000000107</v>
      </c>
      <c r="N559" s="6">
        <f t="shared" si="111"/>
        <v>0</v>
      </c>
      <c r="O559" s="6">
        <f t="shared" si="112"/>
        <v>0</v>
      </c>
      <c r="P559" s="6">
        <f t="shared" si="113"/>
        <v>-58.742307000000316</v>
      </c>
      <c r="Q559" s="3">
        <v>-58.74230699999999</v>
      </c>
      <c r="R559" s="6">
        <f t="shared" si="114"/>
        <v>-3.2684965844964609E-13</v>
      </c>
      <c r="S559" s="6" t="str">
        <f t="shared" si="115"/>
        <v>OK</v>
      </c>
    </row>
    <row r="560" spans="1:19" x14ac:dyDescent="0.25">
      <c r="A560" s="3" t="str">
        <f t="shared" si="116"/>
        <v>04.07.2026</v>
      </c>
      <c r="B560" s="5">
        <v>63</v>
      </c>
      <c r="C560" s="5" t="s">
        <v>55</v>
      </c>
      <c r="D560" s="3">
        <v>21.5</v>
      </c>
      <c r="E560" s="3">
        <v>21.696950000000001</v>
      </c>
      <c r="F560" s="6">
        <f t="shared" si="104"/>
        <v>0.19695000000000107</v>
      </c>
      <c r="G560" s="6">
        <f t="shared" si="105"/>
        <v>9.1604651162791196E-3</v>
      </c>
      <c r="H560" s="6" t="str">
        <f t="shared" si="106"/>
        <v>🟢 Over-injection</v>
      </c>
      <c r="I560" s="6">
        <f t="shared" si="107"/>
        <v>-0.19695000000000107</v>
      </c>
      <c r="J560" s="3">
        <v>1.8368</v>
      </c>
      <c r="K560" s="6">
        <f t="shared" si="108"/>
        <v>3.2250000000000001</v>
      </c>
      <c r="L560" s="6">
        <f t="shared" si="109"/>
        <v>4.3</v>
      </c>
      <c r="M560" s="6">
        <f t="shared" si="110"/>
        <v>0.19695000000000107</v>
      </c>
      <c r="N560" s="6">
        <f t="shared" si="111"/>
        <v>0</v>
      </c>
      <c r="O560" s="6">
        <f t="shared" si="112"/>
        <v>0</v>
      </c>
      <c r="P560" s="6">
        <f t="shared" si="113"/>
        <v>-72.351552000000396</v>
      </c>
      <c r="Q560" s="3">
        <v>-72.351551999999998</v>
      </c>
      <c r="R560" s="6">
        <f t="shared" si="114"/>
        <v>-3.979039320256561E-13</v>
      </c>
      <c r="S560" s="6" t="str">
        <f t="shared" si="115"/>
        <v>OK</v>
      </c>
    </row>
    <row r="561" spans="1:19" x14ac:dyDescent="0.25">
      <c r="A561" s="3" t="str">
        <f t="shared" si="116"/>
        <v>04.07.2026</v>
      </c>
      <c r="B561" s="5">
        <v>64</v>
      </c>
      <c r="C561" s="5" t="s">
        <v>54</v>
      </c>
      <c r="D561" s="3">
        <v>21.5</v>
      </c>
      <c r="E561" s="3">
        <v>21.696950000000001</v>
      </c>
      <c r="F561" s="6">
        <f t="shared" si="104"/>
        <v>0.19695000000000107</v>
      </c>
      <c r="G561" s="6">
        <f t="shared" si="105"/>
        <v>9.1604651162791196E-3</v>
      </c>
      <c r="H561" s="6" t="str">
        <f t="shared" si="106"/>
        <v>🟢 Over-injection</v>
      </c>
      <c r="I561" s="6">
        <f t="shared" si="107"/>
        <v>-0.19695000000000107</v>
      </c>
      <c r="J561" s="3">
        <v>2.0310000000000001</v>
      </c>
      <c r="K561" s="6">
        <f t="shared" si="108"/>
        <v>3.2250000000000001</v>
      </c>
      <c r="L561" s="6">
        <f t="shared" si="109"/>
        <v>4.3</v>
      </c>
      <c r="M561" s="6">
        <f t="shared" si="110"/>
        <v>0.19695000000000107</v>
      </c>
      <c r="N561" s="6">
        <f t="shared" si="111"/>
        <v>0</v>
      </c>
      <c r="O561" s="6">
        <f t="shared" si="112"/>
        <v>0</v>
      </c>
      <c r="P561" s="6">
        <f t="shared" si="113"/>
        <v>-80.001090000000445</v>
      </c>
      <c r="Q561" s="3">
        <v>-80.001090000000005</v>
      </c>
      <c r="R561" s="6">
        <f t="shared" si="114"/>
        <v>-4.4053649617126212E-13</v>
      </c>
      <c r="S561" s="6" t="str">
        <f t="shared" si="115"/>
        <v>OK</v>
      </c>
    </row>
    <row r="562" spans="1:19" x14ac:dyDescent="0.25">
      <c r="A562" s="3" t="str">
        <f t="shared" si="116"/>
        <v>04.07.2026</v>
      </c>
      <c r="B562" s="5">
        <v>65</v>
      </c>
      <c r="C562" s="5" t="s">
        <v>53</v>
      </c>
      <c r="D562" s="3">
        <v>22.1</v>
      </c>
      <c r="E562" s="3">
        <v>22.08277</v>
      </c>
      <c r="F562" s="6">
        <f t="shared" si="104"/>
        <v>-1.7230000000001411E-2</v>
      </c>
      <c r="G562" s="6">
        <f t="shared" si="105"/>
        <v>-7.7963800904983752E-4</v>
      </c>
      <c r="H562" s="6" t="str">
        <f t="shared" si="106"/>
        <v>🔴 Under-injection</v>
      </c>
      <c r="I562" s="6">
        <f t="shared" si="107"/>
        <v>1.7230000000001411E-2</v>
      </c>
      <c r="J562" s="3">
        <v>2.1717</v>
      </c>
      <c r="K562" s="6">
        <f t="shared" si="108"/>
        <v>3.3149999999999999</v>
      </c>
      <c r="L562" s="6">
        <f t="shared" si="109"/>
        <v>4.4200000000000008</v>
      </c>
      <c r="M562" s="6">
        <f t="shared" si="110"/>
        <v>1.7230000000001411E-2</v>
      </c>
      <c r="N562" s="6">
        <f t="shared" si="111"/>
        <v>0</v>
      </c>
      <c r="O562" s="6">
        <f t="shared" si="112"/>
        <v>0</v>
      </c>
      <c r="P562" s="6">
        <f t="shared" si="113"/>
        <v>9.8223276375008037</v>
      </c>
      <c r="Q562" s="3">
        <v>9.822327637499999</v>
      </c>
      <c r="R562" s="6">
        <f t="shared" si="114"/>
        <v>8.0468964824831346E-13</v>
      </c>
      <c r="S562" s="6" t="str">
        <f t="shared" si="115"/>
        <v>OK</v>
      </c>
    </row>
    <row r="563" spans="1:19" x14ac:dyDescent="0.25">
      <c r="A563" s="3" t="str">
        <f t="shared" si="116"/>
        <v>04.07.2026</v>
      </c>
      <c r="B563" s="5">
        <v>66</v>
      </c>
      <c r="C563" s="5" t="s">
        <v>52</v>
      </c>
      <c r="D563" s="3">
        <v>22.1</v>
      </c>
      <c r="E563" s="3">
        <v>22.23029</v>
      </c>
      <c r="F563" s="6">
        <f t="shared" si="104"/>
        <v>0.13028999999999868</v>
      </c>
      <c r="G563" s="6">
        <f t="shared" si="105"/>
        <v>5.8954751131221122E-3</v>
      </c>
      <c r="H563" s="6" t="str">
        <f t="shared" si="106"/>
        <v>🟢 Over-injection</v>
      </c>
      <c r="I563" s="6">
        <f t="shared" si="107"/>
        <v>-0.13028999999999868</v>
      </c>
      <c r="J563" s="3">
        <v>2.0994999999999999</v>
      </c>
      <c r="K563" s="6">
        <f t="shared" si="108"/>
        <v>3.3149999999999999</v>
      </c>
      <c r="L563" s="6">
        <f t="shared" si="109"/>
        <v>4.4200000000000008</v>
      </c>
      <c r="M563" s="6">
        <f t="shared" si="110"/>
        <v>0.13028999999999868</v>
      </c>
      <c r="N563" s="6">
        <f t="shared" si="111"/>
        <v>0</v>
      </c>
      <c r="O563" s="6">
        <f t="shared" si="112"/>
        <v>0</v>
      </c>
      <c r="P563" s="6">
        <f t="shared" si="113"/>
        <v>-54.708770999999452</v>
      </c>
      <c r="Q563" s="3">
        <v>-54.708770999999999</v>
      </c>
      <c r="R563" s="6">
        <f t="shared" si="114"/>
        <v>5.4711790653527714E-13</v>
      </c>
      <c r="S563" s="6" t="str">
        <f t="shared" si="115"/>
        <v>OK</v>
      </c>
    </row>
    <row r="564" spans="1:19" x14ac:dyDescent="0.25">
      <c r="A564" s="3" t="str">
        <f t="shared" si="116"/>
        <v>04.07.2026</v>
      </c>
      <c r="B564" s="5">
        <v>67</v>
      </c>
      <c r="C564" s="5" t="s">
        <v>51</v>
      </c>
      <c r="D564" s="3">
        <v>22.1</v>
      </c>
      <c r="E564" s="3">
        <v>22.24164</v>
      </c>
      <c r="F564" s="6">
        <f t="shared" si="104"/>
        <v>0.14163999999999888</v>
      </c>
      <c r="G564" s="6">
        <f t="shared" si="105"/>
        <v>6.4090497737556047E-3</v>
      </c>
      <c r="H564" s="6" t="str">
        <f t="shared" si="106"/>
        <v>🟢 Over-injection</v>
      </c>
      <c r="I564" s="6">
        <f t="shared" si="107"/>
        <v>-0.14163999999999888</v>
      </c>
      <c r="J564" s="3">
        <v>2.234</v>
      </c>
      <c r="K564" s="6">
        <f t="shared" si="108"/>
        <v>3.3149999999999999</v>
      </c>
      <c r="L564" s="6">
        <f t="shared" si="109"/>
        <v>4.4200000000000008</v>
      </c>
      <c r="M564" s="6">
        <f t="shared" si="110"/>
        <v>0.14163999999999888</v>
      </c>
      <c r="N564" s="6">
        <f t="shared" si="111"/>
        <v>0</v>
      </c>
      <c r="O564" s="6">
        <f t="shared" si="112"/>
        <v>0</v>
      </c>
      <c r="P564" s="6">
        <f t="shared" si="113"/>
        <v>-63.2847519999995</v>
      </c>
      <c r="Q564" s="3">
        <v>-63.284751999999997</v>
      </c>
      <c r="R564" s="6">
        <f t="shared" si="114"/>
        <v>4.9737991503207013E-13</v>
      </c>
      <c r="S564" s="6" t="str">
        <f t="shared" si="115"/>
        <v>OK</v>
      </c>
    </row>
    <row r="565" spans="1:19" x14ac:dyDescent="0.25">
      <c r="A565" s="3" t="str">
        <f t="shared" si="116"/>
        <v>04.07.2026</v>
      </c>
      <c r="B565" s="5">
        <v>68</v>
      </c>
      <c r="C565" s="5" t="s">
        <v>50</v>
      </c>
      <c r="D565" s="3">
        <v>22.1</v>
      </c>
      <c r="E565" s="3">
        <v>22.25299</v>
      </c>
      <c r="F565" s="6">
        <f t="shared" si="104"/>
        <v>0.15298999999999907</v>
      </c>
      <c r="G565" s="6">
        <f t="shared" si="105"/>
        <v>6.9226244343890981E-3</v>
      </c>
      <c r="H565" s="6" t="str">
        <f t="shared" si="106"/>
        <v>🟢 Over-injection</v>
      </c>
      <c r="I565" s="6">
        <f t="shared" si="107"/>
        <v>-0.15298999999999907</v>
      </c>
      <c r="J565" s="3">
        <v>2.3186</v>
      </c>
      <c r="K565" s="6">
        <f t="shared" si="108"/>
        <v>3.3149999999999999</v>
      </c>
      <c r="L565" s="6">
        <f t="shared" si="109"/>
        <v>4.4200000000000008</v>
      </c>
      <c r="M565" s="6">
        <f t="shared" si="110"/>
        <v>0.15298999999999907</v>
      </c>
      <c r="N565" s="6">
        <f t="shared" si="111"/>
        <v>0</v>
      </c>
      <c r="O565" s="6">
        <f t="shared" si="112"/>
        <v>0</v>
      </c>
      <c r="P565" s="6">
        <f t="shared" si="113"/>
        <v>-70.944522799999575</v>
      </c>
      <c r="Q565" s="3">
        <v>-70.944522799999987</v>
      </c>
      <c r="R565" s="6">
        <f t="shared" si="114"/>
        <v>4.1211478674085811E-13</v>
      </c>
      <c r="S565" s="6" t="str">
        <f t="shared" si="115"/>
        <v>OK</v>
      </c>
    </row>
    <row r="566" spans="1:19" x14ac:dyDescent="0.25">
      <c r="A566" s="3" t="str">
        <f t="shared" si="116"/>
        <v>04.07.2026</v>
      </c>
      <c r="B566" s="5">
        <v>69</v>
      </c>
      <c r="C566" s="5" t="s">
        <v>49</v>
      </c>
      <c r="D566" s="3">
        <v>22.1</v>
      </c>
      <c r="E566" s="3">
        <v>22.25299</v>
      </c>
      <c r="F566" s="6">
        <f t="shared" si="104"/>
        <v>0.15298999999999907</v>
      </c>
      <c r="G566" s="6">
        <f t="shared" si="105"/>
        <v>6.9226244343890981E-3</v>
      </c>
      <c r="H566" s="6" t="str">
        <f t="shared" si="106"/>
        <v>🟢 Over-injection</v>
      </c>
      <c r="I566" s="6">
        <f t="shared" si="107"/>
        <v>-0.15298999999999907</v>
      </c>
      <c r="J566" s="3">
        <v>2.3180000000000001</v>
      </c>
      <c r="K566" s="6">
        <f t="shared" si="108"/>
        <v>3.3149999999999999</v>
      </c>
      <c r="L566" s="6">
        <f t="shared" si="109"/>
        <v>4.4200000000000008</v>
      </c>
      <c r="M566" s="6">
        <f t="shared" si="110"/>
        <v>0.15298999999999907</v>
      </c>
      <c r="N566" s="6">
        <f t="shared" si="111"/>
        <v>0</v>
      </c>
      <c r="O566" s="6">
        <f t="shared" si="112"/>
        <v>0</v>
      </c>
      <c r="P566" s="6">
        <f t="shared" si="113"/>
        <v>-70.926163999999574</v>
      </c>
      <c r="Q566" s="3">
        <v>-70.926164</v>
      </c>
      <c r="R566" s="6">
        <f t="shared" si="114"/>
        <v>4.2632564145606011E-13</v>
      </c>
      <c r="S566" s="6" t="str">
        <f t="shared" si="115"/>
        <v>OK</v>
      </c>
    </row>
    <row r="567" spans="1:19" x14ac:dyDescent="0.25">
      <c r="A567" s="3" t="str">
        <f t="shared" si="116"/>
        <v>04.07.2026</v>
      </c>
      <c r="B567" s="5">
        <v>70</v>
      </c>
      <c r="C567" s="5" t="s">
        <v>48</v>
      </c>
      <c r="D567" s="3">
        <v>22.1</v>
      </c>
      <c r="E567" s="3">
        <v>22.264340000000001</v>
      </c>
      <c r="F567" s="6">
        <f t="shared" si="104"/>
        <v>0.16433999999999926</v>
      </c>
      <c r="G567" s="6">
        <f t="shared" si="105"/>
        <v>7.4361990950225906E-3</v>
      </c>
      <c r="H567" s="6" t="str">
        <f t="shared" si="106"/>
        <v>🟢 Over-injection</v>
      </c>
      <c r="I567" s="6">
        <f t="shared" si="107"/>
        <v>-0.16433999999999926</v>
      </c>
      <c r="J567" s="3">
        <v>2.1240000000000001</v>
      </c>
      <c r="K567" s="6">
        <f t="shared" si="108"/>
        <v>3.3149999999999999</v>
      </c>
      <c r="L567" s="6">
        <f t="shared" si="109"/>
        <v>4.4200000000000008</v>
      </c>
      <c r="M567" s="6">
        <f t="shared" si="110"/>
        <v>0.16433999999999926</v>
      </c>
      <c r="N567" s="6">
        <f t="shared" si="111"/>
        <v>0</v>
      </c>
      <c r="O567" s="6">
        <f t="shared" si="112"/>
        <v>0</v>
      </c>
      <c r="P567" s="6">
        <f t="shared" si="113"/>
        <v>-69.81163199999969</v>
      </c>
      <c r="Q567" s="3">
        <v>-69.811632000000017</v>
      </c>
      <c r="R567" s="6">
        <f t="shared" si="114"/>
        <v>3.2684965844964609E-13</v>
      </c>
      <c r="S567" s="6" t="str">
        <f t="shared" si="115"/>
        <v>OK</v>
      </c>
    </row>
    <row r="568" spans="1:19" x14ac:dyDescent="0.25">
      <c r="A568" s="3" t="str">
        <f t="shared" si="116"/>
        <v>04.07.2026</v>
      </c>
      <c r="B568" s="5">
        <v>71</v>
      </c>
      <c r="C568" s="5" t="s">
        <v>47</v>
      </c>
      <c r="D568" s="3">
        <v>22.9</v>
      </c>
      <c r="E568" s="3">
        <v>22.97925</v>
      </c>
      <c r="F568" s="6">
        <f t="shared" si="104"/>
        <v>7.9250000000001819E-2</v>
      </c>
      <c r="G568" s="6">
        <f t="shared" si="105"/>
        <v>3.4606986899564113E-3</v>
      </c>
      <c r="H568" s="6" t="str">
        <f t="shared" si="106"/>
        <v>🟢 Over-injection</v>
      </c>
      <c r="I568" s="6">
        <f t="shared" si="107"/>
        <v>-7.9250000000001819E-2</v>
      </c>
      <c r="J568" s="3">
        <v>2.2186000000000003</v>
      </c>
      <c r="K568" s="6">
        <f t="shared" si="108"/>
        <v>3.4349999999999996</v>
      </c>
      <c r="L568" s="6">
        <f t="shared" si="109"/>
        <v>4.58</v>
      </c>
      <c r="M568" s="6">
        <f t="shared" si="110"/>
        <v>7.9250000000001819E-2</v>
      </c>
      <c r="N568" s="6">
        <f t="shared" si="111"/>
        <v>0</v>
      </c>
      <c r="O568" s="6">
        <f t="shared" si="112"/>
        <v>0</v>
      </c>
      <c r="P568" s="6">
        <f t="shared" si="113"/>
        <v>-35.164810000000813</v>
      </c>
      <c r="Q568" s="3">
        <v>-35.16481000000001</v>
      </c>
      <c r="R568" s="6">
        <f t="shared" si="114"/>
        <v>-8.0291329140891321E-13</v>
      </c>
      <c r="S568" s="6" t="str">
        <f t="shared" si="115"/>
        <v>OK</v>
      </c>
    </row>
    <row r="569" spans="1:19" x14ac:dyDescent="0.25">
      <c r="A569" s="3" t="str">
        <f t="shared" si="116"/>
        <v>04.07.2026</v>
      </c>
      <c r="B569" s="5">
        <v>72</v>
      </c>
      <c r="C569" s="5" t="s">
        <v>46</v>
      </c>
      <c r="D569" s="3">
        <v>22.9</v>
      </c>
      <c r="E569" s="3">
        <v>23.09273</v>
      </c>
      <c r="F569" s="6">
        <f t="shared" si="104"/>
        <v>0.19273000000000096</v>
      </c>
      <c r="G569" s="6">
        <f t="shared" si="105"/>
        <v>8.4161572052402177E-3</v>
      </c>
      <c r="H569" s="6" t="str">
        <f t="shared" si="106"/>
        <v>🟢 Over-injection</v>
      </c>
      <c r="I569" s="6">
        <f t="shared" si="107"/>
        <v>-0.19273000000000096</v>
      </c>
      <c r="J569" s="3">
        <v>2.3468999999999998</v>
      </c>
      <c r="K569" s="6">
        <f t="shared" si="108"/>
        <v>3.4349999999999996</v>
      </c>
      <c r="L569" s="6">
        <f t="shared" si="109"/>
        <v>4.58</v>
      </c>
      <c r="M569" s="6">
        <f t="shared" si="110"/>
        <v>0.19273000000000096</v>
      </c>
      <c r="N569" s="6">
        <f t="shared" si="111"/>
        <v>0</v>
      </c>
      <c r="O569" s="6">
        <f t="shared" si="112"/>
        <v>0</v>
      </c>
      <c r="P569" s="6">
        <f t="shared" si="113"/>
        <v>-90.463607400000441</v>
      </c>
      <c r="Q569" s="3">
        <v>-90.463607399999987</v>
      </c>
      <c r="R569" s="6">
        <f t="shared" si="114"/>
        <v>-4.5474735088646412E-13</v>
      </c>
      <c r="S569" s="6" t="str">
        <f t="shared" si="115"/>
        <v>OK</v>
      </c>
    </row>
    <row r="570" spans="1:19" x14ac:dyDescent="0.25">
      <c r="A570" s="3" t="str">
        <f t="shared" si="116"/>
        <v>04.07.2026</v>
      </c>
      <c r="B570" s="5">
        <v>73</v>
      </c>
      <c r="C570" s="5" t="s">
        <v>45</v>
      </c>
      <c r="D570" s="3">
        <v>25.7</v>
      </c>
      <c r="E570" s="3">
        <v>25.248799999999999</v>
      </c>
      <c r="F570" s="6">
        <f t="shared" si="104"/>
        <v>-0.45120000000000005</v>
      </c>
      <c r="G570" s="6">
        <f t="shared" si="105"/>
        <v>-1.7556420233463037E-2</v>
      </c>
      <c r="H570" s="6" t="str">
        <f t="shared" si="106"/>
        <v>🔴 Under-injection</v>
      </c>
      <c r="I570" s="6">
        <f t="shared" si="107"/>
        <v>0.45120000000000005</v>
      </c>
      <c r="J570" s="3">
        <v>2.4598</v>
      </c>
      <c r="K570" s="6">
        <f t="shared" si="108"/>
        <v>3.8549999999999995</v>
      </c>
      <c r="L570" s="6">
        <f t="shared" si="109"/>
        <v>5.1400000000000006</v>
      </c>
      <c r="M570" s="6">
        <f t="shared" si="110"/>
        <v>0.45120000000000005</v>
      </c>
      <c r="N570" s="6">
        <f t="shared" si="111"/>
        <v>0</v>
      </c>
      <c r="O570" s="6">
        <f t="shared" si="112"/>
        <v>0</v>
      </c>
      <c r="P570" s="6">
        <f t="shared" si="113"/>
        <v>291.33871200000004</v>
      </c>
      <c r="Q570" s="3">
        <v>291.33871199999999</v>
      </c>
      <c r="R570" s="6">
        <f t="shared" si="114"/>
        <v>0</v>
      </c>
      <c r="S570" s="6" t="str">
        <f t="shared" si="115"/>
        <v>OK</v>
      </c>
    </row>
    <row r="571" spans="1:19" x14ac:dyDescent="0.25">
      <c r="A571" s="3" t="str">
        <f t="shared" si="116"/>
        <v>04.07.2026</v>
      </c>
      <c r="B571" s="5">
        <v>74</v>
      </c>
      <c r="C571" s="5" t="s">
        <v>44</v>
      </c>
      <c r="D571" s="3">
        <v>25.7</v>
      </c>
      <c r="E571" s="3">
        <v>25.73676</v>
      </c>
      <c r="F571" s="6">
        <f t="shared" si="104"/>
        <v>3.6760000000001014E-2</v>
      </c>
      <c r="G571" s="6">
        <f t="shared" si="105"/>
        <v>1.4303501945525687E-3</v>
      </c>
      <c r="H571" s="6" t="str">
        <f t="shared" si="106"/>
        <v>🟢 Over-injection</v>
      </c>
      <c r="I571" s="6">
        <f t="shared" si="107"/>
        <v>-3.6760000000001014E-2</v>
      </c>
      <c r="J571" s="3">
        <v>2.5732999999999997</v>
      </c>
      <c r="K571" s="6">
        <f t="shared" si="108"/>
        <v>3.8549999999999995</v>
      </c>
      <c r="L571" s="6">
        <f t="shared" si="109"/>
        <v>5.1400000000000006</v>
      </c>
      <c r="M571" s="6">
        <f t="shared" si="110"/>
        <v>3.6760000000001014E-2</v>
      </c>
      <c r="N571" s="6">
        <f t="shared" si="111"/>
        <v>0</v>
      </c>
      <c r="O571" s="6">
        <f t="shared" si="112"/>
        <v>0</v>
      </c>
      <c r="P571" s="6">
        <f t="shared" si="113"/>
        <v>-18.91890160000052</v>
      </c>
      <c r="Q571" s="3">
        <v>-18.918901599999998</v>
      </c>
      <c r="R571" s="6">
        <f t="shared" si="114"/>
        <v>-5.2224891078367364E-13</v>
      </c>
      <c r="S571" s="6" t="str">
        <f t="shared" si="115"/>
        <v>OK</v>
      </c>
    </row>
    <row r="572" spans="1:19" x14ac:dyDescent="0.25">
      <c r="A572" s="3" t="str">
        <f t="shared" si="116"/>
        <v>04.07.2026</v>
      </c>
      <c r="B572" s="5">
        <v>75</v>
      </c>
      <c r="C572" s="5" t="s">
        <v>43</v>
      </c>
      <c r="D572" s="3">
        <v>25.7</v>
      </c>
      <c r="E572" s="3">
        <v>25.73676</v>
      </c>
      <c r="F572" s="6">
        <f t="shared" si="104"/>
        <v>3.6760000000001014E-2</v>
      </c>
      <c r="G572" s="6">
        <f t="shared" si="105"/>
        <v>1.4303501945525687E-3</v>
      </c>
      <c r="H572" s="6" t="str">
        <f t="shared" si="106"/>
        <v>🟢 Over-injection</v>
      </c>
      <c r="I572" s="6">
        <f t="shared" si="107"/>
        <v>-3.6760000000001014E-2</v>
      </c>
      <c r="J572" s="3">
        <v>2.7807999999999997</v>
      </c>
      <c r="K572" s="6">
        <f t="shared" si="108"/>
        <v>3.8549999999999995</v>
      </c>
      <c r="L572" s="6">
        <f t="shared" si="109"/>
        <v>5.1400000000000006</v>
      </c>
      <c r="M572" s="6">
        <f t="shared" si="110"/>
        <v>3.6760000000001014E-2</v>
      </c>
      <c r="N572" s="6">
        <f t="shared" si="111"/>
        <v>0</v>
      </c>
      <c r="O572" s="6">
        <f t="shared" si="112"/>
        <v>0</v>
      </c>
      <c r="P572" s="6">
        <f t="shared" si="113"/>
        <v>-20.444441600000562</v>
      </c>
      <c r="Q572" s="3">
        <v>-20.444441600000001</v>
      </c>
      <c r="R572" s="6">
        <f t="shared" si="114"/>
        <v>-5.6132876125047915E-13</v>
      </c>
      <c r="S572" s="6" t="str">
        <f t="shared" si="115"/>
        <v>OK</v>
      </c>
    </row>
    <row r="573" spans="1:19" x14ac:dyDescent="0.25">
      <c r="A573" s="3" t="str">
        <f t="shared" si="116"/>
        <v>04.07.2026</v>
      </c>
      <c r="B573" s="5">
        <v>76</v>
      </c>
      <c r="C573" s="5" t="s">
        <v>42</v>
      </c>
      <c r="D573" s="3">
        <v>25.7</v>
      </c>
      <c r="E573" s="3">
        <v>25.72541</v>
      </c>
      <c r="F573" s="6">
        <f t="shared" si="104"/>
        <v>2.5410000000000821E-2</v>
      </c>
      <c r="G573" s="6">
        <f t="shared" si="105"/>
        <v>9.8871595330742501E-4</v>
      </c>
      <c r="H573" s="6" t="str">
        <f t="shared" si="106"/>
        <v>🟢 Over-injection</v>
      </c>
      <c r="I573" s="6">
        <f t="shared" si="107"/>
        <v>-2.5410000000000821E-2</v>
      </c>
      <c r="J573" s="3">
        <v>3.4451000000000001</v>
      </c>
      <c r="K573" s="6">
        <f t="shared" si="108"/>
        <v>3.8549999999999995</v>
      </c>
      <c r="L573" s="6">
        <f t="shared" si="109"/>
        <v>5.1400000000000006</v>
      </c>
      <c r="M573" s="6">
        <f t="shared" si="110"/>
        <v>2.5410000000000821E-2</v>
      </c>
      <c r="N573" s="6">
        <f t="shared" si="111"/>
        <v>0</v>
      </c>
      <c r="O573" s="6">
        <f t="shared" si="112"/>
        <v>0</v>
      </c>
      <c r="P573" s="6">
        <f t="shared" si="113"/>
        <v>-17.507998200000568</v>
      </c>
      <c r="Q573" s="3">
        <v>-17.507998199999999</v>
      </c>
      <c r="R573" s="6">
        <f t="shared" si="114"/>
        <v>-5.6843418860808015E-13</v>
      </c>
      <c r="S573" s="6" t="str">
        <f t="shared" si="115"/>
        <v>OK</v>
      </c>
    </row>
    <row r="574" spans="1:19" x14ac:dyDescent="0.25">
      <c r="A574" s="3" t="str">
        <f t="shared" si="116"/>
        <v>04.07.2026</v>
      </c>
      <c r="B574" s="5">
        <v>77</v>
      </c>
      <c r="C574" s="5" t="s">
        <v>41</v>
      </c>
      <c r="D574" s="3">
        <v>25.7</v>
      </c>
      <c r="E574" s="3">
        <v>25.73676</v>
      </c>
      <c r="F574" s="6">
        <f t="shared" si="104"/>
        <v>3.6760000000001014E-2</v>
      </c>
      <c r="G574" s="6">
        <f t="shared" si="105"/>
        <v>1.4303501945525687E-3</v>
      </c>
      <c r="H574" s="6" t="str">
        <f t="shared" si="106"/>
        <v>🟢 Over-injection</v>
      </c>
      <c r="I574" s="6">
        <f t="shared" si="107"/>
        <v>-3.6760000000001014E-2</v>
      </c>
      <c r="J574" s="3">
        <v>4.0663</v>
      </c>
      <c r="K574" s="6">
        <f t="shared" si="108"/>
        <v>3.8549999999999995</v>
      </c>
      <c r="L574" s="6">
        <f t="shared" si="109"/>
        <v>5.1400000000000006</v>
      </c>
      <c r="M574" s="6">
        <f t="shared" si="110"/>
        <v>3.6760000000001014E-2</v>
      </c>
      <c r="N574" s="6">
        <f t="shared" si="111"/>
        <v>0</v>
      </c>
      <c r="O574" s="6">
        <f t="shared" si="112"/>
        <v>0</v>
      </c>
      <c r="P574" s="6">
        <f t="shared" si="113"/>
        <v>-29.895437600000829</v>
      </c>
      <c r="Q574" s="3">
        <v>-29.895437600000005</v>
      </c>
      <c r="R574" s="6">
        <f t="shared" si="114"/>
        <v>-8.2422957348171622E-13</v>
      </c>
      <c r="S574" s="6" t="str">
        <f t="shared" si="115"/>
        <v>OK</v>
      </c>
    </row>
    <row r="575" spans="1:19" x14ac:dyDescent="0.25">
      <c r="A575" s="3" t="str">
        <f t="shared" si="116"/>
        <v>04.07.2026</v>
      </c>
      <c r="B575" s="5">
        <v>78</v>
      </c>
      <c r="C575" s="5" t="s">
        <v>40</v>
      </c>
      <c r="D575" s="3">
        <v>25.7</v>
      </c>
      <c r="E575" s="3">
        <v>25.73676</v>
      </c>
      <c r="F575" s="6">
        <f t="shared" si="104"/>
        <v>3.6760000000001014E-2</v>
      </c>
      <c r="G575" s="6">
        <f t="shared" si="105"/>
        <v>1.4303501945525687E-3</v>
      </c>
      <c r="H575" s="6" t="str">
        <f t="shared" si="106"/>
        <v>🟢 Over-injection</v>
      </c>
      <c r="I575" s="6">
        <f t="shared" si="107"/>
        <v>-3.6760000000001014E-2</v>
      </c>
      <c r="J575" s="3">
        <v>4.37</v>
      </c>
      <c r="K575" s="6">
        <f t="shared" si="108"/>
        <v>3.8549999999999995</v>
      </c>
      <c r="L575" s="6">
        <f t="shared" si="109"/>
        <v>5.1400000000000006</v>
      </c>
      <c r="M575" s="6">
        <f t="shared" si="110"/>
        <v>3.6760000000001014E-2</v>
      </c>
      <c r="N575" s="6">
        <f t="shared" si="111"/>
        <v>0</v>
      </c>
      <c r="O575" s="6">
        <f t="shared" si="112"/>
        <v>0</v>
      </c>
      <c r="P575" s="6">
        <f t="shared" si="113"/>
        <v>-32.128240000000893</v>
      </c>
      <c r="Q575" s="3">
        <v>-32.128240000000005</v>
      </c>
      <c r="R575" s="6">
        <f t="shared" si="114"/>
        <v>-8.8817841970012523E-13</v>
      </c>
      <c r="S575" s="6" t="str">
        <f t="shared" si="115"/>
        <v>OK</v>
      </c>
    </row>
    <row r="576" spans="1:19" x14ac:dyDescent="0.25">
      <c r="A576" s="3" t="str">
        <f t="shared" si="116"/>
        <v>04.07.2026</v>
      </c>
      <c r="B576" s="5">
        <v>79</v>
      </c>
      <c r="C576" s="5" t="s">
        <v>39</v>
      </c>
      <c r="D576" s="3">
        <v>25.7</v>
      </c>
      <c r="E576" s="3">
        <v>25.72541</v>
      </c>
      <c r="F576" s="6">
        <f t="shared" si="104"/>
        <v>2.5410000000000821E-2</v>
      </c>
      <c r="G576" s="6">
        <f t="shared" si="105"/>
        <v>9.8871595330742501E-4</v>
      </c>
      <c r="H576" s="6" t="str">
        <f t="shared" si="106"/>
        <v>🟢 Over-injection</v>
      </c>
      <c r="I576" s="6">
        <f t="shared" si="107"/>
        <v>-2.5410000000000821E-2</v>
      </c>
      <c r="J576" s="3">
        <v>4.4572000000000003</v>
      </c>
      <c r="K576" s="6">
        <f t="shared" si="108"/>
        <v>3.8549999999999995</v>
      </c>
      <c r="L576" s="6">
        <f t="shared" si="109"/>
        <v>5.1400000000000006</v>
      </c>
      <c r="M576" s="6">
        <f t="shared" si="110"/>
        <v>2.5410000000000821E-2</v>
      </c>
      <c r="N576" s="6">
        <f t="shared" si="111"/>
        <v>0</v>
      </c>
      <c r="O576" s="6">
        <f t="shared" si="112"/>
        <v>0</v>
      </c>
      <c r="P576" s="6">
        <f t="shared" si="113"/>
        <v>-22.651490400000732</v>
      </c>
      <c r="Q576" s="3">
        <v>-22.6514904</v>
      </c>
      <c r="R576" s="6">
        <f t="shared" si="114"/>
        <v>-7.3185901783290319E-13</v>
      </c>
      <c r="S576" s="6" t="str">
        <f t="shared" si="115"/>
        <v>OK</v>
      </c>
    </row>
    <row r="577" spans="1:19" x14ac:dyDescent="0.25">
      <c r="A577" s="3" t="str">
        <f t="shared" si="116"/>
        <v>04.07.2026</v>
      </c>
      <c r="B577" s="5">
        <v>80</v>
      </c>
      <c r="C577" s="5" t="s">
        <v>38</v>
      </c>
      <c r="D577" s="3">
        <v>25.7</v>
      </c>
      <c r="E577" s="3">
        <v>25.72541</v>
      </c>
      <c r="F577" s="6">
        <f t="shared" si="104"/>
        <v>2.5410000000000821E-2</v>
      </c>
      <c r="G577" s="6">
        <f t="shared" si="105"/>
        <v>9.8871595330742501E-4</v>
      </c>
      <c r="H577" s="6" t="str">
        <f t="shared" si="106"/>
        <v>🟢 Over-injection</v>
      </c>
      <c r="I577" s="6">
        <f t="shared" si="107"/>
        <v>-2.5410000000000821E-2</v>
      </c>
      <c r="J577" s="3">
        <v>4.7983000000000002</v>
      </c>
      <c r="K577" s="6">
        <f t="shared" si="108"/>
        <v>3.8549999999999995</v>
      </c>
      <c r="L577" s="6">
        <f t="shared" si="109"/>
        <v>5.1400000000000006</v>
      </c>
      <c r="M577" s="6">
        <f t="shared" si="110"/>
        <v>2.5410000000000821E-2</v>
      </c>
      <c r="N577" s="6">
        <f t="shared" si="111"/>
        <v>0</v>
      </c>
      <c r="O577" s="6">
        <f t="shared" si="112"/>
        <v>0</v>
      </c>
      <c r="P577" s="6">
        <f t="shared" si="113"/>
        <v>-24.384960600000788</v>
      </c>
      <c r="Q577" s="3">
        <v>-24.384960600000003</v>
      </c>
      <c r="R577" s="6">
        <f t="shared" si="114"/>
        <v>-7.8514972301491071E-13</v>
      </c>
      <c r="S577" s="6" t="str">
        <f t="shared" si="115"/>
        <v>OK</v>
      </c>
    </row>
    <row r="578" spans="1:19" x14ac:dyDescent="0.25">
      <c r="A578" s="3" t="str">
        <f t="shared" si="116"/>
        <v>04.07.2026</v>
      </c>
      <c r="B578" s="5">
        <v>81</v>
      </c>
      <c r="C578" s="5" t="s">
        <v>37</v>
      </c>
      <c r="D578" s="3">
        <v>25.7</v>
      </c>
      <c r="E578" s="3">
        <v>25.748100000000001</v>
      </c>
      <c r="F578" s="6">
        <f t="shared" si="104"/>
        <v>4.8100000000001586E-2</v>
      </c>
      <c r="G578" s="6">
        <f t="shared" si="105"/>
        <v>1.8715953307393614E-3</v>
      </c>
      <c r="H578" s="6" t="str">
        <f t="shared" si="106"/>
        <v>🟢 Over-injection</v>
      </c>
      <c r="I578" s="6">
        <f t="shared" si="107"/>
        <v>-4.8100000000001586E-2</v>
      </c>
      <c r="J578" s="3">
        <v>5.6102999999999996</v>
      </c>
      <c r="K578" s="6">
        <f t="shared" si="108"/>
        <v>3.8549999999999995</v>
      </c>
      <c r="L578" s="6">
        <f t="shared" si="109"/>
        <v>5.1400000000000006</v>
      </c>
      <c r="M578" s="6">
        <f t="shared" si="110"/>
        <v>4.8100000000001586E-2</v>
      </c>
      <c r="N578" s="6">
        <f t="shared" si="111"/>
        <v>0</v>
      </c>
      <c r="O578" s="6">
        <f t="shared" si="112"/>
        <v>0</v>
      </c>
      <c r="P578" s="6">
        <f t="shared" si="113"/>
        <v>-53.971086000001776</v>
      </c>
      <c r="Q578" s="3">
        <v>-53.971086</v>
      </c>
      <c r="R578" s="6">
        <f t="shared" si="114"/>
        <v>-1.7763568394002505E-12</v>
      </c>
      <c r="S578" s="6" t="str">
        <f t="shared" si="115"/>
        <v>OK</v>
      </c>
    </row>
    <row r="579" spans="1:19" x14ac:dyDescent="0.25">
      <c r="A579" s="3" t="str">
        <f t="shared" si="116"/>
        <v>04.07.2026</v>
      </c>
      <c r="B579" s="5">
        <v>82</v>
      </c>
      <c r="C579" s="5" t="s">
        <v>36</v>
      </c>
      <c r="D579" s="3">
        <v>25.7</v>
      </c>
      <c r="E579" s="3">
        <v>25.782150000000001</v>
      </c>
      <c r="F579" s="6">
        <f t="shared" si="104"/>
        <v>8.2150000000002166E-2</v>
      </c>
      <c r="G579" s="6">
        <f t="shared" si="105"/>
        <v>3.1964980544747926E-3</v>
      </c>
      <c r="H579" s="6" t="str">
        <f t="shared" si="106"/>
        <v>🟢 Over-injection</v>
      </c>
      <c r="I579" s="6">
        <f t="shared" si="107"/>
        <v>-8.2150000000002166E-2</v>
      </c>
      <c r="J579" s="3">
        <v>5.859</v>
      </c>
      <c r="K579" s="6">
        <f t="shared" si="108"/>
        <v>3.8549999999999995</v>
      </c>
      <c r="L579" s="6">
        <f t="shared" si="109"/>
        <v>5.1400000000000006</v>
      </c>
      <c r="M579" s="6">
        <f t="shared" si="110"/>
        <v>8.2150000000002166E-2</v>
      </c>
      <c r="N579" s="6">
        <f t="shared" si="111"/>
        <v>0</v>
      </c>
      <c r="O579" s="6">
        <f t="shared" si="112"/>
        <v>0</v>
      </c>
      <c r="P579" s="6">
        <f t="shared" si="113"/>
        <v>-96.263370000002539</v>
      </c>
      <c r="Q579" s="3">
        <v>-96.263369999999995</v>
      </c>
      <c r="R579" s="6">
        <f t="shared" si="114"/>
        <v>-2.5437429940211587E-12</v>
      </c>
      <c r="S579" s="6" t="str">
        <f t="shared" si="115"/>
        <v>OK</v>
      </c>
    </row>
    <row r="580" spans="1:19" x14ac:dyDescent="0.25">
      <c r="A580" s="3" t="str">
        <f t="shared" si="116"/>
        <v>04.07.2026</v>
      </c>
      <c r="B580" s="5">
        <v>83</v>
      </c>
      <c r="C580" s="5" t="s">
        <v>35</v>
      </c>
      <c r="D580" s="3">
        <v>25.7</v>
      </c>
      <c r="E580" s="3">
        <v>25.748100000000001</v>
      </c>
      <c r="F580" s="6">
        <f t="shared" si="104"/>
        <v>4.8100000000001586E-2</v>
      </c>
      <c r="G580" s="6">
        <f t="shared" si="105"/>
        <v>1.8715953307393614E-3</v>
      </c>
      <c r="H580" s="6" t="str">
        <f t="shared" si="106"/>
        <v>🟢 Over-injection</v>
      </c>
      <c r="I580" s="6">
        <f t="shared" si="107"/>
        <v>-4.8100000000001586E-2</v>
      </c>
      <c r="J580" s="3">
        <v>6.2448000000000006</v>
      </c>
      <c r="K580" s="6">
        <f t="shared" si="108"/>
        <v>3.8549999999999995</v>
      </c>
      <c r="L580" s="6">
        <f t="shared" si="109"/>
        <v>5.1400000000000006</v>
      </c>
      <c r="M580" s="6">
        <f t="shared" si="110"/>
        <v>4.8100000000001586E-2</v>
      </c>
      <c r="N580" s="6">
        <f t="shared" si="111"/>
        <v>0</v>
      </c>
      <c r="O580" s="6">
        <f t="shared" si="112"/>
        <v>0</v>
      </c>
      <c r="P580" s="6">
        <f t="shared" si="113"/>
        <v>-60.074976000001989</v>
      </c>
      <c r="Q580" s="3">
        <v>-60.074976000000007</v>
      </c>
      <c r="R580" s="6">
        <f t="shared" si="114"/>
        <v>-1.9824142327706795E-12</v>
      </c>
      <c r="S580" s="6" t="str">
        <f t="shared" si="115"/>
        <v>OK</v>
      </c>
    </row>
    <row r="581" spans="1:19" x14ac:dyDescent="0.25">
      <c r="A581" s="3" t="str">
        <f t="shared" si="116"/>
        <v>04.07.2026</v>
      </c>
      <c r="B581" s="5">
        <v>84</v>
      </c>
      <c r="C581" s="5" t="s">
        <v>34</v>
      </c>
      <c r="D581" s="3">
        <v>25.7</v>
      </c>
      <c r="E581" s="3">
        <v>23.512599999999999</v>
      </c>
      <c r="F581" s="6">
        <f t="shared" si="104"/>
        <v>-2.1874000000000002</v>
      </c>
      <c r="G581" s="6">
        <f t="shared" si="105"/>
        <v>-8.5112840466926076E-2</v>
      </c>
      <c r="H581" s="6" t="str">
        <f t="shared" si="106"/>
        <v>🔴 Under-injection</v>
      </c>
      <c r="I581" s="6">
        <f t="shared" si="107"/>
        <v>2.1874000000000002</v>
      </c>
      <c r="J581" s="3">
        <v>6.4630999999999998</v>
      </c>
      <c r="K581" s="6">
        <f t="shared" si="108"/>
        <v>3.8549999999999995</v>
      </c>
      <c r="L581" s="6">
        <f t="shared" si="109"/>
        <v>5.1400000000000006</v>
      </c>
      <c r="M581" s="6">
        <f t="shared" si="110"/>
        <v>2.1874000000000002</v>
      </c>
      <c r="N581" s="6">
        <f t="shared" si="111"/>
        <v>0</v>
      </c>
      <c r="O581" s="6">
        <f t="shared" si="112"/>
        <v>0</v>
      </c>
      <c r="P581" s="6">
        <f t="shared" si="113"/>
        <v>3711.0635467500006</v>
      </c>
      <c r="Q581" s="3">
        <v>3711.0635467499992</v>
      </c>
      <c r="R581" s="6">
        <f t="shared" si="114"/>
        <v>0</v>
      </c>
      <c r="S581" s="6" t="str">
        <f t="shared" si="115"/>
        <v>OK</v>
      </c>
    </row>
    <row r="582" spans="1:19" x14ac:dyDescent="0.25">
      <c r="A582" s="3" t="str">
        <f t="shared" si="116"/>
        <v>04.07.2026</v>
      </c>
      <c r="B582" s="5">
        <v>85</v>
      </c>
      <c r="C582" s="5" t="s">
        <v>33</v>
      </c>
      <c r="D582" s="3">
        <v>25.7</v>
      </c>
      <c r="E582" s="3">
        <v>25.41902</v>
      </c>
      <c r="F582" s="6">
        <f t="shared" si="104"/>
        <v>-0.28097999999999956</v>
      </c>
      <c r="G582" s="6">
        <f t="shared" si="105"/>
        <v>-1.0933073929961073E-2</v>
      </c>
      <c r="H582" s="6" t="str">
        <f t="shared" si="106"/>
        <v>🔴 Under-injection</v>
      </c>
      <c r="I582" s="6">
        <f t="shared" si="107"/>
        <v>0.28097999999999956</v>
      </c>
      <c r="J582" s="3">
        <v>6.3875999999999999</v>
      </c>
      <c r="K582" s="6">
        <f t="shared" si="108"/>
        <v>3.8549999999999995</v>
      </c>
      <c r="L582" s="6">
        <f t="shared" si="109"/>
        <v>5.1400000000000006</v>
      </c>
      <c r="M582" s="6">
        <f t="shared" si="110"/>
        <v>0.28097999999999956</v>
      </c>
      <c r="N582" s="6">
        <f t="shared" si="111"/>
        <v>0</v>
      </c>
      <c r="O582" s="6">
        <f t="shared" si="112"/>
        <v>0</v>
      </c>
      <c r="P582" s="6">
        <f t="shared" si="113"/>
        <v>471.13181009999926</v>
      </c>
      <c r="Q582" s="3">
        <v>471.13181010000005</v>
      </c>
      <c r="R582" s="6">
        <f t="shared" si="114"/>
        <v>-7.9580786405131221E-13</v>
      </c>
      <c r="S582" s="6" t="str">
        <f t="shared" si="115"/>
        <v>OK</v>
      </c>
    </row>
    <row r="583" spans="1:19" x14ac:dyDescent="0.25">
      <c r="A583" s="3" t="str">
        <f t="shared" si="116"/>
        <v>04.07.2026</v>
      </c>
      <c r="B583" s="5">
        <v>86</v>
      </c>
      <c r="C583" s="5" t="s">
        <v>32</v>
      </c>
      <c r="D583" s="3">
        <v>25.7</v>
      </c>
      <c r="E583" s="3">
        <v>25.521149999999999</v>
      </c>
      <c r="F583" s="6">
        <f t="shared" si="104"/>
        <v>-0.17885000000000062</v>
      </c>
      <c r="G583" s="6">
        <f t="shared" si="105"/>
        <v>-6.9591439688716193E-3</v>
      </c>
      <c r="H583" s="6" t="str">
        <f t="shared" si="106"/>
        <v>🔴 Under-injection</v>
      </c>
      <c r="I583" s="6">
        <f t="shared" si="107"/>
        <v>0.17885000000000062</v>
      </c>
      <c r="J583" s="3">
        <v>7.3011999999999997</v>
      </c>
      <c r="K583" s="6">
        <f t="shared" si="108"/>
        <v>3.8549999999999995</v>
      </c>
      <c r="L583" s="6">
        <f t="shared" si="109"/>
        <v>5.1400000000000006</v>
      </c>
      <c r="M583" s="6">
        <f t="shared" si="110"/>
        <v>0.17885000000000062</v>
      </c>
      <c r="N583" s="6">
        <f t="shared" si="111"/>
        <v>0</v>
      </c>
      <c r="O583" s="6">
        <f t="shared" si="112"/>
        <v>0</v>
      </c>
      <c r="P583" s="6">
        <f t="shared" si="113"/>
        <v>342.77765025000116</v>
      </c>
      <c r="Q583" s="3">
        <v>342.77765025000002</v>
      </c>
      <c r="R583" s="6">
        <f t="shared" si="114"/>
        <v>1.1368683772161603E-12</v>
      </c>
      <c r="S583" s="6" t="str">
        <f t="shared" si="115"/>
        <v>OK</v>
      </c>
    </row>
    <row r="584" spans="1:19" x14ac:dyDescent="0.25">
      <c r="A584" s="3" t="str">
        <f t="shared" si="116"/>
        <v>04.07.2026</v>
      </c>
      <c r="B584" s="5">
        <v>87</v>
      </c>
      <c r="C584" s="5" t="s">
        <v>31</v>
      </c>
      <c r="D584" s="3">
        <v>25.7</v>
      </c>
      <c r="E584" s="3">
        <v>25.589230000000001</v>
      </c>
      <c r="F584" s="6">
        <f t="shared" si="104"/>
        <v>-0.1107699999999987</v>
      </c>
      <c r="G584" s="6">
        <f t="shared" si="105"/>
        <v>-4.3101167315174596E-3</v>
      </c>
      <c r="H584" s="6" t="str">
        <f t="shared" si="106"/>
        <v>🔴 Under-injection</v>
      </c>
      <c r="I584" s="6">
        <f t="shared" si="107"/>
        <v>0.1107699999999987</v>
      </c>
      <c r="J584" s="3">
        <v>9.5740999999999996</v>
      </c>
      <c r="K584" s="6">
        <f t="shared" si="108"/>
        <v>3.8549999999999995</v>
      </c>
      <c r="L584" s="6">
        <f t="shared" si="109"/>
        <v>5.1400000000000006</v>
      </c>
      <c r="M584" s="6">
        <f t="shared" si="110"/>
        <v>0.1107699999999987</v>
      </c>
      <c r="N584" s="6">
        <f t="shared" si="111"/>
        <v>0</v>
      </c>
      <c r="O584" s="6">
        <f t="shared" si="112"/>
        <v>0</v>
      </c>
      <c r="P584" s="6">
        <f t="shared" si="113"/>
        <v>278.38730246249679</v>
      </c>
      <c r="Q584" s="3">
        <v>278.38730246249997</v>
      </c>
      <c r="R584" s="6">
        <f t="shared" si="114"/>
        <v>-3.1832314562052488E-12</v>
      </c>
      <c r="S584" s="6" t="str">
        <f t="shared" si="115"/>
        <v>OK</v>
      </c>
    </row>
    <row r="585" spans="1:19" x14ac:dyDescent="0.25">
      <c r="A585" s="3" t="str">
        <f t="shared" si="116"/>
        <v>04.07.2026</v>
      </c>
      <c r="B585" s="5">
        <v>88</v>
      </c>
      <c r="C585" s="5" t="s">
        <v>30</v>
      </c>
      <c r="D585" s="3">
        <v>25.7</v>
      </c>
      <c r="E585" s="3">
        <v>25.600580000000001</v>
      </c>
      <c r="F585" s="6">
        <f t="shared" si="104"/>
        <v>-9.941999999999851E-2</v>
      </c>
      <c r="G585" s="6">
        <f t="shared" si="105"/>
        <v>-3.8684824902723157E-3</v>
      </c>
      <c r="H585" s="6" t="str">
        <f t="shared" si="106"/>
        <v>🔴 Under-injection</v>
      </c>
      <c r="I585" s="6">
        <f t="shared" si="107"/>
        <v>9.941999999999851E-2</v>
      </c>
      <c r="J585" s="3">
        <v>9.6111000000000004</v>
      </c>
      <c r="K585" s="6">
        <f t="shared" si="108"/>
        <v>3.8549999999999995</v>
      </c>
      <c r="L585" s="6">
        <f t="shared" si="109"/>
        <v>5.1400000000000006</v>
      </c>
      <c r="M585" s="6">
        <f t="shared" si="110"/>
        <v>9.941999999999851E-2</v>
      </c>
      <c r="N585" s="6">
        <f t="shared" si="111"/>
        <v>0</v>
      </c>
      <c r="O585" s="6">
        <f t="shared" si="112"/>
        <v>0</v>
      </c>
      <c r="P585" s="6">
        <f t="shared" si="113"/>
        <v>250.82808502499626</v>
      </c>
      <c r="Q585" s="3">
        <v>250.82808502500004</v>
      </c>
      <c r="R585" s="6">
        <f t="shared" si="114"/>
        <v>-3.780087354243733E-12</v>
      </c>
      <c r="S585" s="6" t="str">
        <f t="shared" si="115"/>
        <v>OK</v>
      </c>
    </row>
    <row r="586" spans="1:19" x14ac:dyDescent="0.25">
      <c r="A586" s="3" t="str">
        <f t="shared" si="116"/>
        <v>04.07.2026</v>
      </c>
      <c r="B586" s="5">
        <v>89</v>
      </c>
      <c r="C586" s="5" t="s">
        <v>29</v>
      </c>
      <c r="D586" s="3">
        <v>25.7</v>
      </c>
      <c r="E586" s="3">
        <v>25.611930000000001</v>
      </c>
      <c r="F586" s="6">
        <f t="shared" si="104"/>
        <v>-8.8069999999998316E-2</v>
      </c>
      <c r="G586" s="6">
        <f t="shared" si="105"/>
        <v>-3.4268482490271718E-3</v>
      </c>
      <c r="H586" s="6" t="str">
        <f t="shared" si="106"/>
        <v>🔴 Under-injection</v>
      </c>
      <c r="I586" s="6">
        <f t="shared" si="107"/>
        <v>8.8069999999998316E-2</v>
      </c>
      <c r="J586" s="3">
        <v>9.6088000000000005</v>
      </c>
      <c r="K586" s="6">
        <f t="shared" si="108"/>
        <v>3.8549999999999995</v>
      </c>
      <c r="L586" s="6">
        <f t="shared" si="109"/>
        <v>5.1400000000000006</v>
      </c>
      <c r="M586" s="6">
        <f t="shared" si="110"/>
        <v>8.8069999999998316E-2</v>
      </c>
      <c r="N586" s="6">
        <f t="shared" si="111"/>
        <v>0</v>
      </c>
      <c r="O586" s="6">
        <f t="shared" si="112"/>
        <v>0</v>
      </c>
      <c r="P586" s="6">
        <f t="shared" si="113"/>
        <v>222.1398416999958</v>
      </c>
      <c r="Q586" s="3">
        <v>222.13984170000001</v>
      </c>
      <c r="R586" s="6">
        <f t="shared" si="114"/>
        <v>-4.2064129956997931E-12</v>
      </c>
      <c r="S586" s="6" t="str">
        <f t="shared" si="115"/>
        <v>OK</v>
      </c>
    </row>
    <row r="587" spans="1:19" x14ac:dyDescent="0.25">
      <c r="A587" s="3" t="str">
        <f t="shared" si="116"/>
        <v>04.07.2026</v>
      </c>
      <c r="B587" s="5">
        <v>90</v>
      </c>
      <c r="C587" s="5" t="s">
        <v>28</v>
      </c>
      <c r="D587" s="3">
        <v>25.7</v>
      </c>
      <c r="E587" s="3">
        <v>25.611930000000001</v>
      </c>
      <c r="F587" s="6">
        <f t="shared" si="104"/>
        <v>-8.8069999999998316E-2</v>
      </c>
      <c r="G587" s="6">
        <f t="shared" si="105"/>
        <v>-3.4268482490271718E-3</v>
      </c>
      <c r="H587" s="6" t="str">
        <f t="shared" si="106"/>
        <v>🔴 Under-injection</v>
      </c>
      <c r="I587" s="6">
        <f t="shared" si="107"/>
        <v>8.8069999999998316E-2</v>
      </c>
      <c r="J587" s="3">
        <v>9.5995000000000008</v>
      </c>
      <c r="K587" s="6">
        <f t="shared" si="108"/>
        <v>3.8549999999999995</v>
      </c>
      <c r="L587" s="6">
        <f t="shared" si="109"/>
        <v>5.1400000000000006</v>
      </c>
      <c r="M587" s="6">
        <f t="shared" si="110"/>
        <v>8.8069999999998316E-2</v>
      </c>
      <c r="N587" s="6">
        <f t="shared" si="111"/>
        <v>0</v>
      </c>
      <c r="O587" s="6">
        <f t="shared" si="112"/>
        <v>0</v>
      </c>
      <c r="P587" s="6">
        <f t="shared" si="113"/>
        <v>221.92484081249577</v>
      </c>
      <c r="Q587" s="3">
        <v>221.92484081250001</v>
      </c>
      <c r="R587" s="6">
        <f t="shared" si="114"/>
        <v>-4.2348347051301971E-12</v>
      </c>
      <c r="S587" s="6" t="str">
        <f t="shared" si="115"/>
        <v>OK</v>
      </c>
    </row>
    <row r="588" spans="1:19" x14ac:dyDescent="0.25">
      <c r="A588" s="3" t="str">
        <f t="shared" si="116"/>
        <v>04.07.2026</v>
      </c>
      <c r="B588" s="5">
        <v>91</v>
      </c>
      <c r="C588" s="5" t="s">
        <v>27</v>
      </c>
      <c r="D588" s="3">
        <v>25.7</v>
      </c>
      <c r="E588" s="3">
        <v>25.611930000000001</v>
      </c>
      <c r="F588" s="6">
        <f t="shared" si="104"/>
        <v>-8.8069999999998316E-2</v>
      </c>
      <c r="G588" s="6">
        <f t="shared" si="105"/>
        <v>-3.4268482490271718E-3</v>
      </c>
      <c r="H588" s="6" t="str">
        <f t="shared" si="106"/>
        <v>🔴 Under-injection</v>
      </c>
      <c r="I588" s="6">
        <f t="shared" si="107"/>
        <v>8.8069999999998316E-2</v>
      </c>
      <c r="J588" s="3">
        <v>9.5864999999999991</v>
      </c>
      <c r="K588" s="6">
        <f t="shared" si="108"/>
        <v>3.8549999999999995</v>
      </c>
      <c r="L588" s="6">
        <f t="shared" si="109"/>
        <v>5.1400000000000006</v>
      </c>
      <c r="M588" s="6">
        <f t="shared" si="110"/>
        <v>8.8069999999998316E-2</v>
      </c>
      <c r="N588" s="6">
        <f t="shared" si="111"/>
        <v>0</v>
      </c>
      <c r="O588" s="6">
        <f t="shared" si="112"/>
        <v>0</v>
      </c>
      <c r="P588" s="6">
        <f t="shared" si="113"/>
        <v>221.62430193749574</v>
      </c>
      <c r="Q588" s="3">
        <v>221.62430193749998</v>
      </c>
      <c r="R588" s="6">
        <f t="shared" si="114"/>
        <v>-4.2348347051301971E-12</v>
      </c>
      <c r="S588" s="6" t="str">
        <f t="shared" si="115"/>
        <v>OK</v>
      </c>
    </row>
    <row r="589" spans="1:19" x14ac:dyDescent="0.25">
      <c r="A589" s="3" t="str">
        <f t="shared" si="116"/>
        <v>04.07.2026</v>
      </c>
      <c r="B589" s="5">
        <v>92</v>
      </c>
      <c r="C589" s="5" t="s">
        <v>26</v>
      </c>
      <c r="D589" s="3">
        <v>25.7</v>
      </c>
      <c r="E589" s="3">
        <v>25.611930000000001</v>
      </c>
      <c r="F589" s="6">
        <f t="shared" si="104"/>
        <v>-8.8069999999998316E-2</v>
      </c>
      <c r="G589" s="6">
        <f t="shared" si="105"/>
        <v>-3.4268482490271718E-3</v>
      </c>
      <c r="H589" s="6" t="str">
        <f t="shared" si="106"/>
        <v>🔴 Under-injection</v>
      </c>
      <c r="I589" s="6">
        <f t="shared" si="107"/>
        <v>8.8069999999998316E-2</v>
      </c>
      <c r="J589" s="3">
        <v>9.9997000000000007</v>
      </c>
      <c r="K589" s="6">
        <f t="shared" si="108"/>
        <v>3.8549999999999995</v>
      </c>
      <c r="L589" s="6">
        <f t="shared" si="109"/>
        <v>5.1400000000000006</v>
      </c>
      <c r="M589" s="6">
        <f t="shared" si="110"/>
        <v>8.8069999999998316E-2</v>
      </c>
      <c r="N589" s="6">
        <f t="shared" si="111"/>
        <v>0</v>
      </c>
      <c r="O589" s="6">
        <f t="shared" si="112"/>
        <v>0</v>
      </c>
      <c r="P589" s="6">
        <f t="shared" si="113"/>
        <v>231.17681448749562</v>
      </c>
      <c r="Q589" s="3">
        <v>231.17681448750002</v>
      </c>
      <c r="R589" s="6">
        <f t="shared" si="114"/>
        <v>-4.4053649617126212E-12</v>
      </c>
      <c r="S589" s="6" t="str">
        <f t="shared" si="115"/>
        <v>OK</v>
      </c>
    </row>
    <row r="590" spans="1:19" x14ac:dyDescent="0.25">
      <c r="A590" s="3" t="str">
        <f t="shared" si="116"/>
        <v>04.07.2026</v>
      </c>
      <c r="B590" s="5">
        <v>93</v>
      </c>
      <c r="C590" s="5" t="s">
        <v>25</v>
      </c>
      <c r="D590" s="3">
        <v>25.7</v>
      </c>
      <c r="E590" s="3">
        <v>25.611930000000001</v>
      </c>
      <c r="F590" s="6">
        <f t="shared" si="104"/>
        <v>-8.8069999999998316E-2</v>
      </c>
      <c r="G590" s="6">
        <f t="shared" si="105"/>
        <v>-3.4268482490271718E-3</v>
      </c>
      <c r="H590" s="6" t="str">
        <f t="shared" si="106"/>
        <v>🔴 Under-injection</v>
      </c>
      <c r="I590" s="6">
        <f t="shared" si="107"/>
        <v>8.8069999999998316E-2</v>
      </c>
      <c r="J590" s="3">
        <v>10</v>
      </c>
      <c r="K590" s="6">
        <f t="shared" si="108"/>
        <v>3.8549999999999995</v>
      </c>
      <c r="L590" s="6">
        <f t="shared" si="109"/>
        <v>5.1400000000000006</v>
      </c>
      <c r="M590" s="6">
        <f t="shared" si="110"/>
        <v>8.8069999999998316E-2</v>
      </c>
      <c r="N590" s="6">
        <f t="shared" si="111"/>
        <v>0</v>
      </c>
      <c r="O590" s="6">
        <f t="shared" si="112"/>
        <v>0</v>
      </c>
      <c r="P590" s="6">
        <f t="shared" si="113"/>
        <v>231.18374999999557</v>
      </c>
      <c r="Q590" s="3">
        <v>231.18375</v>
      </c>
      <c r="R590" s="6">
        <f t="shared" si="114"/>
        <v>-4.4337866711430252E-12</v>
      </c>
      <c r="S590" s="6" t="str">
        <f t="shared" si="115"/>
        <v>OK</v>
      </c>
    </row>
    <row r="591" spans="1:19" x14ac:dyDescent="0.25">
      <c r="A591" s="3" t="str">
        <f t="shared" si="116"/>
        <v>04.07.2026</v>
      </c>
      <c r="B591" s="5">
        <v>94</v>
      </c>
      <c r="C591" s="5" t="s">
        <v>24</v>
      </c>
      <c r="D591" s="3">
        <v>25.7</v>
      </c>
      <c r="E591" s="3">
        <v>25.623280000000001</v>
      </c>
      <c r="F591" s="6">
        <f t="shared" si="104"/>
        <v>-7.6719999999998123E-2</v>
      </c>
      <c r="G591" s="6">
        <f t="shared" si="105"/>
        <v>-2.9852140077820284E-3</v>
      </c>
      <c r="H591" s="6" t="str">
        <f t="shared" si="106"/>
        <v>🔴 Under-injection</v>
      </c>
      <c r="I591" s="6">
        <f t="shared" si="107"/>
        <v>7.6719999999998123E-2</v>
      </c>
      <c r="J591" s="3">
        <v>10</v>
      </c>
      <c r="K591" s="6">
        <f t="shared" si="108"/>
        <v>3.8549999999999995</v>
      </c>
      <c r="L591" s="6">
        <f t="shared" si="109"/>
        <v>5.1400000000000006</v>
      </c>
      <c r="M591" s="6">
        <f t="shared" si="110"/>
        <v>7.6719999999998123E-2</v>
      </c>
      <c r="N591" s="6">
        <f t="shared" si="111"/>
        <v>0</v>
      </c>
      <c r="O591" s="6">
        <f t="shared" si="112"/>
        <v>0</v>
      </c>
      <c r="P591" s="6">
        <f t="shared" si="113"/>
        <v>201.38999999999507</v>
      </c>
      <c r="Q591" s="3">
        <v>201.39</v>
      </c>
      <c r="R591" s="6">
        <f t="shared" si="114"/>
        <v>-4.9169557314598933E-12</v>
      </c>
      <c r="S591" s="6" t="str">
        <f t="shared" si="115"/>
        <v>OK</v>
      </c>
    </row>
    <row r="592" spans="1:19" x14ac:dyDescent="0.25">
      <c r="A592" s="3" t="str">
        <f t="shared" si="116"/>
        <v>04.07.2026</v>
      </c>
      <c r="B592" s="5">
        <v>95</v>
      </c>
      <c r="C592" s="5" t="s">
        <v>23</v>
      </c>
      <c r="D592" s="3">
        <v>25.7</v>
      </c>
      <c r="E592" s="3">
        <v>25.623280000000001</v>
      </c>
      <c r="F592" s="6">
        <f t="shared" si="104"/>
        <v>-7.6719999999998123E-2</v>
      </c>
      <c r="G592" s="6">
        <f t="shared" si="105"/>
        <v>-2.9852140077820284E-3</v>
      </c>
      <c r="H592" s="6" t="str">
        <f t="shared" si="106"/>
        <v>🔴 Under-injection</v>
      </c>
      <c r="I592" s="6">
        <f t="shared" si="107"/>
        <v>7.6719999999998123E-2</v>
      </c>
      <c r="J592" s="3">
        <v>10</v>
      </c>
      <c r="K592" s="6">
        <f t="shared" si="108"/>
        <v>3.8549999999999995</v>
      </c>
      <c r="L592" s="6">
        <f t="shared" si="109"/>
        <v>5.1400000000000006</v>
      </c>
      <c r="M592" s="6">
        <f t="shared" si="110"/>
        <v>7.6719999999998123E-2</v>
      </c>
      <c r="N592" s="6">
        <f t="shared" si="111"/>
        <v>0</v>
      </c>
      <c r="O592" s="6">
        <f t="shared" si="112"/>
        <v>0</v>
      </c>
      <c r="P592" s="6">
        <f t="shared" si="113"/>
        <v>201.38999999999507</v>
      </c>
      <c r="Q592" s="3">
        <v>201.39</v>
      </c>
      <c r="R592" s="6">
        <f t="shared" si="114"/>
        <v>-4.9169557314598933E-12</v>
      </c>
      <c r="S592" s="6" t="str">
        <f t="shared" si="115"/>
        <v>OK</v>
      </c>
    </row>
    <row r="593" spans="1:19" x14ac:dyDescent="0.25">
      <c r="A593" s="3" t="str">
        <f t="shared" si="116"/>
        <v>04.07.2026</v>
      </c>
      <c r="B593" s="5">
        <v>96</v>
      </c>
      <c r="C593" s="5" t="s">
        <v>22</v>
      </c>
      <c r="D593" s="3">
        <v>25.7</v>
      </c>
      <c r="E593" s="3">
        <v>25.623280000000001</v>
      </c>
      <c r="F593" s="6">
        <f t="shared" si="104"/>
        <v>-7.6719999999998123E-2</v>
      </c>
      <c r="G593" s="6">
        <f t="shared" si="105"/>
        <v>-2.9852140077820284E-3</v>
      </c>
      <c r="H593" s="6" t="str">
        <f t="shared" si="106"/>
        <v>🔴 Under-injection</v>
      </c>
      <c r="I593" s="6">
        <f t="shared" si="107"/>
        <v>7.6719999999998123E-2</v>
      </c>
      <c r="J593" s="3">
        <v>10</v>
      </c>
      <c r="K593" s="6">
        <f t="shared" si="108"/>
        <v>3.8549999999999995</v>
      </c>
      <c r="L593" s="6">
        <f t="shared" si="109"/>
        <v>5.1400000000000006</v>
      </c>
      <c r="M593" s="6">
        <f t="shared" si="110"/>
        <v>7.6719999999998123E-2</v>
      </c>
      <c r="N593" s="6">
        <f t="shared" si="111"/>
        <v>0</v>
      </c>
      <c r="O593" s="6">
        <f t="shared" si="112"/>
        <v>0</v>
      </c>
      <c r="P593" s="6">
        <f t="shared" si="113"/>
        <v>201.38999999999507</v>
      </c>
      <c r="Q593" s="3">
        <v>201.39</v>
      </c>
      <c r="R593" s="6">
        <f t="shared" si="114"/>
        <v>-4.9169557314598933E-12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24.8</v>
      </c>
      <c r="E594" s="3">
        <v>25.611930000000001</v>
      </c>
      <c r="F594" s="6">
        <f t="shared" ref="F594:F657" si="117">E594-D594</f>
        <v>0.81193000000000026</v>
      </c>
      <c r="G594" s="6">
        <f t="shared" ref="G594:G657" si="118">IF(D594=0,0,F594/D594)</f>
        <v>3.2739112903225814E-2</v>
      </c>
      <c r="H594" s="6" t="str">
        <f t="shared" ref="H594:H657" si="119">IF(E594&gt;D594,"🟢 Over-injection",IF(E594&lt;D594,"🔴 Under-injection","⚪ Nil"))</f>
        <v>🟢 Over-injection</v>
      </c>
      <c r="I594" s="6">
        <f t="shared" ref="I594:I657" si="120">-F594</f>
        <v>-0.81193000000000026</v>
      </c>
      <c r="J594" s="3">
        <v>9.7428999999999988</v>
      </c>
      <c r="K594" s="6">
        <f t="shared" ref="K594:K657" si="121">MIN(ABS(D594)*$B$7,$B$8)</f>
        <v>3.7199999999999998</v>
      </c>
      <c r="L594" s="6">
        <f t="shared" ref="L594:L657" si="122">MIN(ABS(D594)*$B$9,$B$10)</f>
        <v>4.9600000000000009</v>
      </c>
      <c r="M594" s="6">
        <f t="shared" ref="M594:M657" si="123">MIN(ABS(F594),K594)</f>
        <v>0.81193000000000026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-1582.1105594000005</v>
      </c>
      <c r="Q594" s="3">
        <v>-1582.1105593999998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05.07.2026</v>
      </c>
      <c r="B595" s="5">
        <v>2</v>
      </c>
      <c r="C595" s="5" t="s">
        <v>116</v>
      </c>
      <c r="D595" s="3">
        <v>24.8</v>
      </c>
      <c r="E595" s="3">
        <v>25.12398</v>
      </c>
      <c r="F595" s="6">
        <f t="shared" si="117"/>
        <v>0.32397999999999882</v>
      </c>
      <c r="G595" s="6">
        <f t="shared" si="118"/>
        <v>1.3063709677419308E-2</v>
      </c>
      <c r="H595" s="6" t="str">
        <f t="shared" si="119"/>
        <v>🟢 Over-injection</v>
      </c>
      <c r="I595" s="6">
        <f t="shared" si="120"/>
        <v>-0.32397999999999882</v>
      </c>
      <c r="J595" s="3">
        <v>9.7376000000000005</v>
      </c>
      <c r="K595" s="6">
        <f t="shared" si="121"/>
        <v>3.7199999999999998</v>
      </c>
      <c r="L595" s="6">
        <f t="shared" si="122"/>
        <v>4.9600000000000009</v>
      </c>
      <c r="M595" s="6">
        <f t="shared" si="123"/>
        <v>0.32397999999999882</v>
      </c>
      <c r="N595" s="6">
        <f t="shared" si="124"/>
        <v>0</v>
      </c>
      <c r="O595" s="6">
        <f t="shared" si="125"/>
        <v>0</v>
      </c>
      <c r="P595" s="6">
        <f t="shared" si="126"/>
        <v>-630.95752959999788</v>
      </c>
      <c r="Q595" s="3">
        <v>-630.95752960000004</v>
      </c>
      <c r="R595" s="6">
        <f t="shared" si="127"/>
        <v>2.1600499167107046E-12</v>
      </c>
      <c r="S595" s="6" t="str">
        <f t="shared" si="128"/>
        <v>OK</v>
      </c>
    </row>
    <row r="596" spans="1:19" x14ac:dyDescent="0.25">
      <c r="A596" s="3" t="str">
        <f t="shared" ref="A596:A659" si="129">A595</f>
        <v>05.07.2026</v>
      </c>
      <c r="B596" s="5">
        <v>3</v>
      </c>
      <c r="C596" s="5" t="s">
        <v>115</v>
      </c>
      <c r="D596" s="3">
        <v>24.8</v>
      </c>
      <c r="E596" s="3">
        <v>24.806239999999999</v>
      </c>
      <c r="F596" s="6">
        <f t="shared" si="117"/>
        <v>6.2399999999982469E-3</v>
      </c>
      <c r="G596" s="6">
        <f t="shared" si="118"/>
        <v>2.5161290322573576E-4</v>
      </c>
      <c r="H596" s="6" t="str">
        <f t="shared" si="119"/>
        <v>🟢 Over-injection</v>
      </c>
      <c r="I596" s="6">
        <f t="shared" si="120"/>
        <v>-6.2399999999982469E-3</v>
      </c>
      <c r="J596" s="3">
        <v>5.6048</v>
      </c>
      <c r="K596" s="6">
        <f t="shared" si="121"/>
        <v>3.7199999999999998</v>
      </c>
      <c r="L596" s="6">
        <f t="shared" si="122"/>
        <v>4.9600000000000009</v>
      </c>
      <c r="M596" s="6">
        <f t="shared" si="123"/>
        <v>6.2399999999982469E-3</v>
      </c>
      <c r="N596" s="6">
        <f t="shared" si="124"/>
        <v>0</v>
      </c>
      <c r="O596" s="6">
        <f t="shared" si="125"/>
        <v>0</v>
      </c>
      <c r="P596" s="6">
        <f t="shared" si="126"/>
        <v>-6.9947903999980365</v>
      </c>
      <c r="Q596" s="3">
        <v>-6.9947904000000003</v>
      </c>
      <c r="R596" s="6">
        <f t="shared" si="127"/>
        <v>1.9637624859569769E-12</v>
      </c>
      <c r="S596" s="6" t="str">
        <f t="shared" si="128"/>
        <v>OK</v>
      </c>
    </row>
    <row r="597" spans="1:19" x14ac:dyDescent="0.25">
      <c r="A597" s="3" t="str">
        <f t="shared" si="129"/>
        <v>05.07.2026</v>
      </c>
      <c r="B597" s="5">
        <v>4</v>
      </c>
      <c r="C597" s="5" t="s">
        <v>114</v>
      </c>
      <c r="D597" s="3">
        <v>24.8</v>
      </c>
      <c r="E597" s="3">
        <v>24.897020000000001</v>
      </c>
      <c r="F597" s="6">
        <f t="shared" si="117"/>
        <v>9.702000000000055E-2</v>
      </c>
      <c r="G597" s="6">
        <f t="shared" si="118"/>
        <v>3.9120967741935707E-3</v>
      </c>
      <c r="H597" s="6" t="str">
        <f t="shared" si="119"/>
        <v>🟢 Over-injection</v>
      </c>
      <c r="I597" s="6">
        <f t="shared" si="120"/>
        <v>-9.702000000000055E-2</v>
      </c>
      <c r="J597" s="3">
        <v>5.3887999999999998</v>
      </c>
      <c r="K597" s="6">
        <f t="shared" si="121"/>
        <v>3.7199999999999998</v>
      </c>
      <c r="L597" s="6">
        <f t="shared" si="122"/>
        <v>4.9600000000000009</v>
      </c>
      <c r="M597" s="6">
        <f t="shared" si="123"/>
        <v>9.702000000000055E-2</v>
      </c>
      <c r="N597" s="6">
        <f t="shared" si="124"/>
        <v>0</v>
      </c>
      <c r="O597" s="6">
        <f t="shared" si="125"/>
        <v>0</v>
      </c>
      <c r="P597" s="6">
        <f t="shared" si="126"/>
        <v>-104.56427520000059</v>
      </c>
      <c r="Q597" s="3">
        <v>-104.5642752</v>
      </c>
      <c r="R597" s="6">
        <f t="shared" si="127"/>
        <v>-5.9685589803848416E-13</v>
      </c>
      <c r="S597" s="6" t="str">
        <f t="shared" si="128"/>
        <v>OK</v>
      </c>
    </row>
    <row r="598" spans="1:19" x14ac:dyDescent="0.25">
      <c r="A598" s="3" t="str">
        <f t="shared" si="129"/>
        <v>05.07.2026</v>
      </c>
      <c r="B598" s="5">
        <v>5</v>
      </c>
      <c r="C598" s="5" t="s">
        <v>113</v>
      </c>
      <c r="D598" s="3">
        <v>24.8</v>
      </c>
      <c r="E598" s="3">
        <v>24.931069999999998</v>
      </c>
      <c r="F598" s="6">
        <f t="shared" si="117"/>
        <v>0.13106999999999758</v>
      </c>
      <c r="G598" s="6">
        <f t="shared" si="118"/>
        <v>5.2850806451611929E-3</v>
      </c>
      <c r="H598" s="6" t="str">
        <f t="shared" si="119"/>
        <v>🟢 Over-injection</v>
      </c>
      <c r="I598" s="6">
        <f t="shared" si="120"/>
        <v>-0.13106999999999758</v>
      </c>
      <c r="J598" s="3">
        <v>4.5985000000000005</v>
      </c>
      <c r="K598" s="6">
        <f t="shared" si="121"/>
        <v>3.7199999999999998</v>
      </c>
      <c r="L598" s="6">
        <f t="shared" si="122"/>
        <v>4.9600000000000009</v>
      </c>
      <c r="M598" s="6">
        <f t="shared" si="123"/>
        <v>0.13106999999999758</v>
      </c>
      <c r="N598" s="6">
        <f t="shared" si="124"/>
        <v>0</v>
      </c>
      <c r="O598" s="6">
        <f t="shared" si="125"/>
        <v>0</v>
      </c>
      <c r="P598" s="6">
        <f t="shared" si="126"/>
        <v>-120.54507899999778</v>
      </c>
      <c r="Q598" s="3">
        <v>-120.54507900000002</v>
      </c>
      <c r="R598" s="6">
        <f t="shared" si="127"/>
        <v>2.2311041902867146E-12</v>
      </c>
      <c r="S598" s="6" t="str">
        <f t="shared" si="128"/>
        <v>OK</v>
      </c>
    </row>
    <row r="599" spans="1:19" x14ac:dyDescent="0.25">
      <c r="A599" s="3" t="str">
        <f t="shared" si="129"/>
        <v>05.07.2026</v>
      </c>
      <c r="B599" s="5">
        <v>6</v>
      </c>
      <c r="C599" s="5" t="s">
        <v>112</v>
      </c>
      <c r="D599" s="3">
        <v>24.8</v>
      </c>
      <c r="E599" s="3">
        <v>24.931069999999998</v>
      </c>
      <c r="F599" s="6">
        <f t="shared" si="117"/>
        <v>0.13106999999999758</v>
      </c>
      <c r="G599" s="6">
        <f t="shared" si="118"/>
        <v>5.2850806451611929E-3</v>
      </c>
      <c r="H599" s="6" t="str">
        <f t="shared" si="119"/>
        <v>🟢 Over-injection</v>
      </c>
      <c r="I599" s="6">
        <f t="shared" si="120"/>
        <v>-0.13106999999999758</v>
      </c>
      <c r="J599" s="3">
        <v>3.9956</v>
      </c>
      <c r="K599" s="6">
        <f t="shared" si="121"/>
        <v>3.7199999999999998</v>
      </c>
      <c r="L599" s="6">
        <f t="shared" si="122"/>
        <v>4.9600000000000009</v>
      </c>
      <c r="M599" s="6">
        <f t="shared" si="123"/>
        <v>0.13106999999999758</v>
      </c>
      <c r="N599" s="6">
        <f t="shared" si="124"/>
        <v>0</v>
      </c>
      <c r="O599" s="6">
        <f t="shared" si="125"/>
        <v>0</v>
      </c>
      <c r="P599" s="6">
        <f t="shared" si="126"/>
        <v>-104.74065839999807</v>
      </c>
      <c r="Q599" s="3">
        <v>-104.7406584</v>
      </c>
      <c r="R599" s="6">
        <f t="shared" si="127"/>
        <v>1.9326762412674725E-12</v>
      </c>
      <c r="S599" s="6" t="str">
        <f t="shared" si="128"/>
        <v>OK</v>
      </c>
    </row>
    <row r="600" spans="1:19" x14ac:dyDescent="0.25">
      <c r="A600" s="3" t="str">
        <f t="shared" si="129"/>
        <v>05.07.2026</v>
      </c>
      <c r="B600" s="5">
        <v>7</v>
      </c>
      <c r="C600" s="5" t="s">
        <v>111</v>
      </c>
      <c r="D600" s="3">
        <v>24.8</v>
      </c>
      <c r="E600" s="3">
        <v>24.931069999999998</v>
      </c>
      <c r="F600" s="6">
        <f t="shared" si="117"/>
        <v>0.13106999999999758</v>
      </c>
      <c r="G600" s="6">
        <f t="shared" si="118"/>
        <v>5.2850806451611929E-3</v>
      </c>
      <c r="H600" s="6" t="str">
        <f t="shared" si="119"/>
        <v>🟢 Over-injection</v>
      </c>
      <c r="I600" s="6">
        <f t="shared" si="120"/>
        <v>-0.13106999999999758</v>
      </c>
      <c r="J600" s="3">
        <v>3.4994999999999998</v>
      </c>
      <c r="K600" s="6">
        <f t="shared" si="121"/>
        <v>3.7199999999999998</v>
      </c>
      <c r="L600" s="6">
        <f t="shared" si="122"/>
        <v>4.9600000000000009</v>
      </c>
      <c r="M600" s="6">
        <f t="shared" si="123"/>
        <v>0.13106999999999758</v>
      </c>
      <c r="N600" s="6">
        <f t="shared" si="124"/>
        <v>0</v>
      </c>
      <c r="O600" s="6">
        <f t="shared" si="125"/>
        <v>0</v>
      </c>
      <c r="P600" s="6">
        <f t="shared" si="126"/>
        <v>-91.735892999998299</v>
      </c>
      <c r="Q600" s="3">
        <v>-91.73589299999999</v>
      </c>
      <c r="R600" s="6">
        <f t="shared" si="127"/>
        <v>1.6910917111090384E-12</v>
      </c>
      <c r="S600" s="6" t="str">
        <f t="shared" si="128"/>
        <v>OK</v>
      </c>
    </row>
    <row r="601" spans="1:19" x14ac:dyDescent="0.25">
      <c r="A601" s="3" t="str">
        <f t="shared" si="129"/>
        <v>05.07.2026</v>
      </c>
      <c r="B601" s="5">
        <v>8</v>
      </c>
      <c r="C601" s="5" t="s">
        <v>110</v>
      </c>
      <c r="D601" s="3">
        <v>24.8</v>
      </c>
      <c r="E601" s="3">
        <v>24.931069999999998</v>
      </c>
      <c r="F601" s="6">
        <f t="shared" si="117"/>
        <v>0.13106999999999758</v>
      </c>
      <c r="G601" s="6">
        <f t="shared" si="118"/>
        <v>5.2850806451611929E-3</v>
      </c>
      <c r="H601" s="6" t="str">
        <f t="shared" si="119"/>
        <v>🟢 Over-injection</v>
      </c>
      <c r="I601" s="6">
        <f t="shared" si="120"/>
        <v>-0.13106999999999758</v>
      </c>
      <c r="J601" s="3">
        <v>3.4988999999999999</v>
      </c>
      <c r="K601" s="6">
        <f t="shared" si="121"/>
        <v>3.7199999999999998</v>
      </c>
      <c r="L601" s="6">
        <f t="shared" si="122"/>
        <v>4.9600000000000009</v>
      </c>
      <c r="M601" s="6">
        <f t="shared" si="123"/>
        <v>0.13106999999999758</v>
      </c>
      <c r="N601" s="6">
        <f t="shared" si="124"/>
        <v>0</v>
      </c>
      <c r="O601" s="6">
        <f t="shared" si="125"/>
        <v>0</v>
      </c>
      <c r="P601" s="6">
        <f t="shared" si="126"/>
        <v>-91.720164599998313</v>
      </c>
      <c r="Q601" s="3">
        <v>-91.720164600000004</v>
      </c>
      <c r="R601" s="6">
        <f t="shared" si="127"/>
        <v>1.6910917111090384E-12</v>
      </c>
      <c r="S601" s="6" t="str">
        <f t="shared" si="128"/>
        <v>OK</v>
      </c>
    </row>
    <row r="602" spans="1:19" x14ac:dyDescent="0.25">
      <c r="A602" s="3" t="str">
        <f t="shared" si="129"/>
        <v>05.07.2026</v>
      </c>
      <c r="B602" s="5">
        <v>9</v>
      </c>
      <c r="C602" s="5" t="s">
        <v>109</v>
      </c>
      <c r="D602" s="3">
        <v>24.8</v>
      </c>
      <c r="E602" s="3">
        <v>24.931069999999998</v>
      </c>
      <c r="F602" s="6">
        <f t="shared" si="117"/>
        <v>0.13106999999999758</v>
      </c>
      <c r="G602" s="6">
        <f t="shared" si="118"/>
        <v>5.2850806451611929E-3</v>
      </c>
      <c r="H602" s="6" t="str">
        <f t="shared" si="119"/>
        <v>🟢 Over-injection</v>
      </c>
      <c r="I602" s="6">
        <f t="shared" si="120"/>
        <v>-0.13106999999999758</v>
      </c>
      <c r="J602" s="3">
        <v>3.3475999999999999</v>
      </c>
      <c r="K602" s="6">
        <f t="shared" si="121"/>
        <v>3.7199999999999998</v>
      </c>
      <c r="L602" s="6">
        <f t="shared" si="122"/>
        <v>4.9600000000000009</v>
      </c>
      <c r="M602" s="6">
        <f t="shared" si="123"/>
        <v>0.13106999999999758</v>
      </c>
      <c r="N602" s="6">
        <f t="shared" si="124"/>
        <v>0</v>
      </c>
      <c r="O602" s="6">
        <f t="shared" si="125"/>
        <v>0</v>
      </c>
      <c r="P602" s="6">
        <f t="shared" si="126"/>
        <v>-87.753986399998368</v>
      </c>
      <c r="Q602" s="3">
        <v>-87.753986400000002</v>
      </c>
      <c r="R602" s="6">
        <f t="shared" si="127"/>
        <v>1.6342482922482304E-12</v>
      </c>
      <c r="S602" s="6" t="str">
        <f t="shared" si="128"/>
        <v>OK</v>
      </c>
    </row>
    <row r="603" spans="1:19" x14ac:dyDescent="0.25">
      <c r="A603" s="3" t="str">
        <f t="shared" si="129"/>
        <v>05.07.2026</v>
      </c>
      <c r="B603" s="5">
        <v>10</v>
      </c>
      <c r="C603" s="5" t="s">
        <v>108</v>
      </c>
      <c r="D603" s="3">
        <v>24.8</v>
      </c>
      <c r="E603" s="3">
        <v>24.919720000000002</v>
      </c>
      <c r="F603" s="6">
        <f t="shared" si="117"/>
        <v>0.11972000000000094</v>
      </c>
      <c r="G603" s="6">
        <f t="shared" si="118"/>
        <v>4.8274193548387473E-3</v>
      </c>
      <c r="H603" s="6" t="str">
        <f t="shared" si="119"/>
        <v>🟢 Over-injection</v>
      </c>
      <c r="I603" s="6">
        <f t="shared" si="120"/>
        <v>-0.11972000000000094</v>
      </c>
      <c r="J603" s="3">
        <v>3.2730000000000001</v>
      </c>
      <c r="K603" s="6">
        <f t="shared" si="121"/>
        <v>3.7199999999999998</v>
      </c>
      <c r="L603" s="6">
        <f t="shared" si="122"/>
        <v>4.9600000000000009</v>
      </c>
      <c r="M603" s="6">
        <f t="shared" si="123"/>
        <v>0.11972000000000094</v>
      </c>
      <c r="N603" s="6">
        <f t="shared" si="124"/>
        <v>0</v>
      </c>
      <c r="O603" s="6">
        <f t="shared" si="125"/>
        <v>0</v>
      </c>
      <c r="P603" s="6">
        <f t="shared" si="126"/>
        <v>-78.368712000000613</v>
      </c>
      <c r="Q603" s="3">
        <v>-78.368712000000002</v>
      </c>
      <c r="R603" s="6">
        <f t="shared" si="127"/>
        <v>-6.1106675275368616E-13</v>
      </c>
      <c r="S603" s="6" t="str">
        <f t="shared" si="128"/>
        <v>OK</v>
      </c>
    </row>
    <row r="604" spans="1:19" x14ac:dyDescent="0.25">
      <c r="A604" s="3" t="str">
        <f t="shared" si="129"/>
        <v>05.07.2026</v>
      </c>
      <c r="B604" s="5">
        <v>11</v>
      </c>
      <c r="C604" s="5" t="s">
        <v>107</v>
      </c>
      <c r="D604" s="3">
        <v>24.8</v>
      </c>
      <c r="E604" s="3">
        <v>24.919720000000002</v>
      </c>
      <c r="F604" s="6">
        <f t="shared" si="117"/>
        <v>0.11972000000000094</v>
      </c>
      <c r="G604" s="6">
        <f t="shared" si="118"/>
        <v>4.8274193548387473E-3</v>
      </c>
      <c r="H604" s="6" t="str">
        <f t="shared" si="119"/>
        <v>🟢 Over-injection</v>
      </c>
      <c r="I604" s="6">
        <f t="shared" si="120"/>
        <v>-0.11972000000000094</v>
      </c>
      <c r="J604" s="3">
        <v>3.3170999999999999</v>
      </c>
      <c r="K604" s="6">
        <f t="shared" si="121"/>
        <v>3.7199999999999998</v>
      </c>
      <c r="L604" s="6">
        <f t="shared" si="122"/>
        <v>4.9600000000000009</v>
      </c>
      <c r="M604" s="6">
        <f t="shared" si="123"/>
        <v>0.11972000000000094</v>
      </c>
      <c r="N604" s="6">
        <f t="shared" si="124"/>
        <v>0</v>
      </c>
      <c r="O604" s="6">
        <f t="shared" si="125"/>
        <v>0</v>
      </c>
      <c r="P604" s="6">
        <f t="shared" si="126"/>
        <v>-79.424642400000621</v>
      </c>
      <c r="Q604" s="3">
        <v>-79.424642399999996</v>
      </c>
      <c r="R604" s="6">
        <f t="shared" si="127"/>
        <v>-6.2527760746888816E-13</v>
      </c>
      <c r="S604" s="6" t="str">
        <f t="shared" si="128"/>
        <v>OK</v>
      </c>
    </row>
    <row r="605" spans="1:19" x14ac:dyDescent="0.25">
      <c r="A605" s="3" t="str">
        <f t="shared" si="129"/>
        <v>05.07.2026</v>
      </c>
      <c r="B605" s="5">
        <v>12</v>
      </c>
      <c r="C605" s="5" t="s">
        <v>106</v>
      </c>
      <c r="D605" s="3">
        <v>24.8</v>
      </c>
      <c r="E605" s="3">
        <v>24.908370000000001</v>
      </c>
      <c r="F605" s="6">
        <f t="shared" si="117"/>
        <v>0.10837000000000074</v>
      </c>
      <c r="G605" s="6">
        <f t="shared" si="118"/>
        <v>4.3697580645161585E-3</v>
      </c>
      <c r="H605" s="6" t="str">
        <f t="shared" si="119"/>
        <v>🟢 Over-injection</v>
      </c>
      <c r="I605" s="6">
        <f t="shared" si="120"/>
        <v>-0.10837000000000074</v>
      </c>
      <c r="J605" s="3">
        <v>3.4047000000000001</v>
      </c>
      <c r="K605" s="6">
        <f t="shared" si="121"/>
        <v>3.7199999999999998</v>
      </c>
      <c r="L605" s="6">
        <f t="shared" si="122"/>
        <v>4.9600000000000009</v>
      </c>
      <c r="M605" s="6">
        <f t="shared" si="123"/>
        <v>0.10837000000000074</v>
      </c>
      <c r="N605" s="6">
        <f t="shared" si="124"/>
        <v>0</v>
      </c>
      <c r="O605" s="6">
        <f t="shared" si="125"/>
        <v>0</v>
      </c>
      <c r="P605" s="6">
        <f t="shared" si="126"/>
        <v>-73.793467800000514</v>
      </c>
      <c r="Q605" s="3">
        <v>-73.793467800000016</v>
      </c>
      <c r="R605" s="6">
        <f t="shared" si="127"/>
        <v>-4.9737991503207013E-13</v>
      </c>
      <c r="S605" s="6" t="str">
        <f t="shared" si="128"/>
        <v>OK</v>
      </c>
    </row>
    <row r="606" spans="1:19" x14ac:dyDescent="0.25">
      <c r="A606" s="3" t="str">
        <f t="shared" si="129"/>
        <v>05.07.2026</v>
      </c>
      <c r="B606" s="5">
        <v>13</v>
      </c>
      <c r="C606" s="5" t="s">
        <v>105</v>
      </c>
      <c r="D606" s="3">
        <v>24.8</v>
      </c>
      <c r="E606" s="3">
        <v>24.908370000000001</v>
      </c>
      <c r="F606" s="6">
        <f t="shared" si="117"/>
        <v>0.10837000000000074</v>
      </c>
      <c r="G606" s="6">
        <f t="shared" si="118"/>
        <v>4.3697580645161585E-3</v>
      </c>
      <c r="H606" s="6" t="str">
        <f t="shared" si="119"/>
        <v>🟢 Over-injection</v>
      </c>
      <c r="I606" s="6">
        <f t="shared" si="120"/>
        <v>-0.10837000000000074</v>
      </c>
      <c r="J606" s="3">
        <v>3.4386000000000001</v>
      </c>
      <c r="K606" s="6">
        <f t="shared" si="121"/>
        <v>3.7199999999999998</v>
      </c>
      <c r="L606" s="6">
        <f t="shared" si="122"/>
        <v>4.9600000000000009</v>
      </c>
      <c r="M606" s="6">
        <f t="shared" si="123"/>
        <v>0.10837000000000074</v>
      </c>
      <c r="N606" s="6">
        <f t="shared" si="124"/>
        <v>0</v>
      </c>
      <c r="O606" s="6">
        <f t="shared" si="125"/>
        <v>0</v>
      </c>
      <c r="P606" s="6">
        <f t="shared" si="126"/>
        <v>-74.528216400000531</v>
      </c>
      <c r="Q606" s="3">
        <v>-74.528216400000019</v>
      </c>
      <c r="R606" s="6">
        <f t="shared" si="127"/>
        <v>-5.1159076974727213E-13</v>
      </c>
      <c r="S606" s="6" t="str">
        <f t="shared" si="128"/>
        <v>OK</v>
      </c>
    </row>
    <row r="607" spans="1:19" x14ac:dyDescent="0.25">
      <c r="A607" s="3" t="str">
        <f t="shared" si="129"/>
        <v>05.07.2026</v>
      </c>
      <c r="B607" s="5">
        <v>14</v>
      </c>
      <c r="C607" s="5" t="s">
        <v>104</v>
      </c>
      <c r="D607" s="3">
        <v>24.8</v>
      </c>
      <c r="E607" s="3">
        <v>24.897020000000001</v>
      </c>
      <c r="F607" s="6">
        <f t="shared" si="117"/>
        <v>9.702000000000055E-2</v>
      </c>
      <c r="G607" s="6">
        <f t="shared" si="118"/>
        <v>3.9120967741935707E-3</v>
      </c>
      <c r="H607" s="6" t="str">
        <f t="shared" si="119"/>
        <v>🟢 Over-injection</v>
      </c>
      <c r="I607" s="6">
        <f t="shared" si="120"/>
        <v>-9.702000000000055E-2</v>
      </c>
      <c r="J607" s="3">
        <v>3.4991000000000003</v>
      </c>
      <c r="K607" s="6">
        <f t="shared" si="121"/>
        <v>3.7199999999999998</v>
      </c>
      <c r="L607" s="6">
        <f t="shared" si="122"/>
        <v>4.9600000000000009</v>
      </c>
      <c r="M607" s="6">
        <f t="shared" si="123"/>
        <v>9.702000000000055E-2</v>
      </c>
      <c r="N607" s="6">
        <f t="shared" si="124"/>
        <v>0</v>
      </c>
      <c r="O607" s="6">
        <f t="shared" si="125"/>
        <v>0</v>
      </c>
      <c r="P607" s="6">
        <f t="shared" si="126"/>
        <v>-67.8965364000004</v>
      </c>
      <c r="Q607" s="3">
        <v>-67.896536400000016</v>
      </c>
      <c r="R607" s="6">
        <f t="shared" si="127"/>
        <v>-3.836930773104541E-13</v>
      </c>
      <c r="S607" s="6" t="str">
        <f t="shared" si="128"/>
        <v>OK</v>
      </c>
    </row>
    <row r="608" spans="1:19" x14ac:dyDescent="0.25">
      <c r="A608" s="3" t="str">
        <f t="shared" si="129"/>
        <v>05.07.2026</v>
      </c>
      <c r="B608" s="5">
        <v>15</v>
      </c>
      <c r="C608" s="5" t="s">
        <v>103</v>
      </c>
      <c r="D608" s="3">
        <v>24.8</v>
      </c>
      <c r="E608" s="3">
        <v>24.897020000000001</v>
      </c>
      <c r="F608" s="6">
        <f t="shared" si="117"/>
        <v>9.702000000000055E-2</v>
      </c>
      <c r="G608" s="6">
        <f t="shared" si="118"/>
        <v>3.9120967741935707E-3</v>
      </c>
      <c r="H608" s="6" t="str">
        <f t="shared" si="119"/>
        <v>🟢 Over-injection</v>
      </c>
      <c r="I608" s="6">
        <f t="shared" si="120"/>
        <v>-9.702000000000055E-2</v>
      </c>
      <c r="J608" s="3">
        <v>3.5980000000000003</v>
      </c>
      <c r="K608" s="6">
        <f t="shared" si="121"/>
        <v>3.7199999999999998</v>
      </c>
      <c r="L608" s="6">
        <f t="shared" si="122"/>
        <v>4.9600000000000009</v>
      </c>
      <c r="M608" s="6">
        <f t="shared" si="123"/>
        <v>9.702000000000055E-2</v>
      </c>
      <c r="N608" s="6">
        <f t="shared" si="124"/>
        <v>0</v>
      </c>
      <c r="O608" s="6">
        <f t="shared" si="125"/>
        <v>0</v>
      </c>
      <c r="P608" s="6">
        <f t="shared" si="126"/>
        <v>-69.815592000000407</v>
      </c>
      <c r="Q608" s="3">
        <v>-69.815592000000009</v>
      </c>
      <c r="R608" s="6">
        <f t="shared" si="127"/>
        <v>-3.979039320256561E-13</v>
      </c>
      <c r="S608" s="6" t="str">
        <f t="shared" si="128"/>
        <v>OK</v>
      </c>
    </row>
    <row r="609" spans="1:19" x14ac:dyDescent="0.25">
      <c r="A609" s="3" t="str">
        <f t="shared" si="129"/>
        <v>05.07.2026</v>
      </c>
      <c r="B609" s="5">
        <v>16</v>
      </c>
      <c r="C609" s="5" t="s">
        <v>102</v>
      </c>
      <c r="D609" s="3">
        <v>24.8</v>
      </c>
      <c r="E609" s="3">
        <v>24.885680000000001</v>
      </c>
      <c r="F609" s="6">
        <f t="shared" si="117"/>
        <v>8.5679999999999978E-2</v>
      </c>
      <c r="G609" s="6">
        <f t="shared" si="118"/>
        <v>3.4548387096774184E-3</v>
      </c>
      <c r="H609" s="6" t="str">
        <f t="shared" si="119"/>
        <v>🟢 Over-injection</v>
      </c>
      <c r="I609" s="6">
        <f t="shared" si="120"/>
        <v>-8.5679999999999978E-2</v>
      </c>
      <c r="J609" s="3">
        <v>3.4989999999999997</v>
      </c>
      <c r="K609" s="6">
        <f t="shared" si="121"/>
        <v>3.7199999999999998</v>
      </c>
      <c r="L609" s="6">
        <f t="shared" si="122"/>
        <v>4.9600000000000009</v>
      </c>
      <c r="M609" s="6">
        <f t="shared" si="123"/>
        <v>8.5679999999999978E-2</v>
      </c>
      <c r="N609" s="6">
        <f t="shared" si="124"/>
        <v>0</v>
      </c>
      <c r="O609" s="6">
        <f t="shared" si="125"/>
        <v>0</v>
      </c>
      <c r="P609" s="6">
        <f t="shared" si="126"/>
        <v>-59.958863999999977</v>
      </c>
      <c r="Q609" s="3">
        <v>-59.958863999999998</v>
      </c>
      <c r="R609" s="6">
        <f t="shared" si="127"/>
        <v>0</v>
      </c>
      <c r="S609" s="6" t="str">
        <f t="shared" si="128"/>
        <v>OK</v>
      </c>
    </row>
    <row r="610" spans="1:19" x14ac:dyDescent="0.25">
      <c r="A610" s="3" t="str">
        <f t="shared" si="129"/>
        <v>05.07.2026</v>
      </c>
      <c r="B610" s="5">
        <v>17</v>
      </c>
      <c r="C610" s="5" t="s">
        <v>101</v>
      </c>
      <c r="D610" s="3">
        <v>24.8</v>
      </c>
      <c r="E610" s="3">
        <v>24.885680000000001</v>
      </c>
      <c r="F610" s="6">
        <f t="shared" si="117"/>
        <v>8.5679999999999978E-2</v>
      </c>
      <c r="G610" s="6">
        <f t="shared" si="118"/>
        <v>3.4548387096774184E-3</v>
      </c>
      <c r="H610" s="6" t="str">
        <f t="shared" si="119"/>
        <v>🟢 Over-injection</v>
      </c>
      <c r="I610" s="6">
        <f t="shared" si="120"/>
        <v>-8.5679999999999978E-2</v>
      </c>
      <c r="J610" s="3">
        <v>3.6088</v>
      </c>
      <c r="K610" s="6">
        <f t="shared" si="121"/>
        <v>3.7199999999999998</v>
      </c>
      <c r="L610" s="6">
        <f t="shared" si="122"/>
        <v>4.9600000000000009</v>
      </c>
      <c r="M610" s="6">
        <f t="shared" si="123"/>
        <v>8.5679999999999978E-2</v>
      </c>
      <c r="N610" s="6">
        <f t="shared" si="124"/>
        <v>0</v>
      </c>
      <c r="O610" s="6">
        <f t="shared" si="125"/>
        <v>0</v>
      </c>
      <c r="P610" s="6">
        <f t="shared" si="126"/>
        <v>-61.840396799999979</v>
      </c>
      <c r="Q610" s="3">
        <v>-61.840396800000008</v>
      </c>
      <c r="R610" s="6">
        <f t="shared" si="127"/>
        <v>0</v>
      </c>
      <c r="S610" s="6" t="str">
        <f t="shared" si="128"/>
        <v>OK</v>
      </c>
    </row>
    <row r="611" spans="1:19" x14ac:dyDescent="0.25">
      <c r="A611" s="3" t="str">
        <f t="shared" si="129"/>
        <v>05.07.2026</v>
      </c>
      <c r="B611" s="5">
        <v>18</v>
      </c>
      <c r="C611" s="5" t="s">
        <v>100</v>
      </c>
      <c r="D611" s="3">
        <v>24.8</v>
      </c>
      <c r="E611" s="3">
        <v>24.885680000000001</v>
      </c>
      <c r="F611" s="6">
        <f t="shared" si="117"/>
        <v>8.5679999999999978E-2</v>
      </c>
      <c r="G611" s="6">
        <f t="shared" si="118"/>
        <v>3.4548387096774184E-3</v>
      </c>
      <c r="H611" s="6" t="str">
        <f t="shared" si="119"/>
        <v>🟢 Over-injection</v>
      </c>
      <c r="I611" s="6">
        <f t="shared" si="120"/>
        <v>-8.5679999999999978E-2</v>
      </c>
      <c r="J611" s="3">
        <v>3.6110000000000002</v>
      </c>
      <c r="K611" s="6">
        <f t="shared" si="121"/>
        <v>3.7199999999999998</v>
      </c>
      <c r="L611" s="6">
        <f t="shared" si="122"/>
        <v>4.9600000000000009</v>
      </c>
      <c r="M611" s="6">
        <f t="shared" si="123"/>
        <v>8.5679999999999978E-2</v>
      </c>
      <c r="N611" s="6">
        <f t="shared" si="124"/>
        <v>0</v>
      </c>
      <c r="O611" s="6">
        <f t="shared" si="125"/>
        <v>0</v>
      </c>
      <c r="P611" s="6">
        <f t="shared" si="126"/>
        <v>-61.878095999999985</v>
      </c>
      <c r="Q611" s="3">
        <v>-61.878096000000006</v>
      </c>
      <c r="R611" s="6">
        <f t="shared" si="127"/>
        <v>0</v>
      </c>
      <c r="S611" s="6" t="str">
        <f t="shared" si="128"/>
        <v>OK</v>
      </c>
    </row>
    <row r="612" spans="1:19" x14ac:dyDescent="0.25">
      <c r="A612" s="3" t="str">
        <f t="shared" si="129"/>
        <v>05.07.2026</v>
      </c>
      <c r="B612" s="5">
        <v>19</v>
      </c>
      <c r="C612" s="5" t="s">
        <v>99</v>
      </c>
      <c r="D612" s="3">
        <v>22.8</v>
      </c>
      <c r="E612" s="3">
        <v>23.557980000000001</v>
      </c>
      <c r="F612" s="6">
        <f t="shared" si="117"/>
        <v>0.75797999999999988</v>
      </c>
      <c r="G612" s="6">
        <f t="shared" si="118"/>
        <v>3.3244736842105257E-2</v>
      </c>
      <c r="H612" s="6" t="str">
        <f t="shared" si="119"/>
        <v>🟢 Over-injection</v>
      </c>
      <c r="I612" s="6">
        <f t="shared" si="120"/>
        <v>-0.75797999999999988</v>
      </c>
      <c r="J612" s="3">
        <v>3.6000999999999999</v>
      </c>
      <c r="K612" s="6">
        <f t="shared" si="121"/>
        <v>3.42</v>
      </c>
      <c r="L612" s="6">
        <f t="shared" si="122"/>
        <v>4.5600000000000005</v>
      </c>
      <c r="M612" s="6">
        <f t="shared" si="123"/>
        <v>0.75797999999999988</v>
      </c>
      <c r="N612" s="6">
        <f t="shared" si="124"/>
        <v>0</v>
      </c>
      <c r="O612" s="6">
        <f t="shared" si="125"/>
        <v>0</v>
      </c>
      <c r="P612" s="6">
        <f t="shared" si="126"/>
        <v>-545.76075959999991</v>
      </c>
      <c r="Q612" s="3">
        <v>-545.76075960000003</v>
      </c>
      <c r="R612" s="6">
        <f t="shared" si="127"/>
        <v>0</v>
      </c>
      <c r="S612" s="6" t="str">
        <f t="shared" si="128"/>
        <v>OK</v>
      </c>
    </row>
    <row r="613" spans="1:19" x14ac:dyDescent="0.25">
      <c r="A613" s="3" t="str">
        <f t="shared" si="129"/>
        <v>05.07.2026</v>
      </c>
      <c r="B613" s="5">
        <v>20</v>
      </c>
      <c r="C613" s="5" t="s">
        <v>98</v>
      </c>
      <c r="D613" s="3">
        <v>22.8</v>
      </c>
      <c r="E613" s="3">
        <v>22.922509999999999</v>
      </c>
      <c r="F613" s="6">
        <f t="shared" si="117"/>
        <v>0.12250999999999834</v>
      </c>
      <c r="G613" s="6">
        <f t="shared" si="118"/>
        <v>5.3732456140350151E-3</v>
      </c>
      <c r="H613" s="6" t="str">
        <f t="shared" si="119"/>
        <v>🟢 Over-injection</v>
      </c>
      <c r="I613" s="6">
        <f t="shared" si="120"/>
        <v>-0.12250999999999834</v>
      </c>
      <c r="J613" s="3">
        <v>3.6008999999999998</v>
      </c>
      <c r="K613" s="6">
        <f t="shared" si="121"/>
        <v>3.42</v>
      </c>
      <c r="L613" s="6">
        <f t="shared" si="122"/>
        <v>4.5600000000000005</v>
      </c>
      <c r="M613" s="6">
        <f t="shared" si="123"/>
        <v>0.12250999999999834</v>
      </c>
      <c r="N613" s="6">
        <f t="shared" si="124"/>
        <v>0</v>
      </c>
      <c r="O613" s="6">
        <f t="shared" si="125"/>
        <v>0</v>
      </c>
      <c r="P613" s="6">
        <f t="shared" si="126"/>
        <v>-88.229251799998806</v>
      </c>
      <c r="Q613" s="3">
        <v>-88.2292518</v>
      </c>
      <c r="R613" s="6">
        <f t="shared" si="127"/>
        <v>1.1937117960769683E-12</v>
      </c>
      <c r="S613" s="6" t="str">
        <f t="shared" si="128"/>
        <v>OK</v>
      </c>
    </row>
    <row r="614" spans="1:19" x14ac:dyDescent="0.25">
      <c r="A614" s="3" t="str">
        <f t="shared" si="129"/>
        <v>05.07.2026</v>
      </c>
      <c r="B614" s="5">
        <v>21</v>
      </c>
      <c r="C614" s="5" t="s">
        <v>97</v>
      </c>
      <c r="D614" s="3">
        <v>22.8</v>
      </c>
      <c r="E614" s="3">
        <v>22.93385</v>
      </c>
      <c r="F614" s="6">
        <f t="shared" si="117"/>
        <v>0.13384999999999891</v>
      </c>
      <c r="G614" s="6">
        <f t="shared" si="118"/>
        <v>5.8706140350876712E-3</v>
      </c>
      <c r="H614" s="6" t="str">
        <f t="shared" si="119"/>
        <v>🟢 Over-injection</v>
      </c>
      <c r="I614" s="6">
        <f t="shared" si="120"/>
        <v>-0.13384999999999891</v>
      </c>
      <c r="J614" s="3">
        <v>3.3194999999999997</v>
      </c>
      <c r="K614" s="6">
        <f t="shared" si="121"/>
        <v>3.42</v>
      </c>
      <c r="L614" s="6">
        <f t="shared" si="122"/>
        <v>4.5600000000000005</v>
      </c>
      <c r="M614" s="6">
        <f t="shared" si="123"/>
        <v>0.13384999999999891</v>
      </c>
      <c r="N614" s="6">
        <f t="shared" si="124"/>
        <v>0</v>
      </c>
      <c r="O614" s="6">
        <f t="shared" si="125"/>
        <v>0</v>
      </c>
      <c r="P614" s="6">
        <f t="shared" si="126"/>
        <v>-88.863014999999265</v>
      </c>
      <c r="Q614" s="3">
        <v>-88.86301499999999</v>
      </c>
      <c r="R614" s="6">
        <f t="shared" si="127"/>
        <v>7.2475359047530219E-13</v>
      </c>
      <c r="S614" s="6" t="str">
        <f t="shared" si="128"/>
        <v>OK</v>
      </c>
    </row>
    <row r="615" spans="1:19" x14ac:dyDescent="0.25">
      <c r="A615" s="3" t="str">
        <f t="shared" si="129"/>
        <v>05.07.2026</v>
      </c>
      <c r="B615" s="5">
        <v>22</v>
      </c>
      <c r="C615" s="5" t="s">
        <v>96</v>
      </c>
      <c r="D615" s="3">
        <v>22.8</v>
      </c>
      <c r="E615" s="3">
        <v>22.911159999999999</v>
      </c>
      <c r="F615" s="6">
        <f t="shared" si="117"/>
        <v>0.11115999999999815</v>
      </c>
      <c r="G615" s="6">
        <f t="shared" si="118"/>
        <v>4.8754385964911466E-3</v>
      </c>
      <c r="H615" s="6" t="str">
        <f t="shared" si="119"/>
        <v>🟢 Over-injection</v>
      </c>
      <c r="I615" s="6">
        <f t="shared" si="120"/>
        <v>-0.11115999999999815</v>
      </c>
      <c r="J615" s="3">
        <v>3.4082999999999997</v>
      </c>
      <c r="K615" s="6">
        <f t="shared" si="121"/>
        <v>3.42</v>
      </c>
      <c r="L615" s="6">
        <f t="shared" si="122"/>
        <v>4.5600000000000005</v>
      </c>
      <c r="M615" s="6">
        <f t="shared" si="123"/>
        <v>0.11115999999999815</v>
      </c>
      <c r="N615" s="6">
        <f t="shared" si="124"/>
        <v>0</v>
      </c>
      <c r="O615" s="6">
        <f t="shared" si="125"/>
        <v>0</v>
      </c>
      <c r="P615" s="6">
        <f t="shared" si="126"/>
        <v>-75.773325599998728</v>
      </c>
      <c r="Q615" s="3">
        <v>-75.773325599999978</v>
      </c>
      <c r="R615" s="6">
        <f t="shared" si="127"/>
        <v>1.2505552149377763E-12</v>
      </c>
      <c r="S615" s="6" t="str">
        <f t="shared" si="128"/>
        <v>OK</v>
      </c>
    </row>
    <row r="616" spans="1:19" x14ac:dyDescent="0.25">
      <c r="A616" s="3" t="str">
        <f t="shared" si="129"/>
        <v>05.07.2026</v>
      </c>
      <c r="B616" s="5">
        <v>23</v>
      </c>
      <c r="C616" s="5" t="s">
        <v>95</v>
      </c>
      <c r="D616" s="3">
        <v>19.8</v>
      </c>
      <c r="E616" s="3">
        <v>21.22035</v>
      </c>
      <c r="F616" s="6">
        <f t="shared" si="117"/>
        <v>1.4203499999999991</v>
      </c>
      <c r="G616" s="6">
        <f t="shared" si="118"/>
        <v>7.1734848484848443E-2</v>
      </c>
      <c r="H616" s="6" t="str">
        <f t="shared" si="119"/>
        <v>🟢 Over-injection</v>
      </c>
      <c r="I616" s="6">
        <f t="shared" si="120"/>
        <v>-1.4203499999999991</v>
      </c>
      <c r="J616" s="3">
        <v>3.6012</v>
      </c>
      <c r="K616" s="6">
        <f t="shared" si="121"/>
        <v>2.97</v>
      </c>
      <c r="L616" s="6">
        <f t="shared" si="122"/>
        <v>3.9600000000000004</v>
      </c>
      <c r="M616" s="6">
        <f t="shared" si="123"/>
        <v>1.4203499999999991</v>
      </c>
      <c r="N616" s="6">
        <f t="shared" si="124"/>
        <v>0</v>
      </c>
      <c r="O616" s="6">
        <f t="shared" si="125"/>
        <v>0</v>
      </c>
      <c r="P616" s="6">
        <f t="shared" si="126"/>
        <v>-1022.9928839999993</v>
      </c>
      <c r="Q616" s="3">
        <v>-1022.992884</v>
      </c>
      <c r="R616" s="6">
        <f t="shared" si="127"/>
        <v>0</v>
      </c>
      <c r="S616" s="6" t="str">
        <f t="shared" si="128"/>
        <v>OK</v>
      </c>
    </row>
    <row r="617" spans="1:19" x14ac:dyDescent="0.25">
      <c r="A617" s="3" t="str">
        <f t="shared" si="129"/>
        <v>05.07.2026</v>
      </c>
      <c r="B617" s="5">
        <v>24</v>
      </c>
      <c r="C617" s="5" t="s">
        <v>94</v>
      </c>
      <c r="D617" s="3">
        <v>19.8</v>
      </c>
      <c r="E617" s="3">
        <v>20.130960000000002</v>
      </c>
      <c r="F617" s="6">
        <f t="shared" si="117"/>
        <v>0.33096000000000103</v>
      </c>
      <c r="G617" s="6">
        <f t="shared" si="118"/>
        <v>1.6715151515151568E-2</v>
      </c>
      <c r="H617" s="6" t="str">
        <f t="shared" si="119"/>
        <v>🟢 Over-injection</v>
      </c>
      <c r="I617" s="6">
        <f t="shared" si="120"/>
        <v>-0.33096000000000103</v>
      </c>
      <c r="J617" s="3">
        <v>3.6117000000000004</v>
      </c>
      <c r="K617" s="6">
        <f t="shared" si="121"/>
        <v>2.97</v>
      </c>
      <c r="L617" s="6">
        <f t="shared" si="122"/>
        <v>3.9600000000000004</v>
      </c>
      <c r="M617" s="6">
        <f t="shared" si="123"/>
        <v>0.33096000000000103</v>
      </c>
      <c r="N617" s="6">
        <f t="shared" si="124"/>
        <v>0</v>
      </c>
      <c r="O617" s="6">
        <f t="shared" si="125"/>
        <v>0</v>
      </c>
      <c r="P617" s="6">
        <f t="shared" si="126"/>
        <v>-239.06564640000079</v>
      </c>
      <c r="Q617" s="3">
        <v>-239.06564640000002</v>
      </c>
      <c r="R617" s="6">
        <f t="shared" si="127"/>
        <v>-7.673861546209082E-13</v>
      </c>
      <c r="S617" s="6" t="str">
        <f t="shared" si="128"/>
        <v>OK</v>
      </c>
    </row>
    <row r="618" spans="1:19" x14ac:dyDescent="0.25">
      <c r="A618" s="3" t="str">
        <f t="shared" si="129"/>
        <v>05.07.2026</v>
      </c>
      <c r="B618" s="5">
        <v>25</v>
      </c>
      <c r="C618" s="5" t="s">
        <v>93</v>
      </c>
      <c r="D618" s="3">
        <v>19.8</v>
      </c>
      <c r="E618" s="3">
        <v>20.02882</v>
      </c>
      <c r="F618" s="6">
        <f t="shared" si="117"/>
        <v>0.22881999999999891</v>
      </c>
      <c r="G618" s="6">
        <f t="shared" si="118"/>
        <v>1.1556565656565602E-2</v>
      </c>
      <c r="H618" s="6" t="str">
        <f t="shared" si="119"/>
        <v>🟢 Over-injection</v>
      </c>
      <c r="I618" s="6">
        <f t="shared" si="120"/>
        <v>-0.22881999999999891</v>
      </c>
      <c r="J618" s="3">
        <v>3.7086000000000001</v>
      </c>
      <c r="K618" s="6">
        <f t="shared" si="121"/>
        <v>2.97</v>
      </c>
      <c r="L618" s="6">
        <f t="shared" si="122"/>
        <v>3.9600000000000004</v>
      </c>
      <c r="M618" s="6">
        <f t="shared" si="123"/>
        <v>0.22881999999999891</v>
      </c>
      <c r="N618" s="6">
        <f t="shared" si="124"/>
        <v>0</v>
      </c>
      <c r="O618" s="6">
        <f t="shared" si="125"/>
        <v>0</v>
      </c>
      <c r="P618" s="6">
        <f t="shared" si="126"/>
        <v>-169.72037039999921</v>
      </c>
      <c r="Q618" s="3">
        <v>-169.72037040000001</v>
      </c>
      <c r="R618" s="6">
        <f t="shared" si="127"/>
        <v>7.9580786405131221E-13</v>
      </c>
      <c r="S618" s="6" t="str">
        <f t="shared" si="128"/>
        <v>OK</v>
      </c>
    </row>
    <row r="619" spans="1:19" x14ac:dyDescent="0.25">
      <c r="A619" s="3" t="str">
        <f t="shared" si="129"/>
        <v>05.07.2026</v>
      </c>
      <c r="B619" s="5">
        <v>26</v>
      </c>
      <c r="C619" s="5" t="s">
        <v>92</v>
      </c>
      <c r="D619" s="3">
        <v>19.8</v>
      </c>
      <c r="E619" s="3">
        <v>19.77918</v>
      </c>
      <c r="F619" s="6">
        <f t="shared" si="117"/>
        <v>-2.0820000000000505E-2</v>
      </c>
      <c r="G619" s="6">
        <f t="shared" si="118"/>
        <v>-1.051515151515177E-3</v>
      </c>
      <c r="H619" s="6" t="str">
        <f t="shared" si="119"/>
        <v>🔴 Under-injection</v>
      </c>
      <c r="I619" s="6">
        <f t="shared" si="120"/>
        <v>2.0820000000000505E-2</v>
      </c>
      <c r="J619" s="3">
        <v>3.6817000000000002</v>
      </c>
      <c r="K619" s="6">
        <f t="shared" si="121"/>
        <v>2.97</v>
      </c>
      <c r="L619" s="6">
        <f t="shared" si="122"/>
        <v>3.9600000000000004</v>
      </c>
      <c r="M619" s="6">
        <f t="shared" si="123"/>
        <v>2.0820000000000505E-2</v>
      </c>
      <c r="N619" s="6">
        <f t="shared" si="124"/>
        <v>0</v>
      </c>
      <c r="O619" s="6">
        <f t="shared" si="125"/>
        <v>0</v>
      </c>
      <c r="P619" s="6">
        <f t="shared" si="126"/>
        <v>20.12141092500049</v>
      </c>
      <c r="Q619" s="3">
        <v>20.121410925000003</v>
      </c>
      <c r="R619" s="6">
        <f t="shared" si="127"/>
        <v>4.8672177399566863E-13</v>
      </c>
      <c r="S619" s="6" t="str">
        <f t="shared" si="128"/>
        <v>OK</v>
      </c>
    </row>
    <row r="620" spans="1:19" x14ac:dyDescent="0.25">
      <c r="A620" s="3" t="str">
        <f t="shared" si="129"/>
        <v>05.07.2026</v>
      </c>
      <c r="B620" s="5">
        <v>27</v>
      </c>
      <c r="C620" s="5" t="s">
        <v>91</v>
      </c>
      <c r="D620" s="3">
        <v>19.8</v>
      </c>
      <c r="E620" s="3">
        <v>19.77918</v>
      </c>
      <c r="F620" s="6">
        <f t="shared" si="117"/>
        <v>-2.0820000000000505E-2</v>
      </c>
      <c r="G620" s="6">
        <f t="shared" si="118"/>
        <v>-1.051515151515177E-3</v>
      </c>
      <c r="H620" s="6" t="str">
        <f t="shared" si="119"/>
        <v>🔴 Under-injection</v>
      </c>
      <c r="I620" s="6">
        <f t="shared" si="120"/>
        <v>2.0820000000000505E-2</v>
      </c>
      <c r="J620" s="3">
        <v>3.9252999999999996</v>
      </c>
      <c r="K620" s="6">
        <f t="shared" si="121"/>
        <v>2.97</v>
      </c>
      <c r="L620" s="6">
        <f t="shared" si="122"/>
        <v>3.9600000000000004</v>
      </c>
      <c r="M620" s="6">
        <f t="shared" si="123"/>
        <v>2.0820000000000505E-2</v>
      </c>
      <c r="N620" s="6">
        <f t="shared" si="124"/>
        <v>0</v>
      </c>
      <c r="O620" s="6">
        <f t="shared" si="125"/>
        <v>0</v>
      </c>
      <c r="P620" s="6">
        <f t="shared" si="126"/>
        <v>21.45274582500052</v>
      </c>
      <c r="Q620" s="3">
        <v>21.452745824999997</v>
      </c>
      <c r="R620" s="6">
        <f t="shared" si="127"/>
        <v>5.2224891078367364E-13</v>
      </c>
      <c r="S620" s="6" t="str">
        <f t="shared" si="128"/>
        <v>OK</v>
      </c>
    </row>
    <row r="621" spans="1:19" x14ac:dyDescent="0.25">
      <c r="A621" s="3" t="str">
        <f t="shared" si="129"/>
        <v>05.07.2026</v>
      </c>
      <c r="B621" s="5">
        <v>28</v>
      </c>
      <c r="C621" s="5" t="s">
        <v>90</v>
      </c>
      <c r="D621" s="3">
        <v>19.8</v>
      </c>
      <c r="E621" s="3">
        <v>19.77918</v>
      </c>
      <c r="F621" s="6">
        <f t="shared" si="117"/>
        <v>-2.0820000000000505E-2</v>
      </c>
      <c r="G621" s="6">
        <f t="shared" si="118"/>
        <v>-1.051515151515177E-3</v>
      </c>
      <c r="H621" s="6" t="str">
        <f t="shared" si="119"/>
        <v>🔴 Under-injection</v>
      </c>
      <c r="I621" s="6">
        <f t="shared" si="120"/>
        <v>2.0820000000000505E-2</v>
      </c>
      <c r="J621" s="3">
        <v>3.6098000000000003</v>
      </c>
      <c r="K621" s="6">
        <f t="shared" si="121"/>
        <v>2.97</v>
      </c>
      <c r="L621" s="6">
        <f t="shared" si="122"/>
        <v>3.9600000000000004</v>
      </c>
      <c r="M621" s="6">
        <f t="shared" si="123"/>
        <v>2.0820000000000505E-2</v>
      </c>
      <c r="N621" s="6">
        <f t="shared" si="124"/>
        <v>0</v>
      </c>
      <c r="O621" s="6">
        <f t="shared" si="125"/>
        <v>0</v>
      </c>
      <c r="P621" s="6">
        <f t="shared" si="126"/>
        <v>19.728459450000479</v>
      </c>
      <c r="Q621" s="3">
        <v>19.728459450000006</v>
      </c>
      <c r="R621" s="6">
        <f t="shared" si="127"/>
        <v>4.7251091928046662E-13</v>
      </c>
      <c r="S621" s="6" t="str">
        <f t="shared" si="128"/>
        <v>OK</v>
      </c>
    </row>
    <row r="622" spans="1:19" x14ac:dyDescent="0.25">
      <c r="A622" s="3" t="str">
        <f t="shared" si="129"/>
        <v>05.07.2026</v>
      </c>
      <c r="B622" s="5">
        <v>29</v>
      </c>
      <c r="C622" s="5" t="s">
        <v>89</v>
      </c>
      <c r="D622" s="3">
        <v>19.8</v>
      </c>
      <c r="E622" s="3">
        <v>19.790520000000001</v>
      </c>
      <c r="F622" s="6">
        <f t="shared" si="117"/>
        <v>-9.4799999999999329E-3</v>
      </c>
      <c r="G622" s="6">
        <f t="shared" si="118"/>
        <v>-4.7878787878787536E-4</v>
      </c>
      <c r="H622" s="6" t="str">
        <f t="shared" si="119"/>
        <v>🔴 Under-injection</v>
      </c>
      <c r="I622" s="6">
        <f t="shared" si="120"/>
        <v>9.4799999999999329E-3</v>
      </c>
      <c r="J622" s="3">
        <v>3.0376999999999996</v>
      </c>
      <c r="K622" s="6">
        <f t="shared" si="121"/>
        <v>2.97</v>
      </c>
      <c r="L622" s="6">
        <f t="shared" si="122"/>
        <v>3.9600000000000004</v>
      </c>
      <c r="M622" s="6">
        <f t="shared" si="123"/>
        <v>9.4799999999999329E-3</v>
      </c>
      <c r="N622" s="6">
        <f t="shared" si="124"/>
        <v>0</v>
      </c>
      <c r="O622" s="6">
        <f t="shared" si="125"/>
        <v>0</v>
      </c>
      <c r="P622" s="6">
        <f t="shared" si="126"/>
        <v>7.5593164499999457</v>
      </c>
      <c r="Q622" s="3">
        <v>7.5593164499999999</v>
      </c>
      <c r="R622" s="6">
        <f t="shared" si="127"/>
        <v>-5.4178883601707639E-14</v>
      </c>
      <c r="S622" s="6" t="str">
        <f t="shared" si="128"/>
        <v>OK</v>
      </c>
    </row>
    <row r="623" spans="1:19" x14ac:dyDescent="0.25">
      <c r="A623" s="3" t="str">
        <f t="shared" si="129"/>
        <v>05.07.2026</v>
      </c>
      <c r="B623" s="5">
        <v>30</v>
      </c>
      <c r="C623" s="5" t="s">
        <v>88</v>
      </c>
      <c r="D623" s="3">
        <v>19.8</v>
      </c>
      <c r="E623" s="3">
        <v>19.77918</v>
      </c>
      <c r="F623" s="6">
        <f t="shared" si="117"/>
        <v>-2.0820000000000505E-2</v>
      </c>
      <c r="G623" s="6">
        <f t="shared" si="118"/>
        <v>-1.051515151515177E-3</v>
      </c>
      <c r="H623" s="6" t="str">
        <f t="shared" si="119"/>
        <v>🔴 Under-injection</v>
      </c>
      <c r="I623" s="6">
        <f t="shared" si="120"/>
        <v>2.0820000000000505E-2</v>
      </c>
      <c r="J623" s="3">
        <v>2.5236999999999998</v>
      </c>
      <c r="K623" s="6">
        <f t="shared" si="121"/>
        <v>2.97</v>
      </c>
      <c r="L623" s="6">
        <f t="shared" si="122"/>
        <v>3.9600000000000004</v>
      </c>
      <c r="M623" s="6">
        <f t="shared" si="123"/>
        <v>2.0820000000000505E-2</v>
      </c>
      <c r="N623" s="6">
        <f t="shared" si="124"/>
        <v>0</v>
      </c>
      <c r="O623" s="6">
        <f t="shared" si="125"/>
        <v>0</v>
      </c>
      <c r="P623" s="6">
        <f t="shared" si="126"/>
        <v>13.792651425000333</v>
      </c>
      <c r="Q623" s="3">
        <v>13.792651425000001</v>
      </c>
      <c r="R623" s="6">
        <f t="shared" si="127"/>
        <v>3.3217872896784684E-13</v>
      </c>
      <c r="S623" s="6" t="str">
        <f t="shared" si="128"/>
        <v>OK</v>
      </c>
    </row>
    <row r="624" spans="1:19" x14ac:dyDescent="0.25">
      <c r="A624" s="3" t="str">
        <f t="shared" si="129"/>
        <v>05.07.2026</v>
      </c>
      <c r="B624" s="5">
        <v>31</v>
      </c>
      <c r="C624" s="5" t="s">
        <v>87</v>
      </c>
      <c r="D624" s="3">
        <v>16.7</v>
      </c>
      <c r="E624" s="3">
        <v>17.509620000000002</v>
      </c>
      <c r="F624" s="6">
        <f t="shared" si="117"/>
        <v>0.80962000000000245</v>
      </c>
      <c r="G624" s="6">
        <f t="shared" si="118"/>
        <v>4.8480239520958229E-2</v>
      </c>
      <c r="H624" s="6" t="str">
        <f t="shared" si="119"/>
        <v>🟢 Over-injection</v>
      </c>
      <c r="I624" s="6">
        <f t="shared" si="120"/>
        <v>-0.80962000000000245</v>
      </c>
      <c r="J624" s="3">
        <v>2.3428999999999998</v>
      </c>
      <c r="K624" s="6">
        <f t="shared" si="121"/>
        <v>2.5049999999999999</v>
      </c>
      <c r="L624" s="6">
        <f t="shared" si="122"/>
        <v>3.34</v>
      </c>
      <c r="M624" s="6">
        <f t="shared" si="123"/>
        <v>0.80962000000000245</v>
      </c>
      <c r="N624" s="6">
        <f t="shared" si="124"/>
        <v>0</v>
      </c>
      <c r="O624" s="6">
        <f t="shared" si="125"/>
        <v>0</v>
      </c>
      <c r="P624" s="6">
        <f t="shared" si="126"/>
        <v>-379.37173960000115</v>
      </c>
      <c r="Q624" s="3">
        <v>-379.37173959999996</v>
      </c>
      <c r="R624" s="6">
        <f t="shared" si="127"/>
        <v>-1.1937117960769683E-12</v>
      </c>
      <c r="S624" s="6" t="str">
        <f t="shared" si="128"/>
        <v>OK</v>
      </c>
    </row>
    <row r="625" spans="1:19" x14ac:dyDescent="0.25">
      <c r="A625" s="3" t="str">
        <f t="shared" si="129"/>
        <v>05.07.2026</v>
      </c>
      <c r="B625" s="5">
        <v>32</v>
      </c>
      <c r="C625" s="5" t="s">
        <v>86</v>
      </c>
      <c r="D625" s="3">
        <v>16.7</v>
      </c>
      <c r="E625" s="3">
        <v>16.669879999999999</v>
      </c>
      <c r="F625" s="6">
        <f t="shared" si="117"/>
        <v>-3.0120000000000147E-2</v>
      </c>
      <c r="G625" s="6">
        <f t="shared" si="118"/>
        <v>-1.8035928143712663E-3</v>
      </c>
      <c r="H625" s="6" t="str">
        <f t="shared" si="119"/>
        <v>🔴 Under-injection</v>
      </c>
      <c r="I625" s="6">
        <f t="shared" si="120"/>
        <v>3.0120000000000147E-2</v>
      </c>
      <c r="J625" s="3">
        <v>2.266</v>
      </c>
      <c r="K625" s="6">
        <f t="shared" si="121"/>
        <v>2.5049999999999999</v>
      </c>
      <c r="L625" s="6">
        <f t="shared" si="122"/>
        <v>3.34</v>
      </c>
      <c r="M625" s="6">
        <f t="shared" si="123"/>
        <v>3.0120000000000147E-2</v>
      </c>
      <c r="N625" s="6">
        <f t="shared" si="124"/>
        <v>0</v>
      </c>
      <c r="O625" s="6">
        <f t="shared" si="125"/>
        <v>0</v>
      </c>
      <c r="P625" s="6">
        <f t="shared" si="126"/>
        <v>17.916129000000087</v>
      </c>
      <c r="Q625" s="3">
        <v>17.916129000000002</v>
      </c>
      <c r="R625" s="6">
        <f t="shared" si="127"/>
        <v>8.5265128291212022E-14</v>
      </c>
      <c r="S625" s="6" t="str">
        <f t="shared" si="128"/>
        <v>OK</v>
      </c>
    </row>
    <row r="626" spans="1:19" x14ac:dyDescent="0.25">
      <c r="A626" s="3" t="str">
        <f t="shared" si="129"/>
        <v>05.07.2026</v>
      </c>
      <c r="B626" s="5">
        <v>33</v>
      </c>
      <c r="C626" s="5" t="s">
        <v>85</v>
      </c>
      <c r="D626" s="3">
        <v>16.5</v>
      </c>
      <c r="E626" s="3">
        <v>16.69258</v>
      </c>
      <c r="F626" s="6">
        <f t="shared" si="117"/>
        <v>0.19257999999999953</v>
      </c>
      <c r="G626" s="6">
        <f t="shared" si="118"/>
        <v>1.1671515151515124E-2</v>
      </c>
      <c r="H626" s="6" t="str">
        <f t="shared" si="119"/>
        <v>🟢 Over-injection</v>
      </c>
      <c r="I626" s="6">
        <f t="shared" si="120"/>
        <v>-0.19257999999999953</v>
      </c>
      <c r="J626" s="3">
        <v>1.9174</v>
      </c>
      <c r="K626" s="6">
        <f t="shared" si="121"/>
        <v>2.4750000000000001</v>
      </c>
      <c r="L626" s="6">
        <f t="shared" si="122"/>
        <v>3.3000000000000003</v>
      </c>
      <c r="M626" s="6">
        <f t="shared" si="123"/>
        <v>0.19257999999999953</v>
      </c>
      <c r="N626" s="6">
        <f t="shared" si="124"/>
        <v>0</v>
      </c>
      <c r="O626" s="6">
        <f t="shared" si="125"/>
        <v>0</v>
      </c>
      <c r="P626" s="6">
        <f t="shared" si="126"/>
        <v>-73.850578399999819</v>
      </c>
      <c r="Q626" s="3">
        <v>-73.850578400000003</v>
      </c>
      <c r="R626" s="6">
        <f t="shared" si="127"/>
        <v>1.8474111129762605E-13</v>
      </c>
      <c r="S626" s="6" t="str">
        <f t="shared" si="128"/>
        <v>OK</v>
      </c>
    </row>
    <row r="627" spans="1:19" x14ac:dyDescent="0.25">
      <c r="A627" s="3" t="str">
        <f t="shared" si="129"/>
        <v>05.07.2026</v>
      </c>
      <c r="B627" s="5">
        <v>34</v>
      </c>
      <c r="C627" s="5" t="s">
        <v>84</v>
      </c>
      <c r="D627" s="3">
        <v>16.5</v>
      </c>
      <c r="E627" s="3">
        <v>16.70393</v>
      </c>
      <c r="F627" s="6">
        <f t="shared" si="117"/>
        <v>0.20392999999999972</v>
      </c>
      <c r="G627" s="6">
        <f t="shared" si="118"/>
        <v>1.2359393939393922E-2</v>
      </c>
      <c r="H627" s="6" t="str">
        <f t="shared" si="119"/>
        <v>🟢 Over-injection</v>
      </c>
      <c r="I627" s="6">
        <f t="shared" si="120"/>
        <v>-0.20392999999999972</v>
      </c>
      <c r="J627" s="3">
        <v>1.7696000000000001</v>
      </c>
      <c r="K627" s="6">
        <f t="shared" si="121"/>
        <v>2.4750000000000001</v>
      </c>
      <c r="L627" s="6">
        <f t="shared" si="122"/>
        <v>3.3000000000000003</v>
      </c>
      <c r="M627" s="6">
        <f t="shared" si="123"/>
        <v>0.20392999999999972</v>
      </c>
      <c r="N627" s="6">
        <f t="shared" si="124"/>
        <v>0</v>
      </c>
      <c r="O627" s="6">
        <f t="shared" si="125"/>
        <v>0</v>
      </c>
      <c r="P627" s="6">
        <f t="shared" si="126"/>
        <v>-72.174905599999903</v>
      </c>
      <c r="Q627" s="3">
        <v>-72.174905600000002</v>
      </c>
      <c r="R627" s="6">
        <f t="shared" si="127"/>
        <v>0</v>
      </c>
      <c r="S627" s="6" t="str">
        <f t="shared" si="128"/>
        <v>OK</v>
      </c>
    </row>
    <row r="628" spans="1:19" x14ac:dyDescent="0.25">
      <c r="A628" s="3" t="str">
        <f t="shared" si="129"/>
        <v>05.07.2026</v>
      </c>
      <c r="B628" s="5">
        <v>35</v>
      </c>
      <c r="C628" s="5" t="s">
        <v>83</v>
      </c>
      <c r="D628" s="3">
        <v>17.5</v>
      </c>
      <c r="E628" s="3">
        <v>17.259969999999999</v>
      </c>
      <c r="F628" s="6">
        <f t="shared" si="117"/>
        <v>-0.24003000000000085</v>
      </c>
      <c r="G628" s="6">
        <f t="shared" si="118"/>
        <v>-1.3716000000000049E-2</v>
      </c>
      <c r="H628" s="6" t="str">
        <f t="shared" si="119"/>
        <v>🔴 Under-injection</v>
      </c>
      <c r="I628" s="6">
        <f t="shared" si="120"/>
        <v>0.24003000000000085</v>
      </c>
      <c r="J628" s="3">
        <v>1.6016999999999999</v>
      </c>
      <c r="K628" s="6">
        <f t="shared" si="121"/>
        <v>2.625</v>
      </c>
      <c r="L628" s="6">
        <f t="shared" si="122"/>
        <v>3.5</v>
      </c>
      <c r="M628" s="6">
        <f t="shared" si="123"/>
        <v>0.24003000000000085</v>
      </c>
      <c r="N628" s="6">
        <f t="shared" si="124"/>
        <v>0</v>
      </c>
      <c r="O628" s="6">
        <f t="shared" si="125"/>
        <v>0</v>
      </c>
      <c r="P628" s="6">
        <f t="shared" si="126"/>
        <v>100.91971338750037</v>
      </c>
      <c r="Q628" s="3">
        <v>100.91971338749998</v>
      </c>
      <c r="R628" s="6">
        <f t="shared" si="127"/>
        <v>3.836930773104541E-13</v>
      </c>
      <c r="S628" s="6" t="str">
        <f t="shared" si="128"/>
        <v>OK</v>
      </c>
    </row>
    <row r="629" spans="1:19" x14ac:dyDescent="0.25">
      <c r="A629" s="3" t="str">
        <f t="shared" si="129"/>
        <v>05.07.2026</v>
      </c>
      <c r="B629" s="5">
        <v>36</v>
      </c>
      <c r="C629" s="5" t="s">
        <v>82</v>
      </c>
      <c r="D629" s="3">
        <v>16.5</v>
      </c>
      <c r="E629" s="3">
        <v>17.486930000000001</v>
      </c>
      <c r="F629" s="6">
        <f t="shared" si="117"/>
        <v>0.98693000000000097</v>
      </c>
      <c r="G629" s="6">
        <f t="shared" si="118"/>
        <v>5.9813939393939454E-2</v>
      </c>
      <c r="H629" s="6" t="str">
        <f t="shared" si="119"/>
        <v>🟢 Over-injection</v>
      </c>
      <c r="I629" s="6">
        <f t="shared" si="120"/>
        <v>-0.98693000000000097</v>
      </c>
      <c r="J629" s="3">
        <v>1.3694</v>
      </c>
      <c r="K629" s="6">
        <f t="shared" si="121"/>
        <v>2.4750000000000001</v>
      </c>
      <c r="L629" s="6">
        <f t="shared" si="122"/>
        <v>3.3000000000000003</v>
      </c>
      <c r="M629" s="6">
        <f t="shared" si="123"/>
        <v>0.98693000000000097</v>
      </c>
      <c r="N629" s="6">
        <f t="shared" si="124"/>
        <v>0</v>
      </c>
      <c r="O629" s="6">
        <f t="shared" si="125"/>
        <v>0</v>
      </c>
      <c r="P629" s="6">
        <f t="shared" si="126"/>
        <v>-270.30038840000026</v>
      </c>
      <c r="Q629" s="3">
        <v>-270.30038839999997</v>
      </c>
      <c r="R629" s="6">
        <f t="shared" si="127"/>
        <v>0</v>
      </c>
      <c r="S629" s="6" t="str">
        <f t="shared" si="128"/>
        <v>OK</v>
      </c>
    </row>
    <row r="630" spans="1:19" x14ac:dyDescent="0.25">
      <c r="A630" s="3" t="str">
        <f t="shared" si="129"/>
        <v>05.07.2026</v>
      </c>
      <c r="B630" s="5">
        <v>37</v>
      </c>
      <c r="C630" s="5" t="s">
        <v>81</v>
      </c>
      <c r="D630" s="3">
        <v>17.5</v>
      </c>
      <c r="E630" s="3">
        <v>17.498270000000002</v>
      </c>
      <c r="F630" s="6">
        <f t="shared" si="117"/>
        <v>-1.729999999998455E-3</v>
      </c>
      <c r="G630" s="6">
        <f t="shared" si="118"/>
        <v>-9.8857142857054574E-5</v>
      </c>
      <c r="H630" s="6" t="str">
        <f t="shared" si="119"/>
        <v>🔴 Under-injection</v>
      </c>
      <c r="I630" s="6">
        <f t="shared" si="120"/>
        <v>1.729999999998455E-3</v>
      </c>
      <c r="J630" s="3">
        <v>1.0829</v>
      </c>
      <c r="K630" s="6">
        <f t="shared" si="121"/>
        <v>2.625</v>
      </c>
      <c r="L630" s="6">
        <f t="shared" si="122"/>
        <v>3.5</v>
      </c>
      <c r="M630" s="6">
        <f t="shared" si="123"/>
        <v>1.729999999998455E-3</v>
      </c>
      <c r="N630" s="6">
        <f t="shared" si="124"/>
        <v>0</v>
      </c>
      <c r="O630" s="6">
        <f t="shared" si="125"/>
        <v>0</v>
      </c>
      <c r="P630" s="6">
        <f t="shared" si="126"/>
        <v>0.49177196249956084</v>
      </c>
      <c r="Q630" s="3">
        <v>0.49177196250000005</v>
      </c>
      <c r="R630" s="6">
        <f t="shared" si="127"/>
        <v>-4.3920422854171193E-13</v>
      </c>
      <c r="S630" s="6" t="str">
        <f t="shared" si="128"/>
        <v>OK</v>
      </c>
    </row>
    <row r="631" spans="1:19" x14ac:dyDescent="0.25">
      <c r="A631" s="3" t="str">
        <f t="shared" si="129"/>
        <v>05.07.2026</v>
      </c>
      <c r="B631" s="5">
        <v>38</v>
      </c>
      <c r="C631" s="5" t="s">
        <v>80</v>
      </c>
      <c r="D631" s="3">
        <v>17.5</v>
      </c>
      <c r="E631" s="3">
        <v>17.498270000000002</v>
      </c>
      <c r="F631" s="6">
        <f t="shared" si="117"/>
        <v>-1.729999999998455E-3</v>
      </c>
      <c r="G631" s="6">
        <f t="shared" si="118"/>
        <v>-9.8857142857054574E-5</v>
      </c>
      <c r="H631" s="6" t="str">
        <f t="shared" si="119"/>
        <v>🔴 Under-injection</v>
      </c>
      <c r="I631" s="6">
        <f t="shared" si="120"/>
        <v>1.729999999998455E-3</v>
      </c>
      <c r="J631" s="3">
        <v>0.53400000000000003</v>
      </c>
      <c r="K631" s="6">
        <f t="shared" si="121"/>
        <v>2.625</v>
      </c>
      <c r="L631" s="6">
        <f t="shared" si="122"/>
        <v>3.5</v>
      </c>
      <c r="M631" s="6">
        <f t="shared" si="123"/>
        <v>1.729999999998455E-3</v>
      </c>
      <c r="N631" s="6">
        <f t="shared" si="124"/>
        <v>0</v>
      </c>
      <c r="O631" s="6">
        <f t="shared" si="125"/>
        <v>0</v>
      </c>
      <c r="P631" s="6">
        <f t="shared" si="126"/>
        <v>0.24250274999978347</v>
      </c>
      <c r="Q631" s="3">
        <v>0.24250275000000002</v>
      </c>
      <c r="R631" s="6">
        <f t="shared" si="127"/>
        <v>-2.1654900095313678E-13</v>
      </c>
      <c r="S631" s="6" t="str">
        <f t="shared" si="128"/>
        <v>OK</v>
      </c>
    </row>
    <row r="632" spans="1:19" x14ac:dyDescent="0.25">
      <c r="A632" s="3" t="str">
        <f t="shared" si="129"/>
        <v>05.07.2026</v>
      </c>
      <c r="B632" s="5">
        <v>39</v>
      </c>
      <c r="C632" s="5" t="s">
        <v>79</v>
      </c>
      <c r="D632" s="3">
        <v>17.5</v>
      </c>
      <c r="E632" s="3">
        <v>17.509620000000002</v>
      </c>
      <c r="F632" s="6">
        <f t="shared" si="117"/>
        <v>9.6200000000017383E-3</v>
      </c>
      <c r="G632" s="6">
        <f t="shared" si="118"/>
        <v>5.4971428571438507E-4</v>
      </c>
      <c r="H632" s="6" t="str">
        <f t="shared" si="119"/>
        <v>🟢 Over-injection</v>
      </c>
      <c r="I632" s="6">
        <f t="shared" si="120"/>
        <v>-9.6200000000017383E-3</v>
      </c>
      <c r="J632" s="3">
        <v>0.71129999999999993</v>
      </c>
      <c r="K632" s="6">
        <f t="shared" si="121"/>
        <v>2.625</v>
      </c>
      <c r="L632" s="6">
        <f t="shared" si="122"/>
        <v>3.5</v>
      </c>
      <c r="M632" s="6">
        <f t="shared" si="123"/>
        <v>9.6200000000017383E-3</v>
      </c>
      <c r="N632" s="6">
        <f t="shared" si="124"/>
        <v>0</v>
      </c>
      <c r="O632" s="6">
        <f t="shared" si="125"/>
        <v>0</v>
      </c>
      <c r="P632" s="6">
        <f t="shared" si="126"/>
        <v>-1.3685412000002473</v>
      </c>
      <c r="Q632" s="3">
        <v>-1.3685411999999999</v>
      </c>
      <c r="R632" s="6">
        <f t="shared" si="127"/>
        <v>-2.4735768988648488E-13</v>
      </c>
      <c r="S632" s="6" t="str">
        <f t="shared" si="128"/>
        <v>OK</v>
      </c>
    </row>
    <row r="633" spans="1:19" x14ac:dyDescent="0.25">
      <c r="A633" s="3" t="str">
        <f t="shared" si="129"/>
        <v>05.07.2026</v>
      </c>
      <c r="B633" s="5">
        <v>40</v>
      </c>
      <c r="C633" s="5" t="s">
        <v>78</v>
      </c>
      <c r="D633" s="3">
        <v>17.5</v>
      </c>
      <c r="E633" s="3">
        <v>17.509620000000002</v>
      </c>
      <c r="F633" s="6">
        <f t="shared" si="117"/>
        <v>9.6200000000017383E-3</v>
      </c>
      <c r="G633" s="6">
        <f t="shared" si="118"/>
        <v>5.4971428571438507E-4</v>
      </c>
      <c r="H633" s="6" t="str">
        <f t="shared" si="119"/>
        <v>🟢 Over-injection</v>
      </c>
      <c r="I633" s="6">
        <f t="shared" si="120"/>
        <v>-9.6200000000017383E-3</v>
      </c>
      <c r="J633" s="3">
        <v>0.71030000000000004</v>
      </c>
      <c r="K633" s="6">
        <f t="shared" si="121"/>
        <v>2.625</v>
      </c>
      <c r="L633" s="6">
        <f t="shared" si="122"/>
        <v>3.5</v>
      </c>
      <c r="M633" s="6">
        <f t="shared" si="123"/>
        <v>9.6200000000017383E-3</v>
      </c>
      <c r="N633" s="6">
        <f t="shared" si="124"/>
        <v>0</v>
      </c>
      <c r="O633" s="6">
        <f t="shared" si="125"/>
        <v>0</v>
      </c>
      <c r="P633" s="6">
        <f t="shared" si="126"/>
        <v>-1.3666172000002472</v>
      </c>
      <c r="Q633" s="3">
        <v>-1.3666172000000001</v>
      </c>
      <c r="R633" s="6">
        <f t="shared" si="127"/>
        <v>-2.4713564528155985E-13</v>
      </c>
      <c r="S633" s="6" t="str">
        <f t="shared" si="128"/>
        <v>OK</v>
      </c>
    </row>
    <row r="634" spans="1:19" x14ac:dyDescent="0.25">
      <c r="A634" s="3" t="str">
        <f t="shared" si="129"/>
        <v>05.07.2026</v>
      </c>
      <c r="B634" s="5">
        <v>41</v>
      </c>
      <c r="C634" s="5" t="s">
        <v>77</v>
      </c>
      <c r="D634" s="3">
        <v>17.5</v>
      </c>
      <c r="E634" s="3">
        <v>17.509620000000002</v>
      </c>
      <c r="F634" s="6">
        <f t="shared" si="117"/>
        <v>9.6200000000017383E-3</v>
      </c>
      <c r="G634" s="6">
        <f t="shared" si="118"/>
        <v>5.4971428571438507E-4</v>
      </c>
      <c r="H634" s="6" t="str">
        <f t="shared" si="119"/>
        <v>🟢 Over-injection</v>
      </c>
      <c r="I634" s="6">
        <f t="shared" si="120"/>
        <v>-9.6200000000017383E-3</v>
      </c>
      <c r="J634" s="3">
        <v>0.54299999999999993</v>
      </c>
      <c r="K634" s="6">
        <f t="shared" si="121"/>
        <v>2.625</v>
      </c>
      <c r="L634" s="6">
        <f t="shared" si="122"/>
        <v>3.5</v>
      </c>
      <c r="M634" s="6">
        <f t="shared" si="123"/>
        <v>9.6200000000017383E-3</v>
      </c>
      <c r="N634" s="6">
        <f t="shared" si="124"/>
        <v>0</v>
      </c>
      <c r="O634" s="6">
        <f t="shared" si="125"/>
        <v>0</v>
      </c>
      <c r="P634" s="6">
        <f t="shared" si="126"/>
        <v>-1.0447320000001887</v>
      </c>
      <c r="Q634" s="3">
        <v>-1.0447319999999998</v>
      </c>
      <c r="R634" s="6">
        <f t="shared" si="127"/>
        <v>-1.8895995879120164E-13</v>
      </c>
      <c r="S634" s="6" t="str">
        <f t="shared" si="128"/>
        <v>OK</v>
      </c>
    </row>
    <row r="635" spans="1:19" x14ac:dyDescent="0.25">
      <c r="A635" s="3" t="str">
        <f t="shared" si="129"/>
        <v>05.07.2026</v>
      </c>
      <c r="B635" s="5">
        <v>42</v>
      </c>
      <c r="C635" s="5" t="s">
        <v>76</v>
      </c>
      <c r="D635" s="3">
        <v>17.5</v>
      </c>
      <c r="E635" s="3">
        <v>17.509620000000002</v>
      </c>
      <c r="F635" s="6">
        <f t="shared" si="117"/>
        <v>9.6200000000017383E-3</v>
      </c>
      <c r="G635" s="6">
        <f t="shared" si="118"/>
        <v>5.4971428571438507E-4</v>
      </c>
      <c r="H635" s="6" t="str">
        <f t="shared" si="119"/>
        <v>🟢 Over-injection</v>
      </c>
      <c r="I635" s="6">
        <f t="shared" si="120"/>
        <v>-9.6200000000017383E-3</v>
      </c>
      <c r="J635" s="3">
        <v>0.54200000000000004</v>
      </c>
      <c r="K635" s="6">
        <f t="shared" si="121"/>
        <v>2.625</v>
      </c>
      <c r="L635" s="6">
        <f t="shared" si="122"/>
        <v>3.5</v>
      </c>
      <c r="M635" s="6">
        <f t="shared" si="123"/>
        <v>9.6200000000017383E-3</v>
      </c>
      <c r="N635" s="6">
        <f t="shared" si="124"/>
        <v>0</v>
      </c>
      <c r="O635" s="6">
        <f t="shared" si="125"/>
        <v>0</v>
      </c>
      <c r="P635" s="6">
        <f t="shared" si="126"/>
        <v>-1.0428080000001885</v>
      </c>
      <c r="Q635" s="3">
        <v>-1.0428080000000002</v>
      </c>
      <c r="R635" s="6">
        <f t="shared" si="127"/>
        <v>-1.8829382497642655E-13</v>
      </c>
      <c r="S635" s="6" t="str">
        <f t="shared" si="128"/>
        <v>OK</v>
      </c>
    </row>
    <row r="636" spans="1:19" x14ac:dyDescent="0.25">
      <c r="A636" s="3" t="str">
        <f t="shared" si="129"/>
        <v>05.07.2026</v>
      </c>
      <c r="B636" s="5">
        <v>43</v>
      </c>
      <c r="C636" s="5" t="s">
        <v>75</v>
      </c>
      <c r="D636" s="3">
        <v>17.5</v>
      </c>
      <c r="E636" s="3">
        <v>17.509620000000002</v>
      </c>
      <c r="F636" s="6">
        <f t="shared" si="117"/>
        <v>9.6200000000017383E-3</v>
      </c>
      <c r="G636" s="6">
        <f t="shared" si="118"/>
        <v>5.4971428571438507E-4</v>
      </c>
      <c r="H636" s="6" t="str">
        <f t="shared" si="119"/>
        <v>🟢 Over-injection</v>
      </c>
      <c r="I636" s="6">
        <f t="shared" si="120"/>
        <v>-9.6200000000017383E-3</v>
      </c>
      <c r="J636" s="3">
        <v>0.5454</v>
      </c>
      <c r="K636" s="6">
        <f t="shared" si="121"/>
        <v>2.625</v>
      </c>
      <c r="L636" s="6">
        <f t="shared" si="122"/>
        <v>3.5</v>
      </c>
      <c r="M636" s="6">
        <f t="shared" si="123"/>
        <v>9.6200000000017383E-3</v>
      </c>
      <c r="N636" s="6">
        <f t="shared" si="124"/>
        <v>0</v>
      </c>
      <c r="O636" s="6">
        <f t="shared" si="125"/>
        <v>0</v>
      </c>
      <c r="P636" s="6">
        <f t="shared" si="126"/>
        <v>-1.0493496000001896</v>
      </c>
      <c r="Q636" s="3">
        <v>-1.0493496000000002</v>
      </c>
      <c r="R636" s="6">
        <f t="shared" si="127"/>
        <v>-1.8940404800105171E-13</v>
      </c>
      <c r="S636" s="6" t="str">
        <f t="shared" si="128"/>
        <v>OK</v>
      </c>
    </row>
    <row r="637" spans="1:19" x14ac:dyDescent="0.25">
      <c r="A637" s="3" t="str">
        <f t="shared" si="129"/>
        <v>05.07.2026</v>
      </c>
      <c r="B637" s="5">
        <v>44</v>
      </c>
      <c r="C637" s="5" t="s">
        <v>74</v>
      </c>
      <c r="D637" s="3">
        <v>17.5</v>
      </c>
      <c r="E637" s="3">
        <v>17.509620000000002</v>
      </c>
      <c r="F637" s="6">
        <f t="shared" si="117"/>
        <v>9.6200000000017383E-3</v>
      </c>
      <c r="G637" s="6">
        <f t="shared" si="118"/>
        <v>5.4971428571438507E-4</v>
      </c>
      <c r="H637" s="6" t="str">
        <f t="shared" si="119"/>
        <v>🟢 Over-injection</v>
      </c>
      <c r="I637" s="6">
        <f t="shared" si="120"/>
        <v>-9.6200000000017383E-3</v>
      </c>
      <c r="J637" s="3">
        <v>0.54810000000000003</v>
      </c>
      <c r="K637" s="6">
        <f t="shared" si="121"/>
        <v>2.625</v>
      </c>
      <c r="L637" s="6">
        <f t="shared" si="122"/>
        <v>3.5</v>
      </c>
      <c r="M637" s="6">
        <f t="shared" si="123"/>
        <v>9.6200000000017383E-3</v>
      </c>
      <c r="N637" s="6">
        <f t="shared" si="124"/>
        <v>0</v>
      </c>
      <c r="O637" s="6">
        <f t="shared" si="125"/>
        <v>0</v>
      </c>
      <c r="P637" s="6">
        <f t="shared" si="126"/>
        <v>-1.0545444000001907</v>
      </c>
      <c r="Q637" s="3">
        <v>-1.0545444000000002</v>
      </c>
      <c r="R637" s="6">
        <f t="shared" si="127"/>
        <v>-1.9051427102567686E-13</v>
      </c>
      <c r="S637" s="6" t="str">
        <f t="shared" si="128"/>
        <v>OK</v>
      </c>
    </row>
    <row r="638" spans="1:19" x14ac:dyDescent="0.25">
      <c r="A638" s="3" t="str">
        <f t="shared" si="129"/>
        <v>05.07.2026</v>
      </c>
      <c r="B638" s="5">
        <v>45</v>
      </c>
      <c r="C638" s="5" t="s">
        <v>73</v>
      </c>
      <c r="D638" s="3">
        <v>17.5</v>
      </c>
      <c r="E638" s="3">
        <v>17.509620000000002</v>
      </c>
      <c r="F638" s="6">
        <f t="shared" si="117"/>
        <v>9.6200000000017383E-3</v>
      </c>
      <c r="G638" s="6">
        <f t="shared" si="118"/>
        <v>5.4971428571438507E-4</v>
      </c>
      <c r="H638" s="6" t="str">
        <f t="shared" si="119"/>
        <v>🟢 Over-injection</v>
      </c>
      <c r="I638" s="6">
        <f t="shared" si="120"/>
        <v>-9.6200000000017383E-3</v>
      </c>
      <c r="J638" s="3">
        <v>0.36990000000000001</v>
      </c>
      <c r="K638" s="6">
        <f t="shared" si="121"/>
        <v>2.625</v>
      </c>
      <c r="L638" s="6">
        <f t="shared" si="122"/>
        <v>3.5</v>
      </c>
      <c r="M638" s="6">
        <f t="shared" si="123"/>
        <v>9.6200000000017383E-3</v>
      </c>
      <c r="N638" s="6">
        <f t="shared" si="124"/>
        <v>0</v>
      </c>
      <c r="O638" s="6">
        <f t="shared" si="125"/>
        <v>0</v>
      </c>
      <c r="P638" s="6">
        <f t="shared" si="126"/>
        <v>-0.71168760000012854</v>
      </c>
      <c r="Q638" s="3">
        <v>-0.71168759999999998</v>
      </c>
      <c r="R638" s="6">
        <f t="shared" si="127"/>
        <v>-1.2856382625159313E-13</v>
      </c>
      <c r="S638" s="6" t="str">
        <f t="shared" si="128"/>
        <v>OK</v>
      </c>
    </row>
    <row r="639" spans="1:19" x14ac:dyDescent="0.25">
      <c r="A639" s="3" t="str">
        <f t="shared" si="129"/>
        <v>05.07.2026</v>
      </c>
      <c r="B639" s="5">
        <v>46</v>
      </c>
      <c r="C639" s="5" t="s">
        <v>72</v>
      </c>
      <c r="D639" s="3">
        <v>17.5</v>
      </c>
      <c r="E639" s="3">
        <v>17.520959999999999</v>
      </c>
      <c r="F639" s="6">
        <f t="shared" si="117"/>
        <v>2.0959999999998757E-2</v>
      </c>
      <c r="G639" s="6">
        <f t="shared" si="118"/>
        <v>1.1977142857142148E-3</v>
      </c>
      <c r="H639" s="6" t="str">
        <f t="shared" si="119"/>
        <v>🟢 Over-injection</v>
      </c>
      <c r="I639" s="6">
        <f t="shared" si="120"/>
        <v>-2.0959999999998757E-2</v>
      </c>
      <c r="J639" s="3">
        <v>0.36920000000000003</v>
      </c>
      <c r="K639" s="6">
        <f t="shared" si="121"/>
        <v>2.625</v>
      </c>
      <c r="L639" s="6">
        <f t="shared" si="122"/>
        <v>3.5</v>
      </c>
      <c r="M639" s="6">
        <f t="shared" si="123"/>
        <v>2.0959999999998757E-2</v>
      </c>
      <c r="N639" s="6">
        <f t="shared" si="124"/>
        <v>0</v>
      </c>
      <c r="O639" s="6">
        <f t="shared" si="125"/>
        <v>0</v>
      </c>
      <c r="P639" s="6">
        <f t="shared" si="126"/>
        <v>-1.5476863999999084</v>
      </c>
      <c r="Q639" s="3">
        <v>-1.5476864000000001</v>
      </c>
      <c r="R639" s="6">
        <f t="shared" si="127"/>
        <v>9.170442183403793E-14</v>
      </c>
      <c r="S639" s="6" t="str">
        <f t="shared" si="128"/>
        <v>OK</v>
      </c>
    </row>
    <row r="640" spans="1:19" x14ac:dyDescent="0.25">
      <c r="A640" s="3" t="str">
        <f t="shared" si="129"/>
        <v>05.07.2026</v>
      </c>
      <c r="B640" s="5">
        <v>47</v>
      </c>
      <c r="C640" s="5" t="s">
        <v>71</v>
      </c>
      <c r="D640" s="3">
        <v>17.5</v>
      </c>
      <c r="E640" s="3">
        <v>17.509620000000002</v>
      </c>
      <c r="F640" s="6">
        <f t="shared" si="117"/>
        <v>9.6200000000017383E-3</v>
      </c>
      <c r="G640" s="6">
        <f t="shared" si="118"/>
        <v>5.4971428571438507E-4</v>
      </c>
      <c r="H640" s="6" t="str">
        <f t="shared" si="119"/>
        <v>🟢 Over-injection</v>
      </c>
      <c r="I640" s="6">
        <f t="shared" si="120"/>
        <v>-9.6200000000017383E-3</v>
      </c>
      <c r="J640" s="3">
        <v>0.29039999999999999</v>
      </c>
      <c r="K640" s="6">
        <f t="shared" si="121"/>
        <v>2.625</v>
      </c>
      <c r="L640" s="6">
        <f t="shared" si="122"/>
        <v>3.5</v>
      </c>
      <c r="M640" s="6">
        <f t="shared" si="123"/>
        <v>9.6200000000017383E-3</v>
      </c>
      <c r="N640" s="6">
        <f t="shared" si="124"/>
        <v>0</v>
      </c>
      <c r="O640" s="6">
        <f t="shared" si="125"/>
        <v>0</v>
      </c>
      <c r="P640" s="6">
        <f t="shared" si="126"/>
        <v>-0.55872960000010097</v>
      </c>
      <c r="Q640" s="3">
        <v>-0.55872959999999994</v>
      </c>
      <c r="R640" s="6">
        <f t="shared" si="127"/>
        <v>-1.0103029524088925E-13</v>
      </c>
      <c r="S640" s="6" t="str">
        <f t="shared" si="128"/>
        <v>OK</v>
      </c>
    </row>
    <row r="641" spans="1:19" x14ac:dyDescent="0.25">
      <c r="A641" s="3" t="str">
        <f t="shared" si="129"/>
        <v>05.07.2026</v>
      </c>
      <c r="B641" s="5">
        <v>48</v>
      </c>
      <c r="C641" s="5" t="s">
        <v>70</v>
      </c>
      <c r="D641" s="3">
        <v>17.5</v>
      </c>
      <c r="E641" s="3">
        <v>17.520959999999999</v>
      </c>
      <c r="F641" s="6">
        <f t="shared" si="117"/>
        <v>2.0959999999998757E-2</v>
      </c>
      <c r="G641" s="6">
        <f t="shared" si="118"/>
        <v>1.1977142857142148E-3</v>
      </c>
      <c r="H641" s="6" t="str">
        <f t="shared" si="119"/>
        <v>🟢 Over-injection</v>
      </c>
      <c r="I641" s="6">
        <f t="shared" si="120"/>
        <v>-2.0959999999998757E-2</v>
      </c>
      <c r="J641" s="3">
        <v>0.29039999999999999</v>
      </c>
      <c r="K641" s="6">
        <f t="shared" si="121"/>
        <v>2.625</v>
      </c>
      <c r="L641" s="6">
        <f t="shared" si="122"/>
        <v>3.5</v>
      </c>
      <c r="M641" s="6">
        <f t="shared" si="123"/>
        <v>2.0959999999998757E-2</v>
      </c>
      <c r="N641" s="6">
        <f t="shared" si="124"/>
        <v>0</v>
      </c>
      <c r="O641" s="6">
        <f t="shared" si="125"/>
        <v>0</v>
      </c>
      <c r="P641" s="6">
        <f t="shared" si="126"/>
        <v>-1.2173567999999277</v>
      </c>
      <c r="Q641" s="3">
        <v>-1.2173567999999999</v>
      </c>
      <c r="R641" s="6">
        <f t="shared" si="127"/>
        <v>7.2164496600635175E-14</v>
      </c>
      <c r="S641" s="6" t="str">
        <f t="shared" si="128"/>
        <v>OK</v>
      </c>
    </row>
    <row r="642" spans="1:19" x14ac:dyDescent="0.25">
      <c r="A642" s="3" t="str">
        <f t="shared" si="129"/>
        <v>05.07.2026</v>
      </c>
      <c r="B642" s="5">
        <v>49</v>
      </c>
      <c r="C642" s="5" t="s">
        <v>69</v>
      </c>
      <c r="D642" s="3">
        <v>17.5</v>
      </c>
      <c r="E642" s="3">
        <v>17.520959999999999</v>
      </c>
      <c r="F642" s="6">
        <f t="shared" si="117"/>
        <v>2.0959999999998757E-2</v>
      </c>
      <c r="G642" s="6">
        <f t="shared" si="118"/>
        <v>1.1977142857142148E-3</v>
      </c>
      <c r="H642" s="6" t="str">
        <f t="shared" si="119"/>
        <v>🟢 Over-injection</v>
      </c>
      <c r="I642" s="6">
        <f t="shared" si="120"/>
        <v>-2.0959999999998757E-2</v>
      </c>
      <c r="J642" s="3">
        <v>0.29309999999999997</v>
      </c>
      <c r="K642" s="6">
        <f t="shared" si="121"/>
        <v>2.625</v>
      </c>
      <c r="L642" s="6">
        <f t="shared" si="122"/>
        <v>3.5</v>
      </c>
      <c r="M642" s="6">
        <f t="shared" si="123"/>
        <v>2.0959999999998757E-2</v>
      </c>
      <c r="N642" s="6">
        <f t="shared" si="124"/>
        <v>0</v>
      </c>
      <c r="O642" s="6">
        <f t="shared" si="125"/>
        <v>0</v>
      </c>
      <c r="P642" s="6">
        <f t="shared" si="126"/>
        <v>-1.228675199999927</v>
      </c>
      <c r="Q642" s="3">
        <v>-1.2286751999999999</v>
      </c>
      <c r="R642" s="6">
        <f t="shared" si="127"/>
        <v>7.2830630415410269E-14</v>
      </c>
      <c r="S642" s="6" t="str">
        <f t="shared" si="128"/>
        <v>OK</v>
      </c>
    </row>
    <row r="643" spans="1:19" x14ac:dyDescent="0.25">
      <c r="A643" s="3" t="str">
        <f t="shared" si="129"/>
        <v>05.07.2026</v>
      </c>
      <c r="B643" s="5">
        <v>50</v>
      </c>
      <c r="C643" s="5" t="s">
        <v>68</v>
      </c>
      <c r="D643" s="3">
        <v>17.5</v>
      </c>
      <c r="E643" s="3">
        <v>17.520959999999999</v>
      </c>
      <c r="F643" s="6">
        <f t="shared" si="117"/>
        <v>2.0959999999998757E-2</v>
      </c>
      <c r="G643" s="6">
        <f t="shared" si="118"/>
        <v>1.1977142857142148E-3</v>
      </c>
      <c r="H643" s="6" t="str">
        <f t="shared" si="119"/>
        <v>🟢 Over-injection</v>
      </c>
      <c r="I643" s="6">
        <f t="shared" si="120"/>
        <v>-2.0959999999998757E-2</v>
      </c>
      <c r="J643" s="3">
        <v>0.251</v>
      </c>
      <c r="K643" s="6">
        <f t="shared" si="121"/>
        <v>2.625</v>
      </c>
      <c r="L643" s="6">
        <f t="shared" si="122"/>
        <v>3.5</v>
      </c>
      <c r="M643" s="6">
        <f t="shared" si="123"/>
        <v>2.0959999999998757E-2</v>
      </c>
      <c r="N643" s="6">
        <f t="shared" si="124"/>
        <v>0</v>
      </c>
      <c r="O643" s="6">
        <f t="shared" si="125"/>
        <v>0</v>
      </c>
      <c r="P643" s="6">
        <f t="shared" si="126"/>
        <v>-1.0521919999999376</v>
      </c>
      <c r="Q643" s="3">
        <v>-1.052192</v>
      </c>
      <c r="R643" s="6">
        <f t="shared" si="127"/>
        <v>6.2394533983933798E-14</v>
      </c>
      <c r="S643" s="6" t="str">
        <f t="shared" si="128"/>
        <v>OK</v>
      </c>
    </row>
    <row r="644" spans="1:19" x14ac:dyDescent="0.25">
      <c r="A644" s="3" t="str">
        <f t="shared" si="129"/>
        <v>05.07.2026</v>
      </c>
      <c r="B644" s="5">
        <v>51</v>
      </c>
      <c r="C644" s="5" t="s">
        <v>67</v>
      </c>
      <c r="D644" s="3">
        <v>16.5</v>
      </c>
      <c r="E644" s="3">
        <v>17.520959999999999</v>
      </c>
      <c r="F644" s="6">
        <f t="shared" si="117"/>
        <v>1.0209599999999988</v>
      </c>
      <c r="G644" s="6">
        <f t="shared" si="118"/>
        <v>6.1876363636363563E-2</v>
      </c>
      <c r="H644" s="6" t="str">
        <f t="shared" si="119"/>
        <v>🟢 Over-injection</v>
      </c>
      <c r="I644" s="6">
        <f t="shared" si="120"/>
        <v>-1.0209599999999988</v>
      </c>
      <c r="J644" s="3">
        <v>0.25059999999999999</v>
      </c>
      <c r="K644" s="6">
        <f t="shared" si="121"/>
        <v>2.4750000000000001</v>
      </c>
      <c r="L644" s="6">
        <f t="shared" si="122"/>
        <v>3.3000000000000003</v>
      </c>
      <c r="M644" s="6">
        <f t="shared" si="123"/>
        <v>1.0209599999999988</v>
      </c>
      <c r="N644" s="6">
        <f t="shared" si="124"/>
        <v>0</v>
      </c>
      <c r="O644" s="6">
        <f t="shared" si="125"/>
        <v>0</v>
      </c>
      <c r="P644" s="6">
        <f t="shared" si="126"/>
        <v>-51.17051519999994</v>
      </c>
      <c r="Q644" s="3">
        <v>-51.170515200000004</v>
      </c>
      <c r="R644" s="6">
        <f t="shared" si="127"/>
        <v>6.3948846218409017E-14</v>
      </c>
      <c r="S644" s="6" t="str">
        <f t="shared" si="128"/>
        <v>OK</v>
      </c>
    </row>
    <row r="645" spans="1:19" x14ac:dyDescent="0.25">
      <c r="A645" s="3" t="str">
        <f t="shared" si="129"/>
        <v>05.07.2026</v>
      </c>
      <c r="B645" s="5">
        <v>52</v>
      </c>
      <c r="C645" s="5" t="s">
        <v>66</v>
      </c>
      <c r="D645" s="3">
        <v>16.5</v>
      </c>
      <c r="E645" s="3">
        <v>17.520959999999999</v>
      </c>
      <c r="F645" s="6">
        <f t="shared" si="117"/>
        <v>1.0209599999999988</v>
      </c>
      <c r="G645" s="6">
        <f t="shared" si="118"/>
        <v>6.1876363636363563E-2</v>
      </c>
      <c r="H645" s="6" t="str">
        <f t="shared" si="119"/>
        <v>🟢 Over-injection</v>
      </c>
      <c r="I645" s="6">
        <f t="shared" si="120"/>
        <v>-1.0209599999999988</v>
      </c>
      <c r="J645" s="3">
        <v>0.2868</v>
      </c>
      <c r="K645" s="6">
        <f t="shared" si="121"/>
        <v>2.4750000000000001</v>
      </c>
      <c r="L645" s="6">
        <f t="shared" si="122"/>
        <v>3.3000000000000003</v>
      </c>
      <c r="M645" s="6">
        <f t="shared" si="123"/>
        <v>1.0209599999999988</v>
      </c>
      <c r="N645" s="6">
        <f t="shared" si="124"/>
        <v>0</v>
      </c>
      <c r="O645" s="6">
        <f t="shared" si="125"/>
        <v>0</v>
      </c>
      <c r="P645" s="6">
        <f t="shared" si="126"/>
        <v>-58.562265599999932</v>
      </c>
      <c r="Q645" s="3">
        <v>-58.562265600000003</v>
      </c>
      <c r="R645" s="6">
        <f t="shared" si="127"/>
        <v>7.1054273576010019E-14</v>
      </c>
      <c r="S645" s="6" t="str">
        <f t="shared" si="128"/>
        <v>OK</v>
      </c>
    </row>
    <row r="646" spans="1:19" x14ac:dyDescent="0.25">
      <c r="A646" s="3" t="str">
        <f t="shared" si="129"/>
        <v>05.07.2026</v>
      </c>
      <c r="B646" s="5">
        <v>53</v>
      </c>
      <c r="C646" s="5" t="s">
        <v>65</v>
      </c>
      <c r="D646" s="3">
        <v>16.5</v>
      </c>
      <c r="E646" s="3">
        <v>17.520959999999999</v>
      </c>
      <c r="F646" s="6">
        <f t="shared" si="117"/>
        <v>1.0209599999999988</v>
      </c>
      <c r="G646" s="6">
        <f t="shared" si="118"/>
        <v>6.1876363636363563E-2</v>
      </c>
      <c r="H646" s="6" t="str">
        <f t="shared" si="119"/>
        <v>🟢 Over-injection</v>
      </c>
      <c r="I646" s="6">
        <f t="shared" si="120"/>
        <v>-1.0209599999999988</v>
      </c>
      <c r="J646" s="3">
        <v>0.24940000000000001</v>
      </c>
      <c r="K646" s="6">
        <f t="shared" si="121"/>
        <v>2.4750000000000001</v>
      </c>
      <c r="L646" s="6">
        <f t="shared" si="122"/>
        <v>3.3000000000000003</v>
      </c>
      <c r="M646" s="6">
        <f t="shared" si="123"/>
        <v>1.0209599999999988</v>
      </c>
      <c r="N646" s="6">
        <f t="shared" si="124"/>
        <v>0</v>
      </c>
      <c r="O646" s="6">
        <f t="shared" si="125"/>
        <v>0</v>
      </c>
      <c r="P646" s="6">
        <f t="shared" si="126"/>
        <v>-50.925484799999943</v>
      </c>
      <c r="Q646" s="3">
        <v>-50.925484800000014</v>
      </c>
      <c r="R646" s="6">
        <f t="shared" si="127"/>
        <v>7.1054273576010019E-14</v>
      </c>
      <c r="S646" s="6" t="str">
        <f t="shared" si="128"/>
        <v>OK</v>
      </c>
    </row>
    <row r="647" spans="1:19" x14ac:dyDescent="0.25">
      <c r="A647" s="3" t="str">
        <f t="shared" si="129"/>
        <v>05.07.2026</v>
      </c>
      <c r="B647" s="5">
        <v>54</v>
      </c>
      <c r="C647" s="5" t="s">
        <v>64</v>
      </c>
      <c r="D647" s="3">
        <v>16.5</v>
      </c>
      <c r="E647" s="3">
        <v>17.532319999999999</v>
      </c>
      <c r="F647" s="6">
        <f t="shared" si="117"/>
        <v>1.0323199999999986</v>
      </c>
      <c r="G647" s="6">
        <f t="shared" si="118"/>
        <v>6.2564848484848404E-2</v>
      </c>
      <c r="H647" s="6" t="str">
        <f t="shared" si="119"/>
        <v>🟢 Over-injection</v>
      </c>
      <c r="I647" s="6">
        <f t="shared" si="120"/>
        <v>-1.0323199999999986</v>
      </c>
      <c r="J647" s="3">
        <v>0.24940000000000001</v>
      </c>
      <c r="K647" s="6">
        <f t="shared" si="121"/>
        <v>2.4750000000000001</v>
      </c>
      <c r="L647" s="6">
        <f t="shared" si="122"/>
        <v>3.3000000000000003</v>
      </c>
      <c r="M647" s="6">
        <f t="shared" si="123"/>
        <v>1.0323199999999986</v>
      </c>
      <c r="N647" s="6">
        <f t="shared" si="124"/>
        <v>0</v>
      </c>
      <c r="O647" s="6">
        <f t="shared" si="125"/>
        <v>0</v>
      </c>
      <c r="P647" s="6">
        <f t="shared" si="126"/>
        <v>-51.492121599999933</v>
      </c>
      <c r="Q647" s="3">
        <v>-51.492121600000004</v>
      </c>
      <c r="R647" s="6">
        <f t="shared" si="127"/>
        <v>7.1054273576010019E-14</v>
      </c>
      <c r="S647" s="6" t="str">
        <f t="shared" si="128"/>
        <v>OK</v>
      </c>
    </row>
    <row r="648" spans="1:19" x14ac:dyDescent="0.25">
      <c r="A648" s="3" t="str">
        <f t="shared" si="129"/>
        <v>05.07.2026</v>
      </c>
      <c r="B648" s="5">
        <v>55</v>
      </c>
      <c r="C648" s="5" t="s">
        <v>63</v>
      </c>
      <c r="D648" s="3">
        <v>16.5</v>
      </c>
      <c r="E648" s="3">
        <v>17.532319999999999</v>
      </c>
      <c r="F648" s="6">
        <f t="shared" si="117"/>
        <v>1.0323199999999986</v>
      </c>
      <c r="G648" s="6">
        <f t="shared" si="118"/>
        <v>6.2564848484848404E-2</v>
      </c>
      <c r="H648" s="6" t="str">
        <f t="shared" si="119"/>
        <v>🟢 Over-injection</v>
      </c>
      <c r="I648" s="6">
        <f t="shared" si="120"/>
        <v>-1.0323199999999986</v>
      </c>
      <c r="J648" s="3">
        <v>0.25030000000000002</v>
      </c>
      <c r="K648" s="6">
        <f t="shared" si="121"/>
        <v>2.4750000000000001</v>
      </c>
      <c r="L648" s="6">
        <f t="shared" si="122"/>
        <v>3.3000000000000003</v>
      </c>
      <c r="M648" s="6">
        <f t="shared" si="123"/>
        <v>1.0323199999999986</v>
      </c>
      <c r="N648" s="6">
        <f t="shared" si="124"/>
        <v>0</v>
      </c>
      <c r="O648" s="6">
        <f t="shared" si="125"/>
        <v>0</v>
      </c>
      <c r="P648" s="6">
        <f t="shared" si="126"/>
        <v>-51.67793919999994</v>
      </c>
      <c r="Q648" s="3">
        <v>-51.677939200000004</v>
      </c>
      <c r="R648" s="6">
        <f t="shared" si="127"/>
        <v>6.3948846218409017E-14</v>
      </c>
      <c r="S648" s="6" t="str">
        <f t="shared" si="128"/>
        <v>OK</v>
      </c>
    </row>
    <row r="649" spans="1:19" x14ac:dyDescent="0.25">
      <c r="A649" s="3" t="str">
        <f t="shared" si="129"/>
        <v>05.07.2026</v>
      </c>
      <c r="B649" s="5">
        <v>56</v>
      </c>
      <c r="C649" s="5" t="s">
        <v>62</v>
      </c>
      <c r="D649" s="3">
        <v>16.5</v>
      </c>
      <c r="E649" s="3">
        <v>17.532319999999999</v>
      </c>
      <c r="F649" s="6">
        <f t="shared" si="117"/>
        <v>1.0323199999999986</v>
      </c>
      <c r="G649" s="6">
        <f t="shared" si="118"/>
        <v>6.2564848484848404E-2</v>
      </c>
      <c r="H649" s="6" t="str">
        <f t="shared" si="119"/>
        <v>🟢 Over-injection</v>
      </c>
      <c r="I649" s="6">
        <f t="shared" si="120"/>
        <v>-1.0323199999999986</v>
      </c>
      <c r="J649" s="3">
        <v>0.25079999999999997</v>
      </c>
      <c r="K649" s="6">
        <f t="shared" si="121"/>
        <v>2.4750000000000001</v>
      </c>
      <c r="L649" s="6">
        <f t="shared" si="122"/>
        <v>3.3000000000000003</v>
      </c>
      <c r="M649" s="6">
        <f t="shared" si="123"/>
        <v>1.0323199999999986</v>
      </c>
      <c r="N649" s="6">
        <f t="shared" si="124"/>
        <v>0</v>
      </c>
      <c r="O649" s="6">
        <f t="shared" si="125"/>
        <v>0</v>
      </c>
      <c r="P649" s="6">
        <f t="shared" si="126"/>
        <v>-51.781171199999925</v>
      </c>
      <c r="Q649" s="3">
        <v>-51.781171199999989</v>
      </c>
      <c r="R649" s="6">
        <f t="shared" si="127"/>
        <v>6.3948846218409017E-14</v>
      </c>
      <c r="S649" s="6" t="str">
        <f t="shared" si="128"/>
        <v>OK</v>
      </c>
    </row>
    <row r="650" spans="1:19" x14ac:dyDescent="0.25">
      <c r="A650" s="3" t="str">
        <f t="shared" si="129"/>
        <v>05.07.2026</v>
      </c>
      <c r="B650" s="5">
        <v>57</v>
      </c>
      <c r="C650" s="5" t="s">
        <v>61</v>
      </c>
      <c r="D650" s="3">
        <v>16.5</v>
      </c>
      <c r="E650" s="3">
        <v>17.543659999999999</v>
      </c>
      <c r="F650" s="6">
        <f t="shared" si="117"/>
        <v>1.0436599999999991</v>
      </c>
      <c r="G650" s="6">
        <f t="shared" si="118"/>
        <v>6.3252121212121162E-2</v>
      </c>
      <c r="H650" s="6" t="str">
        <f t="shared" si="119"/>
        <v>🟢 Over-injection</v>
      </c>
      <c r="I650" s="6">
        <f t="shared" si="120"/>
        <v>-1.0436599999999991</v>
      </c>
      <c r="J650" s="3">
        <v>0.35090000000000005</v>
      </c>
      <c r="K650" s="6">
        <f t="shared" si="121"/>
        <v>2.4750000000000001</v>
      </c>
      <c r="L650" s="6">
        <f t="shared" si="122"/>
        <v>3.3000000000000003</v>
      </c>
      <c r="M650" s="6">
        <f t="shared" si="123"/>
        <v>1.0436599999999991</v>
      </c>
      <c r="N650" s="6">
        <f t="shared" si="124"/>
        <v>0</v>
      </c>
      <c r="O650" s="6">
        <f t="shared" si="125"/>
        <v>0</v>
      </c>
      <c r="P650" s="6">
        <f t="shared" si="126"/>
        <v>-73.244058799999962</v>
      </c>
      <c r="Q650" s="3">
        <v>-73.244058800000005</v>
      </c>
      <c r="R650" s="6">
        <f t="shared" si="127"/>
        <v>0</v>
      </c>
      <c r="S650" s="6" t="str">
        <f t="shared" si="128"/>
        <v>OK</v>
      </c>
    </row>
    <row r="651" spans="1:19" x14ac:dyDescent="0.25">
      <c r="A651" s="3" t="str">
        <f t="shared" si="129"/>
        <v>05.07.2026</v>
      </c>
      <c r="B651" s="5">
        <v>58</v>
      </c>
      <c r="C651" s="5" t="s">
        <v>60</v>
      </c>
      <c r="D651" s="3">
        <v>16.5</v>
      </c>
      <c r="E651" s="3">
        <v>17.57771</v>
      </c>
      <c r="F651" s="6">
        <f t="shared" si="117"/>
        <v>1.0777099999999997</v>
      </c>
      <c r="G651" s="6">
        <f t="shared" si="118"/>
        <v>6.5315757575757555E-2</v>
      </c>
      <c r="H651" s="6" t="str">
        <f t="shared" si="119"/>
        <v>🟢 Over-injection</v>
      </c>
      <c r="I651" s="6">
        <f t="shared" si="120"/>
        <v>-1.0777099999999997</v>
      </c>
      <c r="J651" s="3">
        <v>0.53890000000000005</v>
      </c>
      <c r="K651" s="6">
        <f t="shared" si="121"/>
        <v>2.4750000000000001</v>
      </c>
      <c r="L651" s="6">
        <f t="shared" si="122"/>
        <v>3.3000000000000003</v>
      </c>
      <c r="M651" s="6">
        <f t="shared" si="123"/>
        <v>1.0777099999999997</v>
      </c>
      <c r="N651" s="6">
        <f t="shared" si="124"/>
        <v>0</v>
      </c>
      <c r="O651" s="6">
        <f t="shared" si="125"/>
        <v>0</v>
      </c>
      <c r="P651" s="6">
        <f t="shared" si="126"/>
        <v>-116.15558379999999</v>
      </c>
      <c r="Q651" s="3">
        <v>-116.1555838</v>
      </c>
      <c r="R651" s="6">
        <f t="shared" si="127"/>
        <v>0</v>
      </c>
      <c r="S651" s="6" t="str">
        <f t="shared" si="128"/>
        <v>OK</v>
      </c>
    </row>
    <row r="652" spans="1:19" x14ac:dyDescent="0.25">
      <c r="A652" s="3" t="str">
        <f t="shared" si="129"/>
        <v>05.07.2026</v>
      </c>
      <c r="B652" s="5">
        <v>59</v>
      </c>
      <c r="C652" s="5" t="s">
        <v>59</v>
      </c>
      <c r="D652" s="3">
        <v>16.5</v>
      </c>
      <c r="E652" s="3">
        <v>17.668479999999999</v>
      </c>
      <c r="F652" s="6">
        <f t="shared" si="117"/>
        <v>1.1684799999999989</v>
      </c>
      <c r="G652" s="6">
        <f t="shared" si="118"/>
        <v>7.0816969696969628E-2</v>
      </c>
      <c r="H652" s="6" t="str">
        <f t="shared" si="119"/>
        <v>🟢 Over-injection</v>
      </c>
      <c r="I652" s="6">
        <f t="shared" si="120"/>
        <v>-1.1684799999999989</v>
      </c>
      <c r="J652" s="3">
        <v>0.53700000000000003</v>
      </c>
      <c r="K652" s="6">
        <f t="shared" si="121"/>
        <v>2.4750000000000001</v>
      </c>
      <c r="L652" s="6">
        <f t="shared" si="122"/>
        <v>3.3000000000000003</v>
      </c>
      <c r="M652" s="6">
        <f t="shared" si="123"/>
        <v>1.1684799999999989</v>
      </c>
      <c r="N652" s="6">
        <f t="shared" si="124"/>
        <v>0</v>
      </c>
      <c r="O652" s="6">
        <f t="shared" si="125"/>
        <v>0</v>
      </c>
      <c r="P652" s="6">
        <f t="shared" si="126"/>
        <v>-125.49475199999991</v>
      </c>
      <c r="Q652" s="3">
        <v>-125.49475200000002</v>
      </c>
      <c r="R652" s="6">
        <f t="shared" si="127"/>
        <v>1.1368683772161603E-13</v>
      </c>
      <c r="S652" s="6" t="str">
        <f t="shared" si="128"/>
        <v>OK</v>
      </c>
    </row>
    <row r="653" spans="1:19" x14ac:dyDescent="0.25">
      <c r="A653" s="3" t="str">
        <f t="shared" si="129"/>
        <v>05.07.2026</v>
      </c>
      <c r="B653" s="5">
        <v>60</v>
      </c>
      <c r="C653" s="5" t="s">
        <v>58</v>
      </c>
      <c r="D653" s="3">
        <v>16.5</v>
      </c>
      <c r="E653" s="3">
        <v>17.679839999999999</v>
      </c>
      <c r="F653" s="6">
        <f t="shared" si="117"/>
        <v>1.1798399999999987</v>
      </c>
      <c r="G653" s="6">
        <f t="shared" si="118"/>
        <v>7.1505454545454469E-2</v>
      </c>
      <c r="H653" s="6" t="str">
        <f t="shared" si="119"/>
        <v>🟢 Over-injection</v>
      </c>
      <c r="I653" s="6">
        <f t="shared" si="120"/>
        <v>-1.1798399999999987</v>
      </c>
      <c r="J653" s="3">
        <v>0.5343</v>
      </c>
      <c r="K653" s="6">
        <f t="shared" si="121"/>
        <v>2.4750000000000001</v>
      </c>
      <c r="L653" s="6">
        <f t="shared" si="122"/>
        <v>3.3000000000000003</v>
      </c>
      <c r="M653" s="6">
        <f t="shared" si="123"/>
        <v>1.1798399999999987</v>
      </c>
      <c r="N653" s="6">
        <f t="shared" si="124"/>
        <v>0</v>
      </c>
      <c r="O653" s="6">
        <f t="shared" si="125"/>
        <v>0</v>
      </c>
      <c r="P653" s="6">
        <f t="shared" si="126"/>
        <v>-126.07770239999985</v>
      </c>
      <c r="Q653" s="3">
        <v>-126.07770240000002</v>
      </c>
      <c r="R653" s="6">
        <f t="shared" si="127"/>
        <v>1.7053025658242404E-13</v>
      </c>
      <c r="S653" s="6" t="str">
        <f t="shared" si="128"/>
        <v>OK</v>
      </c>
    </row>
    <row r="654" spans="1:19" x14ac:dyDescent="0.25">
      <c r="A654" s="3" t="str">
        <f t="shared" si="129"/>
        <v>05.07.2026</v>
      </c>
      <c r="B654" s="5">
        <v>61</v>
      </c>
      <c r="C654" s="5" t="s">
        <v>57</v>
      </c>
      <c r="D654" s="3">
        <v>16.5</v>
      </c>
      <c r="E654" s="3">
        <v>17.691179999999999</v>
      </c>
      <c r="F654" s="6">
        <f t="shared" si="117"/>
        <v>1.1911799999999992</v>
      </c>
      <c r="G654" s="6">
        <f t="shared" si="118"/>
        <v>7.2192727272727228E-2</v>
      </c>
      <c r="H654" s="6" t="str">
        <f t="shared" si="119"/>
        <v>🟢 Over-injection</v>
      </c>
      <c r="I654" s="6">
        <f t="shared" si="120"/>
        <v>-1.1911799999999992</v>
      </c>
      <c r="J654" s="3">
        <v>0.90110000000000001</v>
      </c>
      <c r="K654" s="6">
        <f t="shared" si="121"/>
        <v>2.4750000000000001</v>
      </c>
      <c r="L654" s="6">
        <f t="shared" si="122"/>
        <v>3.3000000000000003</v>
      </c>
      <c r="M654" s="6">
        <f t="shared" si="123"/>
        <v>1.1911799999999992</v>
      </c>
      <c r="N654" s="6">
        <f t="shared" si="124"/>
        <v>0</v>
      </c>
      <c r="O654" s="6">
        <f t="shared" si="125"/>
        <v>0</v>
      </c>
      <c r="P654" s="6">
        <f t="shared" si="126"/>
        <v>-214.67445959999986</v>
      </c>
      <c r="Q654" s="3">
        <v>-214.67445960000001</v>
      </c>
      <c r="R654" s="6">
        <f t="shared" si="127"/>
        <v>0</v>
      </c>
      <c r="S654" s="6" t="str">
        <f t="shared" si="128"/>
        <v>OK</v>
      </c>
    </row>
    <row r="655" spans="1:19" x14ac:dyDescent="0.25">
      <c r="A655" s="3" t="str">
        <f t="shared" si="129"/>
        <v>05.07.2026</v>
      </c>
      <c r="B655" s="5">
        <v>62</v>
      </c>
      <c r="C655" s="5" t="s">
        <v>56</v>
      </c>
      <c r="D655" s="3">
        <v>16.5</v>
      </c>
      <c r="E655" s="3">
        <v>17.691179999999999</v>
      </c>
      <c r="F655" s="6">
        <f t="shared" si="117"/>
        <v>1.1911799999999992</v>
      </c>
      <c r="G655" s="6">
        <f t="shared" si="118"/>
        <v>7.2192727272727228E-2</v>
      </c>
      <c r="H655" s="6" t="str">
        <f t="shared" si="119"/>
        <v>🟢 Over-injection</v>
      </c>
      <c r="I655" s="6">
        <f t="shared" si="120"/>
        <v>-1.1911799999999992</v>
      </c>
      <c r="J655" s="3">
        <v>1.0246999999999999</v>
      </c>
      <c r="K655" s="6">
        <f t="shared" si="121"/>
        <v>2.4750000000000001</v>
      </c>
      <c r="L655" s="6">
        <f t="shared" si="122"/>
        <v>3.3000000000000003</v>
      </c>
      <c r="M655" s="6">
        <f t="shared" si="123"/>
        <v>1.1911799999999992</v>
      </c>
      <c r="N655" s="6">
        <f t="shared" si="124"/>
        <v>0</v>
      </c>
      <c r="O655" s="6">
        <f t="shared" si="125"/>
        <v>0</v>
      </c>
      <c r="P655" s="6">
        <f t="shared" si="126"/>
        <v>-244.12042919999985</v>
      </c>
      <c r="Q655" s="3">
        <v>-244.12042919999999</v>
      </c>
      <c r="R655" s="6">
        <f t="shared" si="127"/>
        <v>0</v>
      </c>
      <c r="S655" s="6" t="str">
        <f t="shared" si="128"/>
        <v>OK</v>
      </c>
    </row>
    <row r="656" spans="1:19" x14ac:dyDescent="0.25">
      <c r="A656" s="3" t="str">
        <f t="shared" si="129"/>
        <v>05.07.2026</v>
      </c>
      <c r="B656" s="5">
        <v>63</v>
      </c>
      <c r="C656" s="5" t="s">
        <v>55</v>
      </c>
      <c r="D656" s="3">
        <v>16.5</v>
      </c>
      <c r="E656" s="3">
        <v>17.702529999999999</v>
      </c>
      <c r="F656" s="6">
        <f t="shared" si="117"/>
        <v>1.2025299999999994</v>
      </c>
      <c r="G656" s="6">
        <f t="shared" si="118"/>
        <v>7.2880606060606021E-2</v>
      </c>
      <c r="H656" s="6" t="str">
        <f t="shared" si="119"/>
        <v>🟢 Over-injection</v>
      </c>
      <c r="I656" s="6">
        <f t="shared" si="120"/>
        <v>-1.2025299999999994</v>
      </c>
      <c r="J656" s="3">
        <v>0.92790000000000006</v>
      </c>
      <c r="K656" s="6">
        <f t="shared" si="121"/>
        <v>2.4750000000000001</v>
      </c>
      <c r="L656" s="6">
        <f t="shared" si="122"/>
        <v>3.3000000000000003</v>
      </c>
      <c r="M656" s="6">
        <f t="shared" si="123"/>
        <v>1.2025299999999994</v>
      </c>
      <c r="N656" s="6">
        <f t="shared" si="124"/>
        <v>0</v>
      </c>
      <c r="O656" s="6">
        <f t="shared" si="125"/>
        <v>0</v>
      </c>
      <c r="P656" s="6">
        <f t="shared" si="126"/>
        <v>-223.16551739999991</v>
      </c>
      <c r="Q656" s="3">
        <v>-223.16551740000003</v>
      </c>
      <c r="R656" s="6">
        <f t="shared" si="127"/>
        <v>0</v>
      </c>
      <c r="S656" s="6" t="str">
        <f t="shared" si="128"/>
        <v>OK</v>
      </c>
    </row>
    <row r="657" spans="1:19" x14ac:dyDescent="0.25">
      <c r="A657" s="3" t="str">
        <f t="shared" si="129"/>
        <v>05.07.2026</v>
      </c>
      <c r="B657" s="5">
        <v>64</v>
      </c>
      <c r="C657" s="5" t="s">
        <v>54</v>
      </c>
      <c r="D657" s="3">
        <v>16.5</v>
      </c>
      <c r="E657" s="3">
        <v>17.71388</v>
      </c>
      <c r="F657" s="6">
        <f t="shared" si="117"/>
        <v>1.2138799999999996</v>
      </c>
      <c r="G657" s="6">
        <f t="shared" si="118"/>
        <v>7.3568484848484827E-2</v>
      </c>
      <c r="H657" s="6" t="str">
        <f t="shared" si="119"/>
        <v>🟢 Over-injection</v>
      </c>
      <c r="I657" s="6">
        <f t="shared" si="120"/>
        <v>-1.2138799999999996</v>
      </c>
      <c r="J657" s="3">
        <v>0.93299999999999994</v>
      </c>
      <c r="K657" s="6">
        <f t="shared" si="121"/>
        <v>2.4750000000000001</v>
      </c>
      <c r="L657" s="6">
        <f t="shared" si="122"/>
        <v>3.3000000000000003</v>
      </c>
      <c r="M657" s="6">
        <f t="shared" si="123"/>
        <v>1.2138799999999996</v>
      </c>
      <c r="N657" s="6">
        <f t="shared" si="124"/>
        <v>0</v>
      </c>
      <c r="O657" s="6">
        <f t="shared" si="125"/>
        <v>0</v>
      </c>
      <c r="P657" s="6">
        <f t="shared" si="126"/>
        <v>-226.51000799999994</v>
      </c>
      <c r="Q657" s="3">
        <v>-226.51000799999997</v>
      </c>
      <c r="R657" s="6">
        <f t="shared" si="127"/>
        <v>0</v>
      </c>
      <c r="S657" s="6" t="str">
        <f t="shared" si="128"/>
        <v>OK</v>
      </c>
    </row>
    <row r="658" spans="1:19" x14ac:dyDescent="0.25">
      <c r="A658" s="3" t="str">
        <f t="shared" si="129"/>
        <v>05.07.2026</v>
      </c>
      <c r="B658" s="5">
        <v>65</v>
      </c>
      <c r="C658" s="5" t="s">
        <v>53</v>
      </c>
      <c r="D658" s="3">
        <v>16.5</v>
      </c>
      <c r="E658" s="3">
        <v>19.257180000000002</v>
      </c>
      <c r="F658" s="6">
        <f t="shared" ref="F658:F689" si="130">E658-D658</f>
        <v>2.7571800000000017</v>
      </c>
      <c r="G658" s="6">
        <f t="shared" ref="G658:G689" si="131">IF(D658=0,0,F658/D658)</f>
        <v>0.1671018181818183</v>
      </c>
      <c r="H658" s="6" t="str">
        <f t="shared" ref="H658:H689" si="132">IF(E658&gt;D658,"🟢 Over-injection",IF(E658&lt;D658,"🔴 Under-injection","⚪ Nil"))</f>
        <v>🟢 Over-injection</v>
      </c>
      <c r="I658" s="6">
        <f t="shared" ref="I658:I689" si="133">-F658</f>
        <v>-2.7571800000000017</v>
      </c>
      <c r="J658" s="3">
        <v>1.3537000000000001</v>
      </c>
      <c r="K658" s="6">
        <f t="shared" ref="K658:K689" si="134">MIN(ABS(D658)*$B$7,$B$8)</f>
        <v>2.4750000000000001</v>
      </c>
      <c r="L658" s="6">
        <f t="shared" ref="L658:L689" si="135">MIN(ABS(D658)*$B$9,$B$10)</f>
        <v>3.3000000000000003</v>
      </c>
      <c r="M658" s="6">
        <f t="shared" ref="M658:M689" si="136">MIN(ABS(F658),K658)</f>
        <v>2.4750000000000001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-670.08150000000012</v>
      </c>
      <c r="Q658" s="3">
        <v>-670.08150000000012</v>
      </c>
      <c r="R658" s="6">
        <f t="shared" ref="R658:R689" si="140">P658-Q658</f>
        <v>0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05.07.2026</v>
      </c>
      <c r="B659" s="5">
        <v>66</v>
      </c>
      <c r="C659" s="5" t="s">
        <v>52</v>
      </c>
      <c r="D659" s="3">
        <v>16.5</v>
      </c>
      <c r="E659" s="3">
        <v>19.722429999999999</v>
      </c>
      <c r="F659" s="6">
        <f t="shared" si="130"/>
        <v>3.2224299999999992</v>
      </c>
      <c r="G659" s="6">
        <f t="shared" si="131"/>
        <v>0.19529878787878782</v>
      </c>
      <c r="H659" s="6" t="str">
        <f t="shared" si="132"/>
        <v>🟢 Over-injection</v>
      </c>
      <c r="I659" s="6">
        <f t="shared" si="133"/>
        <v>-3.2224299999999992</v>
      </c>
      <c r="J659" s="3">
        <v>1.3268</v>
      </c>
      <c r="K659" s="6">
        <f t="shared" si="134"/>
        <v>2.4750000000000001</v>
      </c>
      <c r="L659" s="6">
        <f t="shared" si="135"/>
        <v>3.3000000000000003</v>
      </c>
      <c r="M659" s="6">
        <f t="shared" si="136"/>
        <v>2.4750000000000001</v>
      </c>
      <c r="N659" s="6">
        <f t="shared" si="137"/>
        <v>0</v>
      </c>
      <c r="O659" s="6">
        <f t="shared" si="138"/>
        <v>0</v>
      </c>
      <c r="P659" s="6">
        <f t="shared" si="139"/>
        <v>-656.76600000000008</v>
      </c>
      <c r="Q659" s="3">
        <v>-656.76599999999996</v>
      </c>
      <c r="R659" s="6">
        <f t="shared" si="140"/>
        <v>0</v>
      </c>
      <c r="S659" s="6" t="str">
        <f t="shared" si="141"/>
        <v>OK</v>
      </c>
    </row>
    <row r="660" spans="1:19" x14ac:dyDescent="0.25">
      <c r="A660" s="3" t="str">
        <f t="shared" ref="A660:A689" si="142">A659</f>
        <v>05.07.2026</v>
      </c>
      <c r="B660" s="5">
        <v>67</v>
      </c>
      <c r="C660" s="5" t="s">
        <v>51</v>
      </c>
      <c r="D660" s="3">
        <v>16.5</v>
      </c>
      <c r="E660" s="3">
        <v>19.733789999999999</v>
      </c>
      <c r="F660" s="6">
        <f t="shared" si="130"/>
        <v>3.2337899999999991</v>
      </c>
      <c r="G660" s="6">
        <f t="shared" si="131"/>
        <v>0.19598727272727268</v>
      </c>
      <c r="H660" s="6" t="str">
        <f t="shared" si="132"/>
        <v>🟢 Over-injection</v>
      </c>
      <c r="I660" s="6">
        <f t="shared" si="133"/>
        <v>-3.2337899999999991</v>
      </c>
      <c r="J660" s="3">
        <v>1.3621000000000001</v>
      </c>
      <c r="K660" s="6">
        <f t="shared" si="134"/>
        <v>2.4750000000000001</v>
      </c>
      <c r="L660" s="6">
        <f t="shared" si="135"/>
        <v>3.3000000000000003</v>
      </c>
      <c r="M660" s="6">
        <f t="shared" si="136"/>
        <v>2.4750000000000001</v>
      </c>
      <c r="N660" s="6">
        <f t="shared" si="137"/>
        <v>0</v>
      </c>
      <c r="O660" s="6">
        <f t="shared" si="138"/>
        <v>0</v>
      </c>
      <c r="P660" s="6">
        <f t="shared" si="139"/>
        <v>-674.23950000000013</v>
      </c>
      <c r="Q660" s="3">
        <v>-674.23950000000013</v>
      </c>
      <c r="R660" s="6">
        <f t="shared" si="140"/>
        <v>0</v>
      </c>
      <c r="S660" s="6" t="str">
        <f t="shared" si="141"/>
        <v>OK</v>
      </c>
    </row>
    <row r="661" spans="1:19" x14ac:dyDescent="0.25">
      <c r="A661" s="3" t="str">
        <f t="shared" si="142"/>
        <v>05.07.2026</v>
      </c>
      <c r="B661" s="5">
        <v>68</v>
      </c>
      <c r="C661" s="5" t="s">
        <v>50</v>
      </c>
      <c r="D661" s="3">
        <v>16.5</v>
      </c>
      <c r="E661" s="3">
        <v>19.75648</v>
      </c>
      <c r="F661" s="6">
        <f t="shared" si="130"/>
        <v>3.2564799999999998</v>
      </c>
      <c r="G661" s="6">
        <f t="shared" si="131"/>
        <v>0.19736242424242423</v>
      </c>
      <c r="H661" s="6" t="str">
        <f t="shared" si="132"/>
        <v>🟢 Over-injection</v>
      </c>
      <c r="I661" s="6">
        <f t="shared" si="133"/>
        <v>-3.2564799999999998</v>
      </c>
      <c r="J661" s="3">
        <v>1.3634999999999999</v>
      </c>
      <c r="K661" s="6">
        <f t="shared" si="134"/>
        <v>2.4750000000000001</v>
      </c>
      <c r="L661" s="6">
        <f t="shared" si="135"/>
        <v>3.3000000000000003</v>
      </c>
      <c r="M661" s="6">
        <f t="shared" si="136"/>
        <v>2.4750000000000001</v>
      </c>
      <c r="N661" s="6">
        <f t="shared" si="137"/>
        <v>0</v>
      </c>
      <c r="O661" s="6">
        <f t="shared" si="138"/>
        <v>0</v>
      </c>
      <c r="P661" s="6">
        <f t="shared" si="139"/>
        <v>-674.9325</v>
      </c>
      <c r="Q661" s="3">
        <v>-674.9325</v>
      </c>
      <c r="R661" s="6">
        <f t="shared" si="140"/>
        <v>0</v>
      </c>
      <c r="S661" s="6" t="str">
        <f t="shared" si="141"/>
        <v>OK</v>
      </c>
    </row>
    <row r="662" spans="1:19" x14ac:dyDescent="0.25">
      <c r="A662" s="3" t="str">
        <f t="shared" si="142"/>
        <v>05.07.2026</v>
      </c>
      <c r="B662" s="5">
        <v>69</v>
      </c>
      <c r="C662" s="5" t="s">
        <v>49</v>
      </c>
      <c r="D662" s="3">
        <v>16.5</v>
      </c>
      <c r="E662" s="3">
        <v>19.74513</v>
      </c>
      <c r="F662" s="6">
        <f t="shared" si="130"/>
        <v>3.2451299999999996</v>
      </c>
      <c r="G662" s="6">
        <f t="shared" si="131"/>
        <v>0.19667454545454544</v>
      </c>
      <c r="H662" s="6" t="str">
        <f t="shared" si="132"/>
        <v>🟢 Over-injection</v>
      </c>
      <c r="I662" s="6">
        <f t="shared" si="133"/>
        <v>-3.2451299999999996</v>
      </c>
      <c r="J662" s="3">
        <v>1.1274</v>
      </c>
      <c r="K662" s="6">
        <f t="shared" si="134"/>
        <v>2.4750000000000001</v>
      </c>
      <c r="L662" s="6">
        <f t="shared" si="135"/>
        <v>3.3000000000000003</v>
      </c>
      <c r="M662" s="6">
        <f t="shared" si="136"/>
        <v>2.4750000000000001</v>
      </c>
      <c r="N662" s="6">
        <f t="shared" si="137"/>
        <v>0</v>
      </c>
      <c r="O662" s="6">
        <f t="shared" si="138"/>
        <v>0</v>
      </c>
      <c r="P662" s="6">
        <f t="shared" si="139"/>
        <v>-558.0630000000001</v>
      </c>
      <c r="Q662" s="3">
        <v>-558.0630000000001</v>
      </c>
      <c r="R662" s="6">
        <f t="shared" si="140"/>
        <v>0</v>
      </c>
      <c r="S662" s="6" t="str">
        <f t="shared" si="141"/>
        <v>OK</v>
      </c>
    </row>
    <row r="663" spans="1:19" x14ac:dyDescent="0.25">
      <c r="A663" s="3" t="str">
        <f t="shared" si="142"/>
        <v>05.07.2026</v>
      </c>
      <c r="B663" s="5">
        <v>70</v>
      </c>
      <c r="C663" s="5" t="s">
        <v>48</v>
      </c>
      <c r="D663" s="3">
        <v>16.5</v>
      </c>
      <c r="E663" s="3">
        <v>19.733789999999999</v>
      </c>
      <c r="F663" s="6">
        <f t="shared" si="130"/>
        <v>3.2337899999999991</v>
      </c>
      <c r="G663" s="6">
        <f t="shared" si="131"/>
        <v>0.19598727272727268</v>
      </c>
      <c r="H663" s="6" t="str">
        <f t="shared" si="132"/>
        <v>🟢 Over-injection</v>
      </c>
      <c r="I663" s="6">
        <f t="shared" si="133"/>
        <v>-3.2337899999999991</v>
      </c>
      <c r="J663" s="3">
        <v>1.147</v>
      </c>
      <c r="K663" s="6">
        <f t="shared" si="134"/>
        <v>2.4750000000000001</v>
      </c>
      <c r="L663" s="6">
        <f t="shared" si="135"/>
        <v>3.3000000000000003</v>
      </c>
      <c r="M663" s="6">
        <f t="shared" si="136"/>
        <v>2.4750000000000001</v>
      </c>
      <c r="N663" s="6">
        <f t="shared" si="137"/>
        <v>0</v>
      </c>
      <c r="O663" s="6">
        <f t="shared" si="138"/>
        <v>0</v>
      </c>
      <c r="P663" s="6">
        <f t="shared" si="139"/>
        <v>-567.7650000000001</v>
      </c>
      <c r="Q663" s="3">
        <v>-567.7650000000001</v>
      </c>
      <c r="R663" s="6">
        <f t="shared" si="140"/>
        <v>0</v>
      </c>
      <c r="S663" s="6" t="str">
        <f t="shared" si="141"/>
        <v>OK</v>
      </c>
    </row>
    <row r="664" spans="1:19" x14ac:dyDescent="0.25">
      <c r="A664" s="3" t="str">
        <f t="shared" si="142"/>
        <v>05.07.2026</v>
      </c>
      <c r="B664" s="5">
        <v>71</v>
      </c>
      <c r="C664" s="5" t="s">
        <v>47</v>
      </c>
      <c r="D664" s="3">
        <v>16.5</v>
      </c>
      <c r="E664" s="3">
        <v>21.33381</v>
      </c>
      <c r="F664" s="6">
        <f t="shared" si="130"/>
        <v>4.8338099999999997</v>
      </c>
      <c r="G664" s="6">
        <f t="shared" si="131"/>
        <v>0.29295818181818178</v>
      </c>
      <c r="H664" s="6" t="str">
        <f t="shared" si="132"/>
        <v>🟢 Over-injection</v>
      </c>
      <c r="I664" s="6">
        <f t="shared" si="133"/>
        <v>-4.8338099999999997</v>
      </c>
      <c r="J664" s="3">
        <v>1.1254</v>
      </c>
      <c r="K664" s="6">
        <f t="shared" si="134"/>
        <v>2.4750000000000001</v>
      </c>
      <c r="L664" s="6">
        <f t="shared" si="135"/>
        <v>3.3000000000000003</v>
      </c>
      <c r="M664" s="6">
        <f t="shared" si="136"/>
        <v>2.4750000000000001</v>
      </c>
      <c r="N664" s="6">
        <f t="shared" si="137"/>
        <v>0</v>
      </c>
      <c r="O664" s="6">
        <f t="shared" si="138"/>
        <v>0</v>
      </c>
      <c r="P664" s="6">
        <f t="shared" si="139"/>
        <v>-557.07300000000009</v>
      </c>
      <c r="Q664" s="3">
        <v>-557.07300000000009</v>
      </c>
      <c r="R664" s="6">
        <f t="shared" si="140"/>
        <v>0</v>
      </c>
      <c r="S664" s="6" t="str">
        <f t="shared" si="141"/>
        <v>OK</v>
      </c>
    </row>
    <row r="665" spans="1:19" x14ac:dyDescent="0.25">
      <c r="A665" s="3" t="str">
        <f t="shared" si="142"/>
        <v>05.07.2026</v>
      </c>
      <c r="B665" s="5">
        <v>72</v>
      </c>
      <c r="C665" s="5" t="s">
        <v>46</v>
      </c>
      <c r="D665" s="3">
        <v>16.5</v>
      </c>
      <c r="E665" s="3">
        <v>21.674250000000001</v>
      </c>
      <c r="F665" s="6">
        <f t="shared" si="130"/>
        <v>5.1742500000000007</v>
      </c>
      <c r="G665" s="6">
        <f t="shared" si="131"/>
        <v>0.31359090909090914</v>
      </c>
      <c r="H665" s="6" t="str">
        <f t="shared" si="132"/>
        <v>🟢 Over-injection</v>
      </c>
      <c r="I665" s="6">
        <f t="shared" si="133"/>
        <v>-5.1742500000000007</v>
      </c>
      <c r="J665" s="3">
        <v>1.4187000000000001</v>
      </c>
      <c r="K665" s="6">
        <f t="shared" si="134"/>
        <v>2.4750000000000001</v>
      </c>
      <c r="L665" s="6">
        <f t="shared" si="135"/>
        <v>3.3000000000000003</v>
      </c>
      <c r="M665" s="6">
        <f t="shared" si="136"/>
        <v>2.4750000000000001</v>
      </c>
      <c r="N665" s="6">
        <f t="shared" si="137"/>
        <v>0</v>
      </c>
      <c r="O665" s="6">
        <f t="shared" si="138"/>
        <v>0</v>
      </c>
      <c r="P665" s="6">
        <f t="shared" si="139"/>
        <v>-702.25650000000007</v>
      </c>
      <c r="Q665" s="3">
        <v>-702.25650000000019</v>
      </c>
      <c r="R665" s="6">
        <f t="shared" si="140"/>
        <v>0</v>
      </c>
      <c r="S665" s="6" t="str">
        <f t="shared" si="141"/>
        <v>OK</v>
      </c>
    </row>
    <row r="666" spans="1:19" x14ac:dyDescent="0.25">
      <c r="A666" s="3" t="str">
        <f t="shared" si="142"/>
        <v>05.07.2026</v>
      </c>
      <c r="B666" s="5">
        <v>73</v>
      </c>
      <c r="C666" s="5" t="s">
        <v>45</v>
      </c>
      <c r="D666" s="3">
        <v>21.5</v>
      </c>
      <c r="E666" s="3">
        <v>21.65156</v>
      </c>
      <c r="F666" s="6">
        <f t="shared" si="130"/>
        <v>0.15155999999999992</v>
      </c>
      <c r="G666" s="6">
        <f t="shared" si="131"/>
        <v>7.0493023255813912E-3</v>
      </c>
      <c r="H666" s="6" t="str">
        <f t="shared" si="132"/>
        <v>🟢 Over-injection</v>
      </c>
      <c r="I666" s="6">
        <f t="shared" si="133"/>
        <v>-0.15155999999999992</v>
      </c>
      <c r="J666" s="3">
        <v>2.0434999999999999</v>
      </c>
      <c r="K666" s="6">
        <f t="shared" si="134"/>
        <v>3.2250000000000001</v>
      </c>
      <c r="L666" s="6">
        <f t="shared" si="135"/>
        <v>4.3</v>
      </c>
      <c r="M666" s="6">
        <f t="shared" si="136"/>
        <v>0.15155999999999992</v>
      </c>
      <c r="N666" s="6">
        <f t="shared" si="137"/>
        <v>0</v>
      </c>
      <c r="O666" s="6">
        <f t="shared" si="138"/>
        <v>0</v>
      </c>
      <c r="P666" s="6">
        <f t="shared" si="139"/>
        <v>-61.94257199999997</v>
      </c>
      <c r="Q666" s="3">
        <v>-61.942571999999998</v>
      </c>
      <c r="R666" s="6">
        <f t="shared" si="140"/>
        <v>0</v>
      </c>
      <c r="S666" s="6" t="str">
        <f t="shared" si="141"/>
        <v>OK</v>
      </c>
    </row>
    <row r="667" spans="1:19" x14ac:dyDescent="0.25">
      <c r="A667" s="3" t="str">
        <f t="shared" si="142"/>
        <v>05.07.2026</v>
      </c>
      <c r="B667" s="5">
        <v>74</v>
      </c>
      <c r="C667" s="5" t="s">
        <v>44</v>
      </c>
      <c r="D667" s="3">
        <v>21.5</v>
      </c>
      <c r="E667" s="3">
        <v>21.65156</v>
      </c>
      <c r="F667" s="6">
        <f t="shared" si="130"/>
        <v>0.15155999999999992</v>
      </c>
      <c r="G667" s="6">
        <f t="shared" si="131"/>
        <v>7.0493023255813912E-3</v>
      </c>
      <c r="H667" s="6" t="str">
        <f t="shared" si="132"/>
        <v>🟢 Over-injection</v>
      </c>
      <c r="I667" s="6">
        <f t="shared" si="133"/>
        <v>-0.15155999999999992</v>
      </c>
      <c r="J667" s="3">
        <v>2.3691</v>
      </c>
      <c r="K667" s="6">
        <f t="shared" si="134"/>
        <v>3.2250000000000001</v>
      </c>
      <c r="L667" s="6">
        <f t="shared" si="135"/>
        <v>4.3</v>
      </c>
      <c r="M667" s="6">
        <f t="shared" si="136"/>
        <v>0.15155999999999992</v>
      </c>
      <c r="N667" s="6">
        <f t="shared" si="137"/>
        <v>0</v>
      </c>
      <c r="O667" s="6">
        <f t="shared" si="138"/>
        <v>0</v>
      </c>
      <c r="P667" s="6">
        <f t="shared" si="139"/>
        <v>-71.812159199999968</v>
      </c>
      <c r="Q667" s="3">
        <v>-71.812159199999996</v>
      </c>
      <c r="R667" s="6">
        <f t="shared" si="140"/>
        <v>0</v>
      </c>
      <c r="S667" s="6" t="str">
        <f t="shared" si="141"/>
        <v>OK</v>
      </c>
    </row>
    <row r="668" spans="1:19" x14ac:dyDescent="0.25">
      <c r="A668" s="3" t="str">
        <f t="shared" si="142"/>
        <v>05.07.2026</v>
      </c>
      <c r="B668" s="5">
        <v>75</v>
      </c>
      <c r="C668" s="5" t="s">
        <v>43</v>
      </c>
      <c r="D668" s="3">
        <v>21.5</v>
      </c>
      <c r="E668" s="3">
        <v>21.65156</v>
      </c>
      <c r="F668" s="6">
        <f t="shared" si="130"/>
        <v>0.15155999999999992</v>
      </c>
      <c r="G668" s="6">
        <f t="shared" si="131"/>
        <v>7.0493023255813912E-3</v>
      </c>
      <c r="H668" s="6" t="str">
        <f t="shared" si="132"/>
        <v>🟢 Over-injection</v>
      </c>
      <c r="I668" s="6">
        <f t="shared" si="133"/>
        <v>-0.15155999999999992</v>
      </c>
      <c r="J668" s="3">
        <v>2.3780000000000001</v>
      </c>
      <c r="K668" s="6">
        <f t="shared" si="134"/>
        <v>3.2250000000000001</v>
      </c>
      <c r="L668" s="6">
        <f t="shared" si="135"/>
        <v>4.3</v>
      </c>
      <c r="M668" s="6">
        <f t="shared" si="136"/>
        <v>0.15155999999999992</v>
      </c>
      <c r="N668" s="6">
        <f t="shared" si="137"/>
        <v>0</v>
      </c>
      <c r="O668" s="6">
        <f t="shared" si="138"/>
        <v>0</v>
      </c>
      <c r="P668" s="6">
        <f t="shared" si="139"/>
        <v>-72.08193599999997</v>
      </c>
      <c r="Q668" s="3">
        <v>-72.081935999999999</v>
      </c>
      <c r="R668" s="6">
        <f t="shared" si="140"/>
        <v>0</v>
      </c>
      <c r="S668" s="6" t="str">
        <f t="shared" si="141"/>
        <v>OK</v>
      </c>
    </row>
    <row r="669" spans="1:19" x14ac:dyDescent="0.25">
      <c r="A669" s="3" t="str">
        <f t="shared" si="142"/>
        <v>05.07.2026</v>
      </c>
      <c r="B669" s="5">
        <v>76</v>
      </c>
      <c r="C669" s="5" t="s">
        <v>42</v>
      </c>
      <c r="D669" s="3">
        <v>21.5</v>
      </c>
      <c r="E669" s="3">
        <v>21.64021</v>
      </c>
      <c r="F669" s="6">
        <f t="shared" si="130"/>
        <v>0.14020999999999972</v>
      </c>
      <c r="G669" s="6">
        <f t="shared" si="131"/>
        <v>6.5213953488371963E-3</v>
      </c>
      <c r="H669" s="6" t="str">
        <f t="shared" si="132"/>
        <v>🟢 Over-injection</v>
      </c>
      <c r="I669" s="6">
        <f t="shared" si="133"/>
        <v>-0.14020999999999972</v>
      </c>
      <c r="J669" s="3">
        <v>2.4011</v>
      </c>
      <c r="K669" s="6">
        <f t="shared" si="134"/>
        <v>3.2250000000000001</v>
      </c>
      <c r="L669" s="6">
        <f t="shared" si="135"/>
        <v>4.3</v>
      </c>
      <c r="M669" s="6">
        <f t="shared" si="136"/>
        <v>0.14020999999999972</v>
      </c>
      <c r="N669" s="6">
        <f t="shared" si="137"/>
        <v>0</v>
      </c>
      <c r="O669" s="6">
        <f t="shared" si="138"/>
        <v>0</v>
      </c>
      <c r="P669" s="6">
        <f t="shared" si="139"/>
        <v>-67.331646199999867</v>
      </c>
      <c r="Q669" s="3">
        <v>-67.331646200000009</v>
      </c>
      <c r="R669" s="6">
        <f t="shared" si="140"/>
        <v>1.4210854715202004E-13</v>
      </c>
      <c r="S669" s="6" t="str">
        <f t="shared" si="141"/>
        <v>OK</v>
      </c>
    </row>
    <row r="670" spans="1:19" x14ac:dyDescent="0.25">
      <c r="A670" s="3" t="str">
        <f t="shared" si="142"/>
        <v>05.07.2026</v>
      </c>
      <c r="B670" s="5">
        <v>77</v>
      </c>
      <c r="C670" s="5" t="s">
        <v>41</v>
      </c>
      <c r="D670" s="3">
        <v>25</v>
      </c>
      <c r="E670" s="3">
        <v>24.28424</v>
      </c>
      <c r="F670" s="6">
        <f t="shared" si="130"/>
        <v>-0.71575999999999951</v>
      </c>
      <c r="G670" s="6">
        <f t="shared" si="131"/>
        <v>-2.8630399999999979E-2</v>
      </c>
      <c r="H670" s="6" t="str">
        <f t="shared" si="132"/>
        <v>🔴 Under-injection</v>
      </c>
      <c r="I670" s="6">
        <f t="shared" si="133"/>
        <v>0.71575999999999951</v>
      </c>
      <c r="J670" s="3">
        <v>3.0622000000000003</v>
      </c>
      <c r="K670" s="6">
        <f t="shared" si="134"/>
        <v>3.75</v>
      </c>
      <c r="L670" s="6">
        <f t="shared" si="135"/>
        <v>5</v>
      </c>
      <c r="M670" s="6">
        <f t="shared" si="136"/>
        <v>0.71575999999999951</v>
      </c>
      <c r="N670" s="6">
        <f t="shared" si="137"/>
        <v>0</v>
      </c>
      <c r="O670" s="6">
        <f t="shared" si="138"/>
        <v>0</v>
      </c>
      <c r="P670" s="6">
        <f t="shared" si="139"/>
        <v>575.34757139999965</v>
      </c>
      <c r="Q670" s="3">
        <v>575.34757139999999</v>
      </c>
      <c r="R670" s="6">
        <f t="shared" si="140"/>
        <v>0</v>
      </c>
      <c r="S670" s="6" t="str">
        <f t="shared" si="141"/>
        <v>OK</v>
      </c>
    </row>
    <row r="671" spans="1:19" x14ac:dyDescent="0.25">
      <c r="A671" s="3" t="str">
        <f t="shared" si="142"/>
        <v>05.07.2026</v>
      </c>
      <c r="B671" s="5">
        <v>78</v>
      </c>
      <c r="C671" s="5" t="s">
        <v>40</v>
      </c>
      <c r="D671" s="3">
        <v>25</v>
      </c>
      <c r="E671" s="3">
        <v>25.203410000000002</v>
      </c>
      <c r="F671" s="6">
        <f t="shared" si="130"/>
        <v>0.20341000000000165</v>
      </c>
      <c r="G671" s="6">
        <f t="shared" si="131"/>
        <v>8.1364000000000661E-3</v>
      </c>
      <c r="H671" s="6" t="str">
        <f t="shared" si="132"/>
        <v>🟢 Over-injection</v>
      </c>
      <c r="I671" s="6">
        <f t="shared" si="133"/>
        <v>-0.20341000000000165</v>
      </c>
      <c r="J671" s="3">
        <v>3.0758999999999999</v>
      </c>
      <c r="K671" s="6">
        <f t="shared" si="134"/>
        <v>3.75</v>
      </c>
      <c r="L671" s="6">
        <f t="shared" si="135"/>
        <v>5</v>
      </c>
      <c r="M671" s="6">
        <f t="shared" si="136"/>
        <v>0.20341000000000165</v>
      </c>
      <c r="N671" s="6">
        <f t="shared" si="137"/>
        <v>0</v>
      </c>
      <c r="O671" s="6">
        <f t="shared" si="138"/>
        <v>0</v>
      </c>
      <c r="P671" s="6">
        <f t="shared" si="139"/>
        <v>-125.13376380000102</v>
      </c>
      <c r="Q671" s="3">
        <v>-125.13376380000003</v>
      </c>
      <c r="R671" s="6">
        <f t="shared" si="140"/>
        <v>-9.9475983006414026E-13</v>
      </c>
      <c r="S671" s="6" t="str">
        <f t="shared" si="141"/>
        <v>OK</v>
      </c>
    </row>
    <row r="672" spans="1:19" x14ac:dyDescent="0.25">
      <c r="A672" s="3" t="str">
        <f t="shared" si="142"/>
        <v>05.07.2026</v>
      </c>
      <c r="B672" s="5">
        <v>79</v>
      </c>
      <c r="C672" s="5" t="s">
        <v>39</v>
      </c>
      <c r="D672" s="3">
        <v>25</v>
      </c>
      <c r="E672" s="3">
        <v>25.203410000000002</v>
      </c>
      <c r="F672" s="6">
        <f t="shared" si="130"/>
        <v>0.20341000000000165</v>
      </c>
      <c r="G672" s="6">
        <f t="shared" si="131"/>
        <v>8.1364000000000661E-3</v>
      </c>
      <c r="H672" s="6" t="str">
        <f t="shared" si="132"/>
        <v>🟢 Over-injection</v>
      </c>
      <c r="I672" s="6">
        <f t="shared" si="133"/>
        <v>-0.20341000000000165</v>
      </c>
      <c r="J672" s="3">
        <v>3.1537000000000002</v>
      </c>
      <c r="K672" s="6">
        <f t="shared" si="134"/>
        <v>3.75</v>
      </c>
      <c r="L672" s="6">
        <f t="shared" si="135"/>
        <v>5</v>
      </c>
      <c r="M672" s="6">
        <f t="shared" si="136"/>
        <v>0.20341000000000165</v>
      </c>
      <c r="N672" s="6">
        <f t="shared" si="137"/>
        <v>0</v>
      </c>
      <c r="O672" s="6">
        <f t="shared" si="138"/>
        <v>0</v>
      </c>
      <c r="P672" s="6">
        <f t="shared" si="139"/>
        <v>-128.29882340000103</v>
      </c>
      <c r="Q672" s="3">
        <v>-128.2988234</v>
      </c>
      <c r="R672" s="6">
        <f t="shared" si="140"/>
        <v>-1.0231815394945443E-12</v>
      </c>
      <c r="S672" s="6" t="str">
        <f t="shared" si="141"/>
        <v>OK</v>
      </c>
    </row>
    <row r="673" spans="1:19" x14ac:dyDescent="0.25">
      <c r="A673" s="3" t="str">
        <f t="shared" si="142"/>
        <v>05.07.2026</v>
      </c>
      <c r="B673" s="5">
        <v>80</v>
      </c>
      <c r="C673" s="5" t="s">
        <v>38</v>
      </c>
      <c r="D673" s="3">
        <v>25</v>
      </c>
      <c r="E673" s="3">
        <v>25.192070000000001</v>
      </c>
      <c r="F673" s="6">
        <f t="shared" si="130"/>
        <v>0.19207000000000107</v>
      </c>
      <c r="G673" s="6">
        <f t="shared" si="131"/>
        <v>7.6828000000000425E-3</v>
      </c>
      <c r="H673" s="6" t="str">
        <f t="shared" si="132"/>
        <v>🟢 Over-injection</v>
      </c>
      <c r="I673" s="6">
        <f t="shared" si="133"/>
        <v>-0.19207000000000107</v>
      </c>
      <c r="J673" s="3">
        <v>3.3062</v>
      </c>
      <c r="K673" s="6">
        <f t="shared" si="134"/>
        <v>3.75</v>
      </c>
      <c r="L673" s="6">
        <f t="shared" si="135"/>
        <v>5</v>
      </c>
      <c r="M673" s="6">
        <f t="shared" si="136"/>
        <v>0.19207000000000107</v>
      </c>
      <c r="N673" s="6">
        <f t="shared" si="137"/>
        <v>0</v>
      </c>
      <c r="O673" s="6">
        <f t="shared" si="138"/>
        <v>0</v>
      </c>
      <c r="P673" s="6">
        <f t="shared" si="139"/>
        <v>-127.00436680000071</v>
      </c>
      <c r="Q673" s="3">
        <v>-127.00436679999999</v>
      </c>
      <c r="R673" s="6">
        <f t="shared" si="140"/>
        <v>-7.2475359047530219E-13</v>
      </c>
      <c r="S673" s="6" t="str">
        <f t="shared" si="141"/>
        <v>OK</v>
      </c>
    </row>
    <row r="674" spans="1:19" x14ac:dyDescent="0.25">
      <c r="A674" s="3" t="str">
        <f t="shared" si="142"/>
        <v>05.07.2026</v>
      </c>
      <c r="B674" s="5">
        <v>81</v>
      </c>
      <c r="C674" s="5" t="s">
        <v>37</v>
      </c>
      <c r="D674" s="3">
        <v>25</v>
      </c>
      <c r="E674" s="3">
        <v>25.203410000000002</v>
      </c>
      <c r="F674" s="6">
        <f t="shared" si="130"/>
        <v>0.20341000000000165</v>
      </c>
      <c r="G674" s="6">
        <f t="shared" si="131"/>
        <v>8.1364000000000661E-3</v>
      </c>
      <c r="H674" s="6" t="str">
        <f t="shared" si="132"/>
        <v>🟢 Over-injection</v>
      </c>
      <c r="I674" s="6">
        <f t="shared" si="133"/>
        <v>-0.20341000000000165</v>
      </c>
      <c r="J674" s="3">
        <v>3.8338000000000001</v>
      </c>
      <c r="K674" s="6">
        <f t="shared" si="134"/>
        <v>3.75</v>
      </c>
      <c r="L674" s="6">
        <f t="shared" si="135"/>
        <v>5</v>
      </c>
      <c r="M674" s="6">
        <f t="shared" si="136"/>
        <v>0.20341000000000165</v>
      </c>
      <c r="N674" s="6">
        <f t="shared" si="137"/>
        <v>0</v>
      </c>
      <c r="O674" s="6">
        <f t="shared" si="138"/>
        <v>0</v>
      </c>
      <c r="P674" s="6">
        <f t="shared" si="139"/>
        <v>-155.96665160000126</v>
      </c>
      <c r="Q674" s="3">
        <v>-155.96665160000003</v>
      </c>
      <c r="R674" s="6">
        <f t="shared" si="140"/>
        <v>-1.2221335055073723E-12</v>
      </c>
      <c r="S674" s="6" t="str">
        <f t="shared" si="141"/>
        <v>OK</v>
      </c>
    </row>
    <row r="675" spans="1:19" x14ac:dyDescent="0.25">
      <c r="A675" s="3" t="str">
        <f t="shared" si="142"/>
        <v>05.07.2026</v>
      </c>
      <c r="B675" s="5">
        <v>82</v>
      </c>
      <c r="C675" s="5" t="s">
        <v>36</v>
      </c>
      <c r="D675" s="3">
        <v>25</v>
      </c>
      <c r="E675" s="3">
        <v>25.203410000000002</v>
      </c>
      <c r="F675" s="6">
        <f t="shared" si="130"/>
        <v>0.20341000000000165</v>
      </c>
      <c r="G675" s="6">
        <f t="shared" si="131"/>
        <v>8.1364000000000661E-3</v>
      </c>
      <c r="H675" s="6" t="str">
        <f t="shared" si="132"/>
        <v>🟢 Over-injection</v>
      </c>
      <c r="I675" s="6">
        <f t="shared" si="133"/>
        <v>-0.20341000000000165</v>
      </c>
      <c r="J675" s="3">
        <v>3.9108999999999998</v>
      </c>
      <c r="K675" s="6">
        <f t="shared" si="134"/>
        <v>3.75</v>
      </c>
      <c r="L675" s="6">
        <f t="shared" si="135"/>
        <v>5</v>
      </c>
      <c r="M675" s="6">
        <f t="shared" si="136"/>
        <v>0.20341000000000165</v>
      </c>
      <c r="N675" s="6">
        <f t="shared" si="137"/>
        <v>0</v>
      </c>
      <c r="O675" s="6">
        <f t="shared" si="138"/>
        <v>0</v>
      </c>
      <c r="P675" s="6">
        <f t="shared" si="139"/>
        <v>-159.10323380000128</v>
      </c>
      <c r="Q675" s="3">
        <v>-159.1032338</v>
      </c>
      <c r="R675" s="6">
        <f t="shared" si="140"/>
        <v>-1.2789769243681803E-12</v>
      </c>
      <c r="S675" s="6" t="str">
        <f t="shared" si="141"/>
        <v>OK</v>
      </c>
    </row>
    <row r="676" spans="1:19" x14ac:dyDescent="0.25">
      <c r="A676" s="3" t="str">
        <f t="shared" si="142"/>
        <v>05.07.2026</v>
      </c>
      <c r="B676" s="5">
        <v>83</v>
      </c>
      <c r="C676" s="5" t="s">
        <v>35</v>
      </c>
      <c r="D676" s="3">
        <v>25</v>
      </c>
      <c r="E676" s="3">
        <v>25.214759999999998</v>
      </c>
      <c r="F676" s="6">
        <f t="shared" si="130"/>
        <v>0.21475999999999829</v>
      </c>
      <c r="G676" s="6">
        <f t="shared" si="131"/>
        <v>8.5903999999999321E-3</v>
      </c>
      <c r="H676" s="6" t="str">
        <f t="shared" si="132"/>
        <v>🟢 Over-injection</v>
      </c>
      <c r="I676" s="6">
        <f t="shared" si="133"/>
        <v>-0.21475999999999829</v>
      </c>
      <c r="J676" s="3">
        <v>4.3109999999999999</v>
      </c>
      <c r="K676" s="6">
        <f t="shared" si="134"/>
        <v>3.75</v>
      </c>
      <c r="L676" s="6">
        <f t="shared" si="135"/>
        <v>5</v>
      </c>
      <c r="M676" s="6">
        <f t="shared" si="136"/>
        <v>0.21475999999999829</v>
      </c>
      <c r="N676" s="6">
        <f t="shared" si="137"/>
        <v>0</v>
      </c>
      <c r="O676" s="6">
        <f t="shared" si="138"/>
        <v>0</v>
      </c>
      <c r="P676" s="6">
        <f t="shared" si="139"/>
        <v>-185.16607199999851</v>
      </c>
      <c r="Q676" s="3">
        <v>-185.16607200000001</v>
      </c>
      <c r="R676" s="6">
        <f t="shared" si="140"/>
        <v>1.5063505998114124E-12</v>
      </c>
      <c r="S676" s="6" t="str">
        <f t="shared" si="141"/>
        <v>OK</v>
      </c>
    </row>
    <row r="677" spans="1:19" x14ac:dyDescent="0.25">
      <c r="A677" s="3" t="str">
        <f t="shared" si="142"/>
        <v>05.07.2026</v>
      </c>
      <c r="B677" s="5">
        <v>84</v>
      </c>
      <c r="C677" s="5" t="s">
        <v>34</v>
      </c>
      <c r="D677" s="3">
        <v>25</v>
      </c>
      <c r="E677" s="3">
        <v>25.226109999999998</v>
      </c>
      <c r="F677" s="6">
        <f t="shared" si="130"/>
        <v>0.22610999999999848</v>
      </c>
      <c r="G677" s="6">
        <f t="shared" si="131"/>
        <v>9.0443999999999386E-3</v>
      </c>
      <c r="H677" s="6" t="str">
        <f t="shared" si="132"/>
        <v>🟢 Over-injection</v>
      </c>
      <c r="I677" s="6">
        <f t="shared" si="133"/>
        <v>-0.22610999999999848</v>
      </c>
      <c r="J677" s="3">
        <v>4.5381</v>
      </c>
      <c r="K677" s="6">
        <f t="shared" si="134"/>
        <v>3.75</v>
      </c>
      <c r="L677" s="6">
        <f t="shared" si="135"/>
        <v>5</v>
      </c>
      <c r="M677" s="6">
        <f t="shared" si="136"/>
        <v>0.22610999999999848</v>
      </c>
      <c r="N677" s="6">
        <f t="shared" si="137"/>
        <v>0</v>
      </c>
      <c r="O677" s="6">
        <f t="shared" si="138"/>
        <v>0</v>
      </c>
      <c r="P677" s="6">
        <f t="shared" si="139"/>
        <v>-205.22195819999862</v>
      </c>
      <c r="Q677" s="3">
        <v>-205.22195820000002</v>
      </c>
      <c r="R677" s="6">
        <f t="shared" si="140"/>
        <v>1.3926637620897964E-12</v>
      </c>
      <c r="S677" s="6" t="str">
        <f t="shared" si="141"/>
        <v>OK</v>
      </c>
    </row>
    <row r="678" spans="1:19" x14ac:dyDescent="0.25">
      <c r="A678" s="3" t="str">
        <f t="shared" si="142"/>
        <v>05.07.2026</v>
      </c>
      <c r="B678" s="5">
        <v>85</v>
      </c>
      <c r="C678" s="5" t="s">
        <v>33</v>
      </c>
      <c r="D678" s="3">
        <v>25</v>
      </c>
      <c r="E678" s="3">
        <v>25.226109999999998</v>
      </c>
      <c r="F678" s="6">
        <f t="shared" si="130"/>
        <v>0.22610999999999848</v>
      </c>
      <c r="G678" s="6">
        <f t="shared" si="131"/>
        <v>9.0443999999999386E-3</v>
      </c>
      <c r="H678" s="6" t="str">
        <f t="shared" si="132"/>
        <v>🟢 Over-injection</v>
      </c>
      <c r="I678" s="6">
        <f t="shared" si="133"/>
        <v>-0.22610999999999848</v>
      </c>
      <c r="J678" s="3">
        <v>5.7616999999999994</v>
      </c>
      <c r="K678" s="6">
        <f t="shared" si="134"/>
        <v>3.75</v>
      </c>
      <c r="L678" s="6">
        <f t="shared" si="135"/>
        <v>5</v>
      </c>
      <c r="M678" s="6">
        <f t="shared" si="136"/>
        <v>0.22610999999999848</v>
      </c>
      <c r="N678" s="6">
        <f t="shared" si="137"/>
        <v>0</v>
      </c>
      <c r="O678" s="6">
        <f t="shared" si="138"/>
        <v>0</v>
      </c>
      <c r="P678" s="6">
        <f t="shared" si="139"/>
        <v>-260.55559739999825</v>
      </c>
      <c r="Q678" s="3">
        <v>-260.55559740000001</v>
      </c>
      <c r="R678" s="6">
        <f t="shared" si="140"/>
        <v>1.7621459846850485E-12</v>
      </c>
      <c r="S678" s="6" t="str">
        <f t="shared" si="141"/>
        <v>OK</v>
      </c>
    </row>
    <row r="679" spans="1:19" x14ac:dyDescent="0.25">
      <c r="A679" s="3" t="str">
        <f t="shared" si="142"/>
        <v>05.07.2026</v>
      </c>
      <c r="B679" s="5">
        <v>86</v>
      </c>
      <c r="C679" s="5" t="s">
        <v>32</v>
      </c>
      <c r="D679" s="3">
        <v>25</v>
      </c>
      <c r="E679" s="3">
        <v>25.226109999999998</v>
      </c>
      <c r="F679" s="6">
        <f t="shared" si="130"/>
        <v>0.22610999999999848</v>
      </c>
      <c r="G679" s="6">
        <f t="shared" si="131"/>
        <v>9.0443999999999386E-3</v>
      </c>
      <c r="H679" s="6" t="str">
        <f t="shared" si="132"/>
        <v>🟢 Over-injection</v>
      </c>
      <c r="I679" s="6">
        <f t="shared" si="133"/>
        <v>-0.22610999999999848</v>
      </c>
      <c r="J679" s="3">
        <v>6.0422000000000002</v>
      </c>
      <c r="K679" s="6">
        <f t="shared" si="134"/>
        <v>3.75</v>
      </c>
      <c r="L679" s="6">
        <f t="shared" si="135"/>
        <v>5</v>
      </c>
      <c r="M679" s="6">
        <f t="shared" si="136"/>
        <v>0.22610999999999848</v>
      </c>
      <c r="N679" s="6">
        <f t="shared" si="137"/>
        <v>0</v>
      </c>
      <c r="O679" s="6">
        <f t="shared" si="138"/>
        <v>0</v>
      </c>
      <c r="P679" s="6">
        <f t="shared" si="139"/>
        <v>-273.2403683999982</v>
      </c>
      <c r="Q679" s="3">
        <v>-273.24036840000002</v>
      </c>
      <c r="R679" s="6">
        <f t="shared" si="140"/>
        <v>1.8189894035458565E-12</v>
      </c>
      <c r="S679" s="6" t="str">
        <f t="shared" si="141"/>
        <v>OK</v>
      </c>
    </row>
    <row r="680" spans="1:19" x14ac:dyDescent="0.25">
      <c r="A680" s="3" t="str">
        <f t="shared" si="142"/>
        <v>05.07.2026</v>
      </c>
      <c r="B680" s="5">
        <v>87</v>
      </c>
      <c r="C680" s="5" t="s">
        <v>31</v>
      </c>
      <c r="D680" s="3">
        <v>25</v>
      </c>
      <c r="E680" s="3">
        <v>25.237459999999999</v>
      </c>
      <c r="F680" s="6">
        <f t="shared" si="130"/>
        <v>0.23745999999999867</v>
      </c>
      <c r="G680" s="6">
        <f t="shared" si="131"/>
        <v>9.4983999999999468E-3</v>
      </c>
      <c r="H680" s="6" t="str">
        <f t="shared" si="132"/>
        <v>🟢 Over-injection</v>
      </c>
      <c r="I680" s="6">
        <f t="shared" si="133"/>
        <v>-0.23745999999999867</v>
      </c>
      <c r="J680" s="3">
        <v>6.1909000000000001</v>
      </c>
      <c r="K680" s="6">
        <f t="shared" si="134"/>
        <v>3.75</v>
      </c>
      <c r="L680" s="6">
        <f t="shared" si="135"/>
        <v>5</v>
      </c>
      <c r="M680" s="6">
        <f t="shared" si="136"/>
        <v>0.23745999999999867</v>
      </c>
      <c r="N680" s="6">
        <f t="shared" si="137"/>
        <v>0</v>
      </c>
      <c r="O680" s="6">
        <f t="shared" si="138"/>
        <v>0</v>
      </c>
      <c r="P680" s="6">
        <f t="shared" si="139"/>
        <v>-294.01822279999834</v>
      </c>
      <c r="Q680" s="3">
        <v>-294.01822279999999</v>
      </c>
      <c r="R680" s="6">
        <f t="shared" si="140"/>
        <v>1.6484591469634324E-12</v>
      </c>
      <c r="S680" s="6" t="str">
        <f t="shared" si="141"/>
        <v>OK</v>
      </c>
    </row>
    <row r="681" spans="1:19" x14ac:dyDescent="0.25">
      <c r="A681" s="3" t="str">
        <f t="shared" si="142"/>
        <v>05.07.2026</v>
      </c>
      <c r="B681" s="5">
        <v>88</v>
      </c>
      <c r="C681" s="5" t="s">
        <v>30</v>
      </c>
      <c r="D681" s="3">
        <v>25</v>
      </c>
      <c r="E681" s="3">
        <v>25.237459999999999</v>
      </c>
      <c r="F681" s="6">
        <f t="shared" si="130"/>
        <v>0.23745999999999867</v>
      </c>
      <c r="G681" s="6">
        <f t="shared" si="131"/>
        <v>9.4983999999999468E-3</v>
      </c>
      <c r="H681" s="6" t="str">
        <f t="shared" si="132"/>
        <v>🟢 Over-injection</v>
      </c>
      <c r="I681" s="6">
        <f t="shared" si="133"/>
        <v>-0.23745999999999867</v>
      </c>
      <c r="J681" s="3">
        <v>6.1894000000000009</v>
      </c>
      <c r="K681" s="6">
        <f t="shared" si="134"/>
        <v>3.75</v>
      </c>
      <c r="L681" s="6">
        <f t="shared" si="135"/>
        <v>5</v>
      </c>
      <c r="M681" s="6">
        <f t="shared" si="136"/>
        <v>0.23745999999999867</v>
      </c>
      <c r="N681" s="6">
        <f t="shared" si="137"/>
        <v>0</v>
      </c>
      <c r="O681" s="6">
        <f t="shared" si="138"/>
        <v>0</v>
      </c>
      <c r="P681" s="6">
        <f t="shared" si="139"/>
        <v>-293.9469847999984</v>
      </c>
      <c r="Q681" s="3">
        <v>-293.94698480000011</v>
      </c>
      <c r="R681" s="6">
        <f t="shared" si="140"/>
        <v>1.7053025658242404E-12</v>
      </c>
      <c r="S681" s="6" t="str">
        <f t="shared" si="141"/>
        <v>OK</v>
      </c>
    </row>
    <row r="682" spans="1:19" x14ac:dyDescent="0.25">
      <c r="A682" s="3" t="str">
        <f t="shared" si="142"/>
        <v>05.07.2026</v>
      </c>
      <c r="B682" s="5">
        <v>89</v>
      </c>
      <c r="C682" s="5" t="s">
        <v>29</v>
      </c>
      <c r="D682" s="3">
        <v>25</v>
      </c>
      <c r="E682" s="3">
        <v>25.237459999999999</v>
      </c>
      <c r="F682" s="6">
        <f t="shared" si="130"/>
        <v>0.23745999999999867</v>
      </c>
      <c r="G682" s="6">
        <f t="shared" si="131"/>
        <v>9.4983999999999468E-3</v>
      </c>
      <c r="H682" s="6" t="str">
        <f t="shared" si="132"/>
        <v>🟢 Over-injection</v>
      </c>
      <c r="I682" s="6">
        <f t="shared" si="133"/>
        <v>-0.23745999999999867</v>
      </c>
      <c r="J682" s="3">
        <v>7.4988999999999999</v>
      </c>
      <c r="K682" s="6">
        <f t="shared" si="134"/>
        <v>3.75</v>
      </c>
      <c r="L682" s="6">
        <f t="shared" si="135"/>
        <v>5</v>
      </c>
      <c r="M682" s="6">
        <f t="shared" si="136"/>
        <v>0.23745999999999867</v>
      </c>
      <c r="N682" s="6">
        <f t="shared" si="137"/>
        <v>0</v>
      </c>
      <c r="O682" s="6">
        <f t="shared" si="138"/>
        <v>0</v>
      </c>
      <c r="P682" s="6">
        <f t="shared" si="139"/>
        <v>-356.13775879999804</v>
      </c>
      <c r="Q682" s="3">
        <v>-356.13775880000003</v>
      </c>
      <c r="R682" s="6">
        <f t="shared" si="140"/>
        <v>1.9895196601282805E-12</v>
      </c>
      <c r="S682" s="6" t="str">
        <f t="shared" si="141"/>
        <v>OK</v>
      </c>
    </row>
    <row r="683" spans="1:19" x14ac:dyDescent="0.25">
      <c r="A683" s="3" t="str">
        <f t="shared" si="142"/>
        <v>05.07.2026</v>
      </c>
      <c r="B683" s="5">
        <v>90</v>
      </c>
      <c r="C683" s="5" t="s">
        <v>28</v>
      </c>
      <c r="D683" s="3">
        <v>25</v>
      </c>
      <c r="E683" s="3">
        <v>25.237459999999999</v>
      </c>
      <c r="F683" s="6">
        <f t="shared" si="130"/>
        <v>0.23745999999999867</v>
      </c>
      <c r="G683" s="6">
        <f t="shared" si="131"/>
        <v>9.4983999999999468E-3</v>
      </c>
      <c r="H683" s="6" t="str">
        <f t="shared" si="132"/>
        <v>🟢 Over-injection</v>
      </c>
      <c r="I683" s="6">
        <f t="shared" si="133"/>
        <v>-0.23745999999999867</v>
      </c>
      <c r="J683" s="3">
        <v>7.5135000000000005</v>
      </c>
      <c r="K683" s="6">
        <f t="shared" si="134"/>
        <v>3.75</v>
      </c>
      <c r="L683" s="6">
        <f t="shared" si="135"/>
        <v>5</v>
      </c>
      <c r="M683" s="6">
        <f t="shared" si="136"/>
        <v>0.23745999999999867</v>
      </c>
      <c r="N683" s="6">
        <f t="shared" si="137"/>
        <v>0</v>
      </c>
      <c r="O683" s="6">
        <f t="shared" si="138"/>
        <v>0</v>
      </c>
      <c r="P683" s="6">
        <f t="shared" si="139"/>
        <v>-356.83114199999807</v>
      </c>
      <c r="Q683" s="3">
        <v>-356.83114200000006</v>
      </c>
      <c r="R683" s="6">
        <f t="shared" si="140"/>
        <v>1.9895196601282805E-12</v>
      </c>
      <c r="S683" s="6" t="str">
        <f t="shared" si="141"/>
        <v>OK</v>
      </c>
    </row>
    <row r="684" spans="1:19" x14ac:dyDescent="0.25">
      <c r="A684" s="3" t="str">
        <f t="shared" si="142"/>
        <v>05.07.2026</v>
      </c>
      <c r="B684" s="5">
        <v>91</v>
      </c>
      <c r="C684" s="5" t="s">
        <v>27</v>
      </c>
      <c r="D684" s="3">
        <v>25</v>
      </c>
      <c r="E684" s="3">
        <v>25.237459999999999</v>
      </c>
      <c r="F684" s="6">
        <f t="shared" si="130"/>
        <v>0.23745999999999867</v>
      </c>
      <c r="G684" s="6">
        <f t="shared" si="131"/>
        <v>9.4983999999999468E-3</v>
      </c>
      <c r="H684" s="6" t="str">
        <f t="shared" si="132"/>
        <v>🟢 Over-injection</v>
      </c>
      <c r="I684" s="6">
        <f t="shared" si="133"/>
        <v>-0.23745999999999867</v>
      </c>
      <c r="J684" s="3">
        <v>7.5225999999999997</v>
      </c>
      <c r="K684" s="6">
        <f t="shared" si="134"/>
        <v>3.75</v>
      </c>
      <c r="L684" s="6">
        <f t="shared" si="135"/>
        <v>5</v>
      </c>
      <c r="M684" s="6">
        <f t="shared" si="136"/>
        <v>0.23745999999999867</v>
      </c>
      <c r="N684" s="6">
        <f t="shared" si="137"/>
        <v>0</v>
      </c>
      <c r="O684" s="6">
        <f t="shared" si="138"/>
        <v>0</v>
      </c>
      <c r="P684" s="6">
        <f t="shared" si="139"/>
        <v>-357.26331919999797</v>
      </c>
      <c r="Q684" s="3">
        <v>-357.26331920000001</v>
      </c>
      <c r="R684" s="6">
        <f t="shared" si="140"/>
        <v>2.0463630789890885E-12</v>
      </c>
      <c r="S684" s="6" t="str">
        <f t="shared" si="141"/>
        <v>OK</v>
      </c>
    </row>
    <row r="685" spans="1:19" x14ac:dyDescent="0.25">
      <c r="A685" s="3" t="str">
        <f t="shared" si="142"/>
        <v>05.07.2026</v>
      </c>
      <c r="B685" s="5">
        <v>92</v>
      </c>
      <c r="C685" s="5" t="s">
        <v>26</v>
      </c>
      <c r="D685" s="3">
        <v>25</v>
      </c>
      <c r="E685" s="3">
        <v>25.248799999999999</v>
      </c>
      <c r="F685" s="6">
        <f t="shared" si="130"/>
        <v>0.24879999999999924</v>
      </c>
      <c r="G685" s="6">
        <f t="shared" si="131"/>
        <v>9.9519999999999696E-3</v>
      </c>
      <c r="H685" s="6" t="str">
        <f t="shared" si="132"/>
        <v>🟢 Over-injection</v>
      </c>
      <c r="I685" s="6">
        <f t="shared" si="133"/>
        <v>-0.24879999999999924</v>
      </c>
      <c r="J685" s="3">
        <v>7.7037000000000004</v>
      </c>
      <c r="K685" s="6">
        <f t="shared" si="134"/>
        <v>3.75</v>
      </c>
      <c r="L685" s="6">
        <f t="shared" si="135"/>
        <v>5</v>
      </c>
      <c r="M685" s="6">
        <f t="shared" si="136"/>
        <v>0.24879999999999924</v>
      </c>
      <c r="N685" s="6">
        <f t="shared" si="137"/>
        <v>0</v>
      </c>
      <c r="O685" s="6">
        <f t="shared" si="138"/>
        <v>0</v>
      </c>
      <c r="P685" s="6">
        <f t="shared" si="139"/>
        <v>-383.33611199999888</v>
      </c>
      <c r="Q685" s="3">
        <v>-383.33611200000007</v>
      </c>
      <c r="R685" s="6">
        <f t="shared" si="140"/>
        <v>1.1937117960769683E-12</v>
      </c>
      <c r="S685" s="6" t="str">
        <f t="shared" si="141"/>
        <v>OK</v>
      </c>
    </row>
    <row r="686" spans="1:19" x14ac:dyDescent="0.25">
      <c r="A686" s="3" t="str">
        <f t="shared" si="142"/>
        <v>05.07.2026</v>
      </c>
      <c r="B686" s="5">
        <v>93</v>
      </c>
      <c r="C686" s="5" t="s">
        <v>25</v>
      </c>
      <c r="D686" s="3">
        <v>25</v>
      </c>
      <c r="E686" s="3">
        <v>25.248799999999999</v>
      </c>
      <c r="F686" s="6">
        <f t="shared" si="130"/>
        <v>0.24879999999999924</v>
      </c>
      <c r="G686" s="6">
        <f t="shared" si="131"/>
        <v>9.9519999999999696E-3</v>
      </c>
      <c r="H686" s="6" t="str">
        <f t="shared" si="132"/>
        <v>🟢 Over-injection</v>
      </c>
      <c r="I686" s="6">
        <f t="shared" si="133"/>
        <v>-0.24879999999999924</v>
      </c>
      <c r="J686" s="3">
        <v>9.9665999999999997</v>
      </c>
      <c r="K686" s="6">
        <f t="shared" si="134"/>
        <v>3.75</v>
      </c>
      <c r="L686" s="6">
        <f t="shared" si="135"/>
        <v>5</v>
      </c>
      <c r="M686" s="6">
        <f t="shared" si="136"/>
        <v>0.24879999999999924</v>
      </c>
      <c r="N686" s="6">
        <f t="shared" si="137"/>
        <v>0</v>
      </c>
      <c r="O686" s="6">
        <f t="shared" si="138"/>
        <v>0</v>
      </c>
      <c r="P686" s="6">
        <f t="shared" si="139"/>
        <v>-495.93801599999853</v>
      </c>
      <c r="Q686" s="3">
        <v>-495.938016</v>
      </c>
      <c r="R686" s="6">
        <f t="shared" si="140"/>
        <v>1.4779288903810084E-12</v>
      </c>
      <c r="S686" s="6" t="str">
        <f t="shared" si="141"/>
        <v>OK</v>
      </c>
    </row>
    <row r="687" spans="1:19" x14ac:dyDescent="0.25">
      <c r="A687" s="3" t="str">
        <f t="shared" si="142"/>
        <v>05.07.2026</v>
      </c>
      <c r="B687" s="5">
        <v>94</v>
      </c>
      <c r="C687" s="5" t="s">
        <v>24</v>
      </c>
      <c r="D687" s="3">
        <v>25</v>
      </c>
      <c r="E687" s="3">
        <v>25.26014</v>
      </c>
      <c r="F687" s="6">
        <f t="shared" si="130"/>
        <v>0.26013999999999982</v>
      </c>
      <c r="G687" s="6">
        <f t="shared" si="131"/>
        <v>1.0405599999999992E-2</v>
      </c>
      <c r="H687" s="6" t="str">
        <f t="shared" si="132"/>
        <v>🟢 Over-injection</v>
      </c>
      <c r="I687" s="6">
        <f t="shared" si="133"/>
        <v>-0.26013999999999982</v>
      </c>
      <c r="J687" s="3">
        <v>9.9671000000000003</v>
      </c>
      <c r="K687" s="6">
        <f t="shared" si="134"/>
        <v>3.75</v>
      </c>
      <c r="L687" s="6">
        <f t="shared" si="135"/>
        <v>5</v>
      </c>
      <c r="M687" s="6">
        <f t="shared" si="136"/>
        <v>0.26013999999999982</v>
      </c>
      <c r="N687" s="6">
        <f t="shared" si="137"/>
        <v>0</v>
      </c>
      <c r="O687" s="6">
        <f t="shared" si="138"/>
        <v>0</v>
      </c>
      <c r="P687" s="6">
        <f t="shared" si="139"/>
        <v>-518.56827879999969</v>
      </c>
      <c r="Q687" s="3">
        <v>-518.56827880000003</v>
      </c>
      <c r="R687" s="6">
        <f t="shared" si="140"/>
        <v>0</v>
      </c>
      <c r="S687" s="6" t="str">
        <f t="shared" si="141"/>
        <v>OK</v>
      </c>
    </row>
    <row r="688" spans="1:19" x14ac:dyDescent="0.25">
      <c r="A688" s="3" t="str">
        <f t="shared" si="142"/>
        <v>05.07.2026</v>
      </c>
      <c r="B688" s="5">
        <v>95</v>
      </c>
      <c r="C688" s="5" t="s">
        <v>23</v>
      </c>
      <c r="D688" s="3">
        <v>25</v>
      </c>
      <c r="E688" s="3">
        <v>25.2715</v>
      </c>
      <c r="F688" s="6">
        <f t="shared" si="130"/>
        <v>0.27149999999999963</v>
      </c>
      <c r="G688" s="6">
        <f t="shared" si="131"/>
        <v>1.0859999999999986E-2</v>
      </c>
      <c r="H688" s="6" t="str">
        <f t="shared" si="132"/>
        <v>🟢 Over-injection</v>
      </c>
      <c r="I688" s="6">
        <f t="shared" si="133"/>
        <v>-0.27149999999999963</v>
      </c>
      <c r="J688" s="3">
        <v>9.9669000000000008</v>
      </c>
      <c r="K688" s="6">
        <f t="shared" si="134"/>
        <v>3.75</v>
      </c>
      <c r="L688" s="6">
        <f t="shared" si="135"/>
        <v>5</v>
      </c>
      <c r="M688" s="6">
        <f t="shared" si="136"/>
        <v>0.27149999999999963</v>
      </c>
      <c r="N688" s="6">
        <f t="shared" si="137"/>
        <v>0</v>
      </c>
      <c r="O688" s="6">
        <f t="shared" si="138"/>
        <v>0</v>
      </c>
      <c r="P688" s="6">
        <f t="shared" si="139"/>
        <v>-541.20266999999933</v>
      </c>
      <c r="Q688" s="3">
        <v>-541.20267000000013</v>
      </c>
      <c r="R688" s="6">
        <f t="shared" si="140"/>
        <v>0</v>
      </c>
      <c r="S688" s="6" t="str">
        <f t="shared" si="141"/>
        <v>OK</v>
      </c>
    </row>
    <row r="689" spans="1:19" x14ac:dyDescent="0.25">
      <c r="A689" s="3" t="str">
        <f t="shared" si="142"/>
        <v>05.07.2026</v>
      </c>
      <c r="B689" s="5">
        <v>96</v>
      </c>
      <c r="C689" s="5" t="s">
        <v>22</v>
      </c>
      <c r="D689" s="3">
        <v>25</v>
      </c>
      <c r="E689" s="3">
        <v>25.28284</v>
      </c>
      <c r="F689" s="6">
        <f t="shared" si="130"/>
        <v>0.2828400000000002</v>
      </c>
      <c r="G689" s="6">
        <f t="shared" si="131"/>
        <v>1.1313600000000009E-2</v>
      </c>
      <c r="H689" s="6" t="str">
        <f t="shared" si="132"/>
        <v>🟢 Over-injection</v>
      </c>
      <c r="I689" s="6">
        <f t="shared" si="133"/>
        <v>-0.2828400000000002</v>
      </c>
      <c r="J689" s="3">
        <v>9.9669000000000008</v>
      </c>
      <c r="K689" s="6">
        <f t="shared" si="134"/>
        <v>3.75</v>
      </c>
      <c r="L689" s="6">
        <f t="shared" si="135"/>
        <v>5</v>
      </c>
      <c r="M689" s="6">
        <f t="shared" si="136"/>
        <v>0.2828400000000002</v>
      </c>
      <c r="N689" s="6">
        <f t="shared" si="137"/>
        <v>0</v>
      </c>
      <c r="O689" s="6">
        <f t="shared" si="138"/>
        <v>0</v>
      </c>
      <c r="P689" s="6">
        <f t="shared" si="139"/>
        <v>-563.80759920000048</v>
      </c>
      <c r="Q689" s="3">
        <v>-563.80759920000003</v>
      </c>
      <c r="R689" s="6">
        <f t="shared" si="140"/>
        <v>0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29.06.2026</v>
      </c>
      <c r="B693" s="27">
        <f>SUMIF($A$18:$A$689,A693,$D$18:$D$689)*$B$6</f>
        <v>378.29499999999996</v>
      </c>
      <c r="C693" s="27">
        <f t="shared" ref="C693:C699" si="143">SUMIF($A$18:$A$689,A693,$E$18:$E$689)*$B$6</f>
        <v>385.94069500000035</v>
      </c>
      <c r="D693" s="27">
        <f t="shared" ref="D693:D699" si="144">SUMIF($A$18:$A$689,A693,$F$18:$F$689)*$B$6</f>
        <v>7.645694999999999</v>
      </c>
      <c r="E693" s="28">
        <f t="shared" ref="E693:E699" si="145">SUMIF($A$18:$A$689,A693,$P$18:$P$689)</f>
        <v>-25410.623984137495</v>
      </c>
      <c r="F693" s="28">
        <f t="shared" ref="F693:F699" si="146">SUMIF($A$18:$A$689,A693,$Q$18:$Q$689)</f>
        <v>-25410.623984137488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30.06.2026</v>
      </c>
      <c r="B694" s="30">
        <f t="shared" ref="B694:B699" si="149">SUMIF($A$18:$A$689,A694,$D$18:$D$689)*$B$6</f>
        <v>424.23249999999967</v>
      </c>
      <c r="C694" s="30">
        <f t="shared" si="143"/>
        <v>429.4565799999998</v>
      </c>
      <c r="D694" s="30">
        <f t="shared" si="144"/>
        <v>5.2240800000000105</v>
      </c>
      <c r="E694" s="31">
        <f t="shared" si="145"/>
        <v>-24147.548961062515</v>
      </c>
      <c r="F694" s="31">
        <f t="shared" si="146"/>
        <v>-24147.548961062483</v>
      </c>
      <c r="G694" s="31">
        <f t="shared" si="147"/>
        <v>-3.2741809263825417E-11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01.07.2026</v>
      </c>
      <c r="B695" s="30">
        <f t="shared" si="149"/>
        <v>410.70999999999975</v>
      </c>
      <c r="C695" s="30">
        <f t="shared" si="143"/>
        <v>416.84348999999969</v>
      </c>
      <c r="D695" s="30">
        <f t="shared" si="144"/>
        <v>6.1334900000000081</v>
      </c>
      <c r="E695" s="31">
        <f t="shared" si="145"/>
        <v>-31028.651989474991</v>
      </c>
      <c r="F695" s="31">
        <f t="shared" si="146"/>
        <v>-31028.651989475016</v>
      </c>
      <c r="G695" s="31">
        <f t="shared" si="147"/>
        <v>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02.07.2026</v>
      </c>
      <c r="B696" s="30">
        <f t="shared" si="149"/>
        <v>412.61000000000024</v>
      </c>
      <c r="C696" s="30">
        <f t="shared" si="143"/>
        <v>419.01092749999981</v>
      </c>
      <c r="D696" s="30">
        <f t="shared" si="144"/>
        <v>6.4009275000000123</v>
      </c>
      <c r="E696" s="31">
        <f t="shared" si="145"/>
        <v>-19500.776009200068</v>
      </c>
      <c r="F696" s="31">
        <f t="shared" si="146"/>
        <v>-19500.776009199999</v>
      </c>
      <c r="G696" s="31">
        <f t="shared" si="147"/>
        <v>-6.9121597334742546E-11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03.07.2026</v>
      </c>
      <c r="B697" s="30">
        <f t="shared" si="149"/>
        <v>408.64499999999998</v>
      </c>
      <c r="C697" s="30">
        <f t="shared" si="143"/>
        <v>375.6436925000001</v>
      </c>
      <c r="D697" s="30">
        <f t="shared" si="144"/>
        <v>-33.001307499999982</v>
      </c>
      <c r="E697" s="31">
        <f t="shared" si="145"/>
        <v>227283.0271258624</v>
      </c>
      <c r="F697" s="31">
        <f t="shared" si="146"/>
        <v>227283.0271258624</v>
      </c>
      <c r="G697" s="31">
        <f t="shared" si="147"/>
        <v>0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04.07.2026</v>
      </c>
      <c r="B698" s="30">
        <f t="shared" si="149"/>
        <v>552.19999999999982</v>
      </c>
      <c r="C698" s="30">
        <f t="shared" si="143"/>
        <v>551.97854249999989</v>
      </c>
      <c r="D698" s="30">
        <f t="shared" si="144"/>
        <v>-0.22145749999999342</v>
      </c>
      <c r="E698" s="31">
        <f t="shared" si="145"/>
        <v>15421.767705912462</v>
      </c>
      <c r="F698" s="31">
        <f t="shared" si="146"/>
        <v>15421.767705912498</v>
      </c>
      <c r="G698" s="31">
        <f t="shared" si="147"/>
        <v>-3.637978807091713E-11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05.07.2026</v>
      </c>
      <c r="B699" s="30">
        <f t="shared" si="149"/>
        <v>497.59999999999997</v>
      </c>
      <c r="C699" s="30">
        <f t="shared" si="143"/>
        <v>511.73934250000059</v>
      </c>
      <c r="D699" s="30">
        <f t="shared" si="144"/>
        <v>14.139342499999996</v>
      </c>
      <c r="E699" s="31">
        <f t="shared" si="145"/>
        <v>-18490.539233224972</v>
      </c>
      <c r="F699" s="31">
        <f t="shared" si="146"/>
        <v>-18490.539233225005</v>
      </c>
      <c r="G699" s="31">
        <f t="shared" si="147"/>
        <v>3.2741809263825417E-11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3084.2924999999996</v>
      </c>
      <c r="C700" s="34">
        <f>SUM(C693:C699)</f>
        <v>3090.6132699999998</v>
      </c>
      <c r="D700" s="34">
        <f>SUM(D693:D699)</f>
        <v>6.3207700000000502</v>
      </c>
      <c r="E700" s="35">
        <f>SUM(E693:E699)</f>
        <v>124126.6546546748</v>
      </c>
      <c r="F700" s="35">
        <f>SUM(F693:F699)</f>
        <v>124126.65465467492</v>
      </c>
      <c r="G700" s="35">
        <f t="shared" si="147"/>
        <v>-1.1641532182693481E-10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124126.65465467473</v>
      </c>
      <c r="C704" s="38">
        <f>SUM(Q18:Q689)</f>
        <v>124126.65465467502</v>
      </c>
      <c r="D704" s="38">
        <f>B704-C704</f>
        <v>-2.9103830456733704E-10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2026-08-14T11:53:54Z</dcterms:modified>
</cp:coreProperties>
</file>