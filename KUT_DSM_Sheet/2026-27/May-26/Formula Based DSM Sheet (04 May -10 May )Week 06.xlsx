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ipl125\Documents\DSM HP\Kut DSM Sheet\May-26\"/>
    </mc:Choice>
  </mc:AlternateContent>
  <workbookProtection workbookAlgorithmName="SHA-512" workbookHashValue="LULYLgjwqb2SgZJ8SXXzJIjk2dFDEk+4x6sk7WhUEpxDXDbS7wX+AMYPKdNMwe0mgjAvz6q7onjNo25ok1FXCA==" workbookSaltValue="9RIcuxqT+/zOFl8Leq+xBg==" workbookSpinCount="100000" lockStructure="1"/>
  <bookViews>
    <workbookView xWindow="0" yWindow="660" windowWidth="29400" windowHeight="17145"/>
  </bookViews>
  <sheets>
    <sheet name="DSM Calculatio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F22" i="1" l="1"/>
  <c r="F5" i="1"/>
  <c r="F6" i="1"/>
  <c r="F7" i="1"/>
  <c r="F10" i="1"/>
  <c r="F18" i="1"/>
  <c r="H18" i="1"/>
  <c r="K18" i="1"/>
  <c r="L18" i="1"/>
  <c r="F19" i="1"/>
  <c r="H19" i="1"/>
  <c r="K19" i="1"/>
  <c r="L19" i="1"/>
  <c r="F20" i="1"/>
  <c r="I20" i="1" s="1"/>
  <c r="H20" i="1"/>
  <c r="K20" i="1"/>
  <c r="L20" i="1"/>
  <c r="F21" i="1"/>
  <c r="G21" i="1" s="1"/>
  <c r="H21" i="1"/>
  <c r="K21" i="1"/>
  <c r="L21" i="1"/>
  <c r="H22" i="1"/>
  <c r="K22" i="1"/>
  <c r="L22" i="1"/>
  <c r="F23" i="1"/>
  <c r="H23" i="1"/>
  <c r="K23" i="1"/>
  <c r="L23" i="1"/>
  <c r="F24" i="1"/>
  <c r="G24" i="1" s="1"/>
  <c r="H24" i="1"/>
  <c r="K24" i="1"/>
  <c r="L24" i="1"/>
  <c r="F25" i="1"/>
  <c r="G25" i="1" s="1"/>
  <c r="H25" i="1"/>
  <c r="K25" i="1"/>
  <c r="L25" i="1"/>
  <c r="F26" i="1"/>
  <c r="G26" i="1" s="1"/>
  <c r="H26" i="1"/>
  <c r="K26" i="1"/>
  <c r="L26" i="1"/>
  <c r="F27" i="1"/>
  <c r="H27" i="1"/>
  <c r="K27" i="1"/>
  <c r="L27" i="1"/>
  <c r="F28" i="1"/>
  <c r="H28" i="1"/>
  <c r="K28" i="1"/>
  <c r="L28" i="1"/>
  <c r="F29" i="1"/>
  <c r="H29" i="1"/>
  <c r="K29" i="1"/>
  <c r="L29" i="1"/>
  <c r="F30" i="1"/>
  <c r="H30" i="1"/>
  <c r="K30" i="1"/>
  <c r="L30" i="1"/>
  <c r="F31" i="1"/>
  <c r="G31" i="1" s="1"/>
  <c r="H31" i="1"/>
  <c r="K31" i="1"/>
  <c r="L31" i="1"/>
  <c r="F32" i="1"/>
  <c r="H32" i="1"/>
  <c r="K32" i="1"/>
  <c r="L32" i="1"/>
  <c r="F33" i="1"/>
  <c r="H33" i="1"/>
  <c r="K33" i="1"/>
  <c r="L33" i="1"/>
  <c r="F34" i="1"/>
  <c r="I34" i="1" s="1"/>
  <c r="H34" i="1"/>
  <c r="K34" i="1"/>
  <c r="L34" i="1"/>
  <c r="F35" i="1"/>
  <c r="G35" i="1" s="1"/>
  <c r="H35" i="1"/>
  <c r="K35" i="1"/>
  <c r="L35" i="1"/>
  <c r="F36" i="1"/>
  <c r="H36" i="1"/>
  <c r="K36" i="1"/>
  <c r="L36" i="1"/>
  <c r="F37" i="1"/>
  <c r="H37" i="1"/>
  <c r="K37" i="1"/>
  <c r="L37" i="1"/>
  <c r="F38" i="1"/>
  <c r="H38" i="1"/>
  <c r="K38" i="1"/>
  <c r="L38" i="1"/>
  <c r="F39" i="1"/>
  <c r="H39" i="1"/>
  <c r="K39" i="1"/>
  <c r="L39" i="1"/>
  <c r="F40" i="1"/>
  <c r="G40" i="1" s="1"/>
  <c r="H40" i="1"/>
  <c r="K40" i="1"/>
  <c r="L40" i="1"/>
  <c r="F41" i="1"/>
  <c r="G41" i="1" s="1"/>
  <c r="H41" i="1"/>
  <c r="K41" i="1"/>
  <c r="L41" i="1"/>
  <c r="F42" i="1"/>
  <c r="H42" i="1"/>
  <c r="K42" i="1"/>
  <c r="L42" i="1"/>
  <c r="F43" i="1"/>
  <c r="H43" i="1"/>
  <c r="K43" i="1"/>
  <c r="L43" i="1"/>
  <c r="F44" i="1"/>
  <c r="H44" i="1"/>
  <c r="K44" i="1"/>
  <c r="L44" i="1"/>
  <c r="F45" i="1"/>
  <c r="I45" i="1" s="1"/>
  <c r="H45" i="1"/>
  <c r="K45" i="1"/>
  <c r="L45" i="1"/>
  <c r="F46" i="1"/>
  <c r="H46" i="1"/>
  <c r="K46" i="1"/>
  <c r="L46" i="1"/>
  <c r="F47" i="1"/>
  <c r="H47" i="1"/>
  <c r="K47" i="1"/>
  <c r="L47" i="1"/>
  <c r="F48" i="1"/>
  <c r="H48" i="1"/>
  <c r="K48" i="1"/>
  <c r="L48" i="1"/>
  <c r="F49" i="1"/>
  <c r="H49" i="1"/>
  <c r="K49" i="1"/>
  <c r="L49" i="1"/>
  <c r="F50" i="1"/>
  <c r="H50" i="1"/>
  <c r="K50" i="1"/>
  <c r="L50" i="1"/>
  <c r="F51" i="1"/>
  <c r="G51" i="1" s="1"/>
  <c r="H51" i="1"/>
  <c r="K51" i="1"/>
  <c r="L51" i="1"/>
  <c r="F52" i="1"/>
  <c r="H52" i="1"/>
  <c r="K52" i="1"/>
  <c r="L52" i="1"/>
  <c r="F53" i="1"/>
  <c r="H53" i="1"/>
  <c r="K53" i="1"/>
  <c r="L53" i="1"/>
  <c r="F54" i="1"/>
  <c r="I54" i="1" s="1"/>
  <c r="H54" i="1"/>
  <c r="K54" i="1"/>
  <c r="L54" i="1"/>
  <c r="F55" i="1"/>
  <c r="G55" i="1" s="1"/>
  <c r="H55" i="1"/>
  <c r="K55" i="1"/>
  <c r="L55" i="1"/>
  <c r="F56" i="1"/>
  <c r="G56" i="1" s="1"/>
  <c r="H56" i="1"/>
  <c r="K56" i="1"/>
  <c r="L56" i="1"/>
  <c r="F57" i="1"/>
  <c r="H57" i="1"/>
  <c r="K57" i="1"/>
  <c r="L57" i="1"/>
  <c r="F58" i="1"/>
  <c r="H58" i="1"/>
  <c r="K58" i="1"/>
  <c r="L58" i="1"/>
  <c r="F59" i="1"/>
  <c r="H59" i="1"/>
  <c r="K59" i="1"/>
  <c r="L59" i="1"/>
  <c r="F60" i="1"/>
  <c r="H60" i="1"/>
  <c r="K60" i="1"/>
  <c r="L60" i="1"/>
  <c r="F61" i="1"/>
  <c r="G61" i="1" s="1"/>
  <c r="H61" i="1"/>
  <c r="K61" i="1"/>
  <c r="L61" i="1"/>
  <c r="F62" i="1"/>
  <c r="H62" i="1"/>
  <c r="K62" i="1"/>
  <c r="L62" i="1"/>
  <c r="F63" i="1"/>
  <c r="H63" i="1"/>
  <c r="K63" i="1"/>
  <c r="L63" i="1"/>
  <c r="F64" i="1"/>
  <c r="H64" i="1"/>
  <c r="K64" i="1"/>
  <c r="L64" i="1"/>
  <c r="F65" i="1"/>
  <c r="I65" i="1" s="1"/>
  <c r="H65" i="1"/>
  <c r="K65" i="1"/>
  <c r="L65" i="1"/>
  <c r="F66" i="1"/>
  <c r="H66" i="1"/>
  <c r="K66" i="1"/>
  <c r="L66" i="1"/>
  <c r="F67" i="1"/>
  <c r="H67" i="1"/>
  <c r="K67" i="1"/>
  <c r="L67" i="1"/>
  <c r="F68" i="1"/>
  <c r="H68" i="1"/>
  <c r="K68" i="1"/>
  <c r="L68" i="1"/>
  <c r="F69" i="1"/>
  <c r="H69" i="1"/>
  <c r="K69" i="1"/>
  <c r="L69" i="1"/>
  <c r="F70" i="1"/>
  <c r="G70" i="1" s="1"/>
  <c r="H70" i="1"/>
  <c r="K70" i="1"/>
  <c r="L70" i="1"/>
  <c r="F71" i="1"/>
  <c r="G71" i="1" s="1"/>
  <c r="H71" i="1"/>
  <c r="K71" i="1"/>
  <c r="L71" i="1"/>
  <c r="F72" i="1"/>
  <c r="H72" i="1"/>
  <c r="K72" i="1"/>
  <c r="L72" i="1"/>
  <c r="F73" i="1"/>
  <c r="H73" i="1"/>
  <c r="K73" i="1"/>
  <c r="L73" i="1"/>
  <c r="F74" i="1"/>
  <c r="I74" i="1" s="1"/>
  <c r="H74" i="1"/>
  <c r="K74" i="1"/>
  <c r="L74" i="1"/>
  <c r="F75" i="1"/>
  <c r="I75" i="1" s="1"/>
  <c r="H75" i="1"/>
  <c r="K75" i="1"/>
  <c r="L75" i="1"/>
  <c r="F76" i="1"/>
  <c r="G76" i="1" s="1"/>
  <c r="H76" i="1"/>
  <c r="K76" i="1"/>
  <c r="L76" i="1"/>
  <c r="F77" i="1"/>
  <c r="H77" i="1"/>
  <c r="K77" i="1"/>
  <c r="L77" i="1"/>
  <c r="F78" i="1"/>
  <c r="H78" i="1"/>
  <c r="K78" i="1"/>
  <c r="L78" i="1"/>
  <c r="F79" i="1"/>
  <c r="I79" i="1" s="1"/>
  <c r="H79" i="1"/>
  <c r="K79" i="1"/>
  <c r="L79" i="1"/>
  <c r="F80" i="1"/>
  <c r="G80" i="1" s="1"/>
  <c r="H80" i="1"/>
  <c r="K80" i="1"/>
  <c r="L80" i="1"/>
  <c r="F81" i="1"/>
  <c r="H81" i="1"/>
  <c r="K81" i="1"/>
  <c r="L81" i="1"/>
  <c r="F82" i="1"/>
  <c r="H82" i="1"/>
  <c r="K82" i="1"/>
  <c r="L82" i="1"/>
  <c r="F83" i="1"/>
  <c r="H83" i="1"/>
  <c r="K83" i="1"/>
  <c r="L83" i="1"/>
  <c r="F84" i="1"/>
  <c r="I84" i="1" s="1"/>
  <c r="H84" i="1"/>
  <c r="K84" i="1"/>
  <c r="L84" i="1"/>
  <c r="F85" i="1"/>
  <c r="I85" i="1" s="1"/>
  <c r="H85" i="1"/>
  <c r="K85" i="1"/>
  <c r="L85" i="1"/>
  <c r="F86" i="1"/>
  <c r="H86" i="1"/>
  <c r="K86" i="1"/>
  <c r="L86" i="1"/>
  <c r="F87" i="1"/>
  <c r="H87" i="1"/>
  <c r="K87" i="1"/>
  <c r="L87" i="1"/>
  <c r="F88" i="1"/>
  <c r="H88" i="1"/>
  <c r="K88" i="1"/>
  <c r="L88" i="1"/>
  <c r="F89" i="1"/>
  <c r="I89" i="1" s="1"/>
  <c r="H89" i="1"/>
  <c r="K89" i="1"/>
  <c r="L89" i="1"/>
  <c r="F90" i="1"/>
  <c r="H90" i="1"/>
  <c r="K90" i="1"/>
  <c r="L90" i="1"/>
  <c r="F91" i="1"/>
  <c r="G91" i="1" s="1"/>
  <c r="H91" i="1"/>
  <c r="K91" i="1"/>
  <c r="L91" i="1"/>
  <c r="F92" i="1"/>
  <c r="H92" i="1"/>
  <c r="K92" i="1"/>
  <c r="L92" i="1"/>
  <c r="F93" i="1"/>
  <c r="H93" i="1"/>
  <c r="K93" i="1"/>
  <c r="L93" i="1"/>
  <c r="F94" i="1"/>
  <c r="I94" i="1" s="1"/>
  <c r="H94" i="1"/>
  <c r="K94" i="1"/>
  <c r="L94" i="1"/>
  <c r="F95" i="1"/>
  <c r="I95" i="1" s="1"/>
  <c r="H95" i="1"/>
  <c r="K95" i="1"/>
  <c r="L95" i="1"/>
  <c r="F96" i="1"/>
  <c r="G96" i="1" s="1"/>
  <c r="H96" i="1"/>
  <c r="K96" i="1"/>
  <c r="L96" i="1"/>
  <c r="F97" i="1"/>
  <c r="H97" i="1"/>
  <c r="K97" i="1"/>
  <c r="L97" i="1"/>
  <c r="F98" i="1"/>
  <c r="I98" i="1" s="1"/>
  <c r="H98" i="1"/>
  <c r="K98" i="1"/>
  <c r="L98" i="1"/>
  <c r="F99" i="1"/>
  <c r="G99" i="1" s="1"/>
  <c r="H99" i="1"/>
  <c r="K99" i="1"/>
  <c r="L99" i="1"/>
  <c r="F100" i="1"/>
  <c r="G100" i="1" s="1"/>
  <c r="H100" i="1"/>
  <c r="K100" i="1"/>
  <c r="L100" i="1"/>
  <c r="F101" i="1"/>
  <c r="G101" i="1" s="1"/>
  <c r="H101" i="1"/>
  <c r="K101" i="1"/>
  <c r="L101" i="1"/>
  <c r="F102" i="1"/>
  <c r="H102" i="1"/>
  <c r="K102" i="1"/>
  <c r="L102" i="1"/>
  <c r="F103" i="1"/>
  <c r="G103" i="1" s="1"/>
  <c r="H103" i="1"/>
  <c r="K103" i="1"/>
  <c r="L103" i="1"/>
  <c r="F104" i="1"/>
  <c r="G104" i="1" s="1"/>
  <c r="H104" i="1"/>
  <c r="K104" i="1"/>
  <c r="L104" i="1"/>
  <c r="F105" i="1"/>
  <c r="G105" i="1" s="1"/>
  <c r="H105" i="1"/>
  <c r="K105" i="1"/>
  <c r="L105" i="1"/>
  <c r="F106" i="1"/>
  <c r="G106" i="1" s="1"/>
  <c r="H106" i="1"/>
  <c r="K106" i="1"/>
  <c r="L106" i="1"/>
  <c r="F107" i="1"/>
  <c r="H107" i="1"/>
  <c r="K107" i="1"/>
  <c r="L107" i="1"/>
  <c r="F108" i="1"/>
  <c r="G108" i="1" s="1"/>
  <c r="H108" i="1"/>
  <c r="K108" i="1"/>
  <c r="L108" i="1"/>
  <c r="F109" i="1"/>
  <c r="H109" i="1"/>
  <c r="K109" i="1"/>
  <c r="L109" i="1"/>
  <c r="F110" i="1"/>
  <c r="G110" i="1"/>
  <c r="H110" i="1"/>
  <c r="K110" i="1"/>
  <c r="L110" i="1"/>
  <c r="F111" i="1"/>
  <c r="H111" i="1"/>
  <c r="K111" i="1"/>
  <c r="L111" i="1"/>
  <c r="F112" i="1"/>
  <c r="H112" i="1"/>
  <c r="K112" i="1"/>
  <c r="L112" i="1"/>
  <c r="F113" i="1"/>
  <c r="H113" i="1"/>
  <c r="K113" i="1"/>
  <c r="L113" i="1"/>
  <c r="F114" i="1"/>
  <c r="G114" i="1" s="1"/>
  <c r="H114" i="1"/>
  <c r="K114" i="1"/>
  <c r="L114" i="1"/>
  <c r="F115" i="1"/>
  <c r="H115" i="1"/>
  <c r="K115" i="1"/>
  <c r="L115" i="1"/>
  <c r="F116" i="1"/>
  <c r="H116" i="1"/>
  <c r="K116" i="1"/>
  <c r="N116" i="1" s="1"/>
  <c r="L116" i="1"/>
  <c r="F117" i="1"/>
  <c r="H117" i="1"/>
  <c r="K117" i="1"/>
  <c r="L117" i="1"/>
  <c r="F118" i="1"/>
  <c r="G118" i="1" s="1"/>
  <c r="H118" i="1"/>
  <c r="K118" i="1"/>
  <c r="L118" i="1"/>
  <c r="F119" i="1"/>
  <c r="G119" i="1" s="1"/>
  <c r="H119" i="1"/>
  <c r="K119" i="1"/>
  <c r="L119" i="1"/>
  <c r="F120" i="1"/>
  <c r="G120" i="1" s="1"/>
  <c r="H120" i="1"/>
  <c r="K120" i="1"/>
  <c r="L120" i="1"/>
  <c r="F121" i="1"/>
  <c r="G121" i="1" s="1"/>
  <c r="H121" i="1"/>
  <c r="K121" i="1"/>
  <c r="L121" i="1"/>
  <c r="F122" i="1"/>
  <c r="H122" i="1"/>
  <c r="K122" i="1"/>
  <c r="L122" i="1"/>
  <c r="F123" i="1"/>
  <c r="H123" i="1"/>
  <c r="K123" i="1"/>
  <c r="L123" i="1"/>
  <c r="F124" i="1"/>
  <c r="G124" i="1" s="1"/>
  <c r="H124" i="1"/>
  <c r="K124" i="1"/>
  <c r="L124" i="1"/>
  <c r="F125" i="1"/>
  <c r="H125" i="1"/>
  <c r="K125" i="1"/>
  <c r="L125" i="1"/>
  <c r="F126" i="1"/>
  <c r="G126" i="1" s="1"/>
  <c r="H126" i="1"/>
  <c r="K126" i="1"/>
  <c r="L126" i="1"/>
  <c r="F127" i="1"/>
  <c r="H127" i="1"/>
  <c r="K127" i="1"/>
  <c r="L127" i="1"/>
  <c r="F128" i="1"/>
  <c r="H128" i="1"/>
  <c r="K128" i="1"/>
  <c r="L128" i="1"/>
  <c r="F129" i="1"/>
  <c r="G129" i="1" s="1"/>
  <c r="H129" i="1"/>
  <c r="K129" i="1"/>
  <c r="L129" i="1"/>
  <c r="F130" i="1"/>
  <c r="G130" i="1" s="1"/>
  <c r="H130" i="1"/>
  <c r="K130" i="1"/>
  <c r="L130" i="1"/>
  <c r="F131" i="1"/>
  <c r="G131" i="1" s="1"/>
  <c r="H131" i="1"/>
  <c r="K131" i="1"/>
  <c r="L131" i="1"/>
  <c r="F132" i="1"/>
  <c r="H132" i="1"/>
  <c r="K132" i="1"/>
  <c r="L132" i="1"/>
  <c r="F133" i="1"/>
  <c r="H133" i="1"/>
  <c r="K133" i="1"/>
  <c r="L133" i="1"/>
  <c r="F134" i="1"/>
  <c r="G134" i="1" s="1"/>
  <c r="H134" i="1"/>
  <c r="K134" i="1"/>
  <c r="L134" i="1"/>
  <c r="F135" i="1"/>
  <c r="H135" i="1"/>
  <c r="K135" i="1"/>
  <c r="L135" i="1"/>
  <c r="F136" i="1"/>
  <c r="G136" i="1" s="1"/>
  <c r="H136" i="1"/>
  <c r="K136" i="1"/>
  <c r="L136" i="1"/>
  <c r="F137" i="1"/>
  <c r="H137" i="1"/>
  <c r="K137" i="1"/>
  <c r="L137" i="1"/>
  <c r="F138" i="1"/>
  <c r="G138" i="1" s="1"/>
  <c r="H138" i="1"/>
  <c r="K138" i="1"/>
  <c r="L138" i="1"/>
  <c r="F139" i="1"/>
  <c r="G139" i="1" s="1"/>
  <c r="H139" i="1"/>
  <c r="K139" i="1"/>
  <c r="L139" i="1"/>
  <c r="F140" i="1"/>
  <c r="G140" i="1" s="1"/>
  <c r="H140" i="1"/>
  <c r="K140" i="1"/>
  <c r="L140" i="1"/>
  <c r="F141" i="1"/>
  <c r="H141" i="1"/>
  <c r="K141" i="1"/>
  <c r="L141" i="1"/>
  <c r="F142" i="1"/>
  <c r="H142" i="1"/>
  <c r="K142" i="1"/>
  <c r="L142" i="1"/>
  <c r="F143" i="1"/>
  <c r="H143" i="1"/>
  <c r="K143" i="1"/>
  <c r="L143" i="1"/>
  <c r="F144" i="1"/>
  <c r="G144" i="1" s="1"/>
  <c r="H144" i="1"/>
  <c r="K144" i="1"/>
  <c r="L144" i="1"/>
  <c r="F145" i="1"/>
  <c r="G145" i="1" s="1"/>
  <c r="H145" i="1"/>
  <c r="K145" i="1"/>
  <c r="L145" i="1"/>
  <c r="F146" i="1"/>
  <c r="G146" i="1" s="1"/>
  <c r="H146" i="1"/>
  <c r="K146" i="1"/>
  <c r="L146" i="1"/>
  <c r="F147" i="1"/>
  <c r="H147" i="1"/>
  <c r="K147" i="1"/>
  <c r="L147" i="1"/>
  <c r="F148" i="1"/>
  <c r="G148" i="1" s="1"/>
  <c r="H148" i="1"/>
  <c r="K148" i="1"/>
  <c r="L148" i="1"/>
  <c r="F149" i="1"/>
  <c r="H149" i="1"/>
  <c r="K149" i="1"/>
  <c r="L149" i="1"/>
  <c r="F150" i="1"/>
  <c r="H150" i="1"/>
  <c r="K150" i="1"/>
  <c r="L150" i="1"/>
  <c r="F151" i="1"/>
  <c r="H151" i="1"/>
  <c r="K151" i="1"/>
  <c r="L151" i="1"/>
  <c r="F152" i="1"/>
  <c r="H152" i="1"/>
  <c r="K152" i="1"/>
  <c r="L152" i="1"/>
  <c r="F153" i="1"/>
  <c r="G153" i="1" s="1"/>
  <c r="H153" i="1"/>
  <c r="K153" i="1"/>
  <c r="L153" i="1"/>
  <c r="F154" i="1"/>
  <c r="I154" i="1" s="1"/>
  <c r="H154" i="1"/>
  <c r="K154" i="1"/>
  <c r="L154" i="1"/>
  <c r="F155" i="1"/>
  <c r="G155" i="1" s="1"/>
  <c r="H155" i="1"/>
  <c r="K155" i="1"/>
  <c r="L155" i="1"/>
  <c r="F156" i="1"/>
  <c r="G156" i="1" s="1"/>
  <c r="H156" i="1"/>
  <c r="K156" i="1"/>
  <c r="L156" i="1"/>
  <c r="F157" i="1"/>
  <c r="H157" i="1"/>
  <c r="K157" i="1"/>
  <c r="L157" i="1"/>
  <c r="F158" i="1"/>
  <c r="H158" i="1"/>
  <c r="K158" i="1"/>
  <c r="L158" i="1"/>
  <c r="F159" i="1"/>
  <c r="H159" i="1"/>
  <c r="K159" i="1"/>
  <c r="L159" i="1"/>
  <c r="F160" i="1"/>
  <c r="I160" i="1" s="1"/>
  <c r="H160" i="1"/>
  <c r="K160" i="1"/>
  <c r="N160" i="1" s="1"/>
  <c r="L160" i="1"/>
  <c r="F161" i="1"/>
  <c r="H161" i="1"/>
  <c r="K161" i="1"/>
  <c r="L161" i="1"/>
  <c r="F162" i="1"/>
  <c r="H162" i="1"/>
  <c r="K162" i="1"/>
  <c r="L162" i="1"/>
  <c r="F163" i="1"/>
  <c r="I163" i="1" s="1"/>
  <c r="H163" i="1"/>
  <c r="K163" i="1"/>
  <c r="L163" i="1"/>
  <c r="F164" i="1"/>
  <c r="G164" i="1" s="1"/>
  <c r="H164" i="1"/>
  <c r="K164" i="1"/>
  <c r="L164" i="1"/>
  <c r="F165" i="1"/>
  <c r="I165" i="1" s="1"/>
  <c r="H165" i="1"/>
  <c r="K165" i="1"/>
  <c r="L165" i="1"/>
  <c r="F166" i="1"/>
  <c r="G166" i="1" s="1"/>
  <c r="H166" i="1"/>
  <c r="K166" i="1"/>
  <c r="L166" i="1"/>
  <c r="F167" i="1"/>
  <c r="H167" i="1"/>
  <c r="K167" i="1"/>
  <c r="L167" i="1"/>
  <c r="F168" i="1"/>
  <c r="I168" i="1" s="1"/>
  <c r="H168" i="1"/>
  <c r="K168" i="1"/>
  <c r="L168" i="1"/>
  <c r="F169" i="1"/>
  <c r="H169" i="1"/>
  <c r="K169" i="1"/>
  <c r="L169" i="1"/>
  <c r="F170" i="1"/>
  <c r="H170" i="1"/>
  <c r="K170" i="1"/>
  <c r="L170" i="1"/>
  <c r="F171" i="1"/>
  <c r="G171" i="1" s="1"/>
  <c r="H171" i="1"/>
  <c r="K171" i="1"/>
  <c r="L171" i="1"/>
  <c r="F172" i="1"/>
  <c r="I172" i="1" s="1"/>
  <c r="H172" i="1"/>
  <c r="K172" i="1"/>
  <c r="L172" i="1"/>
  <c r="F173" i="1"/>
  <c r="G173" i="1" s="1"/>
  <c r="H173" i="1"/>
  <c r="K173" i="1"/>
  <c r="L173" i="1"/>
  <c r="F174" i="1"/>
  <c r="G174" i="1" s="1"/>
  <c r="H174" i="1"/>
  <c r="K174" i="1"/>
  <c r="L174" i="1"/>
  <c r="F175" i="1"/>
  <c r="I175" i="1" s="1"/>
  <c r="H175" i="1"/>
  <c r="K175" i="1"/>
  <c r="L175" i="1"/>
  <c r="F176" i="1"/>
  <c r="H176" i="1"/>
  <c r="K176" i="1"/>
  <c r="L176" i="1"/>
  <c r="F177" i="1"/>
  <c r="H177" i="1"/>
  <c r="K177" i="1"/>
  <c r="L177" i="1"/>
  <c r="F178" i="1"/>
  <c r="I178" i="1" s="1"/>
  <c r="H178" i="1"/>
  <c r="K178" i="1"/>
  <c r="L178" i="1"/>
  <c r="F179" i="1"/>
  <c r="H179" i="1"/>
  <c r="K179" i="1"/>
  <c r="L179" i="1"/>
  <c r="F180" i="1"/>
  <c r="I180" i="1" s="1"/>
  <c r="H180" i="1"/>
  <c r="K180" i="1"/>
  <c r="L180" i="1"/>
  <c r="F181" i="1"/>
  <c r="H181" i="1"/>
  <c r="K181" i="1"/>
  <c r="L181" i="1"/>
  <c r="F182" i="1"/>
  <c r="H182" i="1"/>
  <c r="K182" i="1"/>
  <c r="L182" i="1"/>
  <c r="F183" i="1"/>
  <c r="H183" i="1"/>
  <c r="K183" i="1"/>
  <c r="L183" i="1"/>
  <c r="F184" i="1"/>
  <c r="G184" i="1" s="1"/>
  <c r="H184" i="1"/>
  <c r="K184" i="1"/>
  <c r="L184" i="1"/>
  <c r="F185" i="1"/>
  <c r="G185" i="1" s="1"/>
  <c r="H185" i="1"/>
  <c r="K185" i="1"/>
  <c r="L185" i="1"/>
  <c r="F186" i="1"/>
  <c r="H186" i="1"/>
  <c r="K186" i="1"/>
  <c r="L186" i="1"/>
  <c r="F187" i="1"/>
  <c r="I187" i="1" s="1"/>
  <c r="H187" i="1"/>
  <c r="K187" i="1"/>
  <c r="L187" i="1"/>
  <c r="F188" i="1"/>
  <c r="I188" i="1" s="1"/>
  <c r="H188" i="1"/>
  <c r="K188" i="1"/>
  <c r="L188" i="1"/>
  <c r="F189" i="1"/>
  <c r="H189" i="1"/>
  <c r="K189" i="1"/>
  <c r="L189" i="1"/>
  <c r="F190" i="1"/>
  <c r="G190" i="1" s="1"/>
  <c r="H190" i="1"/>
  <c r="K190" i="1"/>
  <c r="L190" i="1"/>
  <c r="F191" i="1"/>
  <c r="H191" i="1"/>
  <c r="K191" i="1"/>
  <c r="L191" i="1"/>
  <c r="F192" i="1"/>
  <c r="I192" i="1" s="1"/>
  <c r="H192" i="1"/>
  <c r="K192" i="1"/>
  <c r="L192" i="1"/>
  <c r="F193" i="1"/>
  <c r="G193" i="1" s="1"/>
  <c r="H193" i="1"/>
  <c r="K193" i="1"/>
  <c r="L193" i="1"/>
  <c r="F194" i="1"/>
  <c r="I194" i="1" s="1"/>
  <c r="H194" i="1"/>
  <c r="K194" i="1"/>
  <c r="L194" i="1"/>
  <c r="F195" i="1"/>
  <c r="G195" i="1" s="1"/>
  <c r="H195" i="1"/>
  <c r="K195" i="1"/>
  <c r="L195" i="1"/>
  <c r="F196" i="1"/>
  <c r="H196" i="1"/>
  <c r="K196" i="1"/>
  <c r="L196" i="1"/>
  <c r="F197" i="1"/>
  <c r="I197" i="1" s="1"/>
  <c r="H197" i="1"/>
  <c r="K197" i="1"/>
  <c r="L197" i="1"/>
  <c r="F198" i="1"/>
  <c r="G198" i="1" s="1"/>
  <c r="H198" i="1"/>
  <c r="K198" i="1"/>
  <c r="L198" i="1"/>
  <c r="F199" i="1"/>
  <c r="G199" i="1" s="1"/>
  <c r="H199" i="1"/>
  <c r="K199" i="1"/>
  <c r="L199" i="1"/>
  <c r="F200" i="1"/>
  <c r="H200" i="1"/>
  <c r="K200" i="1"/>
  <c r="L200" i="1"/>
  <c r="F201" i="1"/>
  <c r="H201" i="1"/>
  <c r="K201" i="1"/>
  <c r="L201" i="1"/>
  <c r="F202" i="1"/>
  <c r="H202" i="1"/>
  <c r="K202" i="1"/>
  <c r="L202" i="1"/>
  <c r="F203" i="1"/>
  <c r="G203" i="1" s="1"/>
  <c r="H203" i="1"/>
  <c r="K203" i="1"/>
  <c r="L203" i="1"/>
  <c r="F204" i="1"/>
  <c r="G204" i="1" s="1"/>
  <c r="H204" i="1"/>
  <c r="K204" i="1"/>
  <c r="L204" i="1"/>
  <c r="F205" i="1"/>
  <c r="H205" i="1"/>
  <c r="K205" i="1"/>
  <c r="L205" i="1"/>
  <c r="F206" i="1"/>
  <c r="H206" i="1"/>
  <c r="K206" i="1"/>
  <c r="L206" i="1"/>
  <c r="F207" i="1"/>
  <c r="I207" i="1" s="1"/>
  <c r="H207" i="1"/>
  <c r="K207" i="1"/>
  <c r="L207" i="1"/>
  <c r="F208" i="1"/>
  <c r="I208" i="1" s="1"/>
  <c r="H208" i="1"/>
  <c r="K208" i="1"/>
  <c r="L208" i="1"/>
  <c r="F209" i="1"/>
  <c r="I209" i="1" s="1"/>
  <c r="H209" i="1"/>
  <c r="K209" i="1"/>
  <c r="L209" i="1"/>
  <c r="F210" i="1"/>
  <c r="G210" i="1" s="1"/>
  <c r="H210" i="1"/>
  <c r="K210" i="1"/>
  <c r="L210" i="1"/>
  <c r="F211" i="1"/>
  <c r="I211" i="1" s="1"/>
  <c r="H211" i="1"/>
  <c r="K211" i="1"/>
  <c r="L211" i="1"/>
  <c r="F212" i="1"/>
  <c r="H212" i="1"/>
  <c r="K212" i="1"/>
  <c r="L212" i="1"/>
  <c r="F213" i="1"/>
  <c r="G213" i="1" s="1"/>
  <c r="H213" i="1"/>
  <c r="K213" i="1"/>
  <c r="L213" i="1"/>
  <c r="F214" i="1"/>
  <c r="H214" i="1"/>
  <c r="K214" i="1"/>
  <c r="L214" i="1"/>
  <c r="F215" i="1"/>
  <c r="G215" i="1" s="1"/>
  <c r="H215" i="1"/>
  <c r="K215" i="1"/>
  <c r="L215" i="1"/>
  <c r="F216" i="1"/>
  <c r="H216" i="1"/>
  <c r="K216" i="1"/>
  <c r="L216" i="1"/>
  <c r="F217" i="1"/>
  <c r="I217" i="1" s="1"/>
  <c r="G217" i="1"/>
  <c r="H217" i="1"/>
  <c r="K217" i="1"/>
  <c r="L217" i="1"/>
  <c r="F218" i="1"/>
  <c r="O218" i="1" s="1"/>
  <c r="H218" i="1"/>
  <c r="K218" i="1"/>
  <c r="L218" i="1"/>
  <c r="F219" i="1"/>
  <c r="G219" i="1" s="1"/>
  <c r="H219" i="1"/>
  <c r="K219" i="1"/>
  <c r="L219" i="1"/>
  <c r="F220" i="1"/>
  <c r="H220" i="1"/>
  <c r="K220" i="1"/>
  <c r="L220" i="1"/>
  <c r="F221" i="1"/>
  <c r="I221" i="1" s="1"/>
  <c r="H221" i="1"/>
  <c r="K221" i="1"/>
  <c r="L221" i="1"/>
  <c r="F222" i="1"/>
  <c r="H222" i="1"/>
  <c r="K222" i="1"/>
  <c r="L222" i="1"/>
  <c r="F223" i="1"/>
  <c r="G223" i="1" s="1"/>
  <c r="H223" i="1"/>
  <c r="K223" i="1"/>
  <c r="L223" i="1"/>
  <c r="F224" i="1"/>
  <c r="G224" i="1" s="1"/>
  <c r="H224" i="1"/>
  <c r="K224" i="1"/>
  <c r="L224" i="1"/>
  <c r="F225" i="1"/>
  <c r="G225" i="1" s="1"/>
  <c r="H225" i="1"/>
  <c r="K225" i="1"/>
  <c r="L225" i="1"/>
  <c r="F226" i="1"/>
  <c r="H226" i="1"/>
  <c r="K226" i="1"/>
  <c r="L226" i="1"/>
  <c r="F227" i="1"/>
  <c r="I227" i="1" s="1"/>
  <c r="H227" i="1"/>
  <c r="K227" i="1"/>
  <c r="L227" i="1"/>
  <c r="F228" i="1"/>
  <c r="G228" i="1" s="1"/>
  <c r="H228" i="1"/>
  <c r="K228" i="1"/>
  <c r="L228" i="1"/>
  <c r="F229" i="1"/>
  <c r="G229" i="1" s="1"/>
  <c r="H229" i="1"/>
  <c r="K229" i="1"/>
  <c r="L229" i="1"/>
  <c r="F230" i="1"/>
  <c r="H230" i="1"/>
  <c r="K230" i="1"/>
  <c r="L230" i="1"/>
  <c r="F231" i="1"/>
  <c r="I231" i="1" s="1"/>
  <c r="H231" i="1"/>
  <c r="K231" i="1"/>
  <c r="L231" i="1"/>
  <c r="F232" i="1"/>
  <c r="H232" i="1"/>
  <c r="K232" i="1"/>
  <c r="L232" i="1"/>
  <c r="F233" i="1"/>
  <c r="G233" i="1" s="1"/>
  <c r="H233" i="1"/>
  <c r="K233" i="1"/>
  <c r="L233" i="1"/>
  <c r="F234" i="1"/>
  <c r="G234" i="1" s="1"/>
  <c r="H234" i="1"/>
  <c r="K234" i="1"/>
  <c r="L234" i="1"/>
  <c r="F235" i="1"/>
  <c r="H235" i="1"/>
  <c r="K235" i="1"/>
  <c r="L235" i="1"/>
  <c r="F236" i="1"/>
  <c r="I236" i="1" s="1"/>
  <c r="H236" i="1"/>
  <c r="K236" i="1"/>
  <c r="L236" i="1"/>
  <c r="F237" i="1"/>
  <c r="H237" i="1"/>
  <c r="K237" i="1"/>
  <c r="L237" i="1"/>
  <c r="F238" i="1"/>
  <c r="I238" i="1" s="1"/>
  <c r="H238" i="1"/>
  <c r="K238" i="1"/>
  <c r="L238" i="1"/>
  <c r="F239" i="1"/>
  <c r="G239" i="1" s="1"/>
  <c r="H239" i="1"/>
  <c r="K239" i="1"/>
  <c r="L239" i="1"/>
  <c r="F240" i="1"/>
  <c r="H240" i="1"/>
  <c r="K240" i="1"/>
  <c r="L240" i="1"/>
  <c r="F241" i="1"/>
  <c r="I241" i="1" s="1"/>
  <c r="H241" i="1"/>
  <c r="K241" i="1"/>
  <c r="L241" i="1"/>
  <c r="F242" i="1"/>
  <c r="G242" i="1" s="1"/>
  <c r="H242" i="1"/>
  <c r="K242" i="1"/>
  <c r="L242" i="1"/>
  <c r="F243" i="1"/>
  <c r="G243" i="1" s="1"/>
  <c r="H243" i="1"/>
  <c r="K243" i="1"/>
  <c r="L243" i="1"/>
  <c r="F244" i="1"/>
  <c r="H244" i="1"/>
  <c r="K244" i="1"/>
  <c r="L244" i="1"/>
  <c r="F245" i="1"/>
  <c r="G245" i="1" s="1"/>
  <c r="H245" i="1"/>
  <c r="K245" i="1"/>
  <c r="L245" i="1"/>
  <c r="F246" i="1"/>
  <c r="H246" i="1"/>
  <c r="K246" i="1"/>
  <c r="L246" i="1"/>
  <c r="F247" i="1"/>
  <c r="I247" i="1" s="1"/>
  <c r="G247" i="1"/>
  <c r="H247" i="1"/>
  <c r="K247" i="1"/>
  <c r="L247" i="1"/>
  <c r="F248" i="1"/>
  <c r="I248" i="1" s="1"/>
  <c r="H248" i="1"/>
  <c r="K248" i="1"/>
  <c r="L248" i="1"/>
  <c r="F249" i="1"/>
  <c r="I249" i="1" s="1"/>
  <c r="H249" i="1"/>
  <c r="K249" i="1"/>
  <c r="L249" i="1"/>
  <c r="F250" i="1"/>
  <c r="G250" i="1" s="1"/>
  <c r="H250" i="1"/>
  <c r="K250" i="1"/>
  <c r="L250" i="1"/>
  <c r="F251" i="1"/>
  <c r="H251" i="1"/>
  <c r="K251" i="1"/>
  <c r="L251" i="1"/>
  <c r="F252" i="1"/>
  <c r="G252" i="1" s="1"/>
  <c r="H252" i="1"/>
  <c r="K252" i="1"/>
  <c r="L252" i="1"/>
  <c r="F253" i="1"/>
  <c r="H253" i="1"/>
  <c r="K253" i="1"/>
  <c r="L253" i="1"/>
  <c r="F254" i="1"/>
  <c r="G254" i="1" s="1"/>
  <c r="H254" i="1"/>
  <c r="K254" i="1"/>
  <c r="L254" i="1"/>
  <c r="F255" i="1"/>
  <c r="H255" i="1"/>
  <c r="K255" i="1"/>
  <c r="L255" i="1"/>
  <c r="F256" i="1"/>
  <c r="I256" i="1" s="1"/>
  <c r="H256" i="1"/>
  <c r="K256" i="1"/>
  <c r="L256" i="1"/>
  <c r="F257" i="1"/>
  <c r="G257" i="1" s="1"/>
  <c r="H257" i="1"/>
  <c r="K257" i="1"/>
  <c r="L257" i="1"/>
  <c r="F258" i="1"/>
  <c r="I258" i="1" s="1"/>
  <c r="H258" i="1"/>
  <c r="K258" i="1"/>
  <c r="L258" i="1"/>
  <c r="F259" i="1"/>
  <c r="I259" i="1" s="1"/>
  <c r="H259" i="1"/>
  <c r="K259" i="1"/>
  <c r="L259" i="1"/>
  <c r="F260" i="1"/>
  <c r="H260" i="1"/>
  <c r="K260" i="1"/>
  <c r="L260" i="1"/>
  <c r="F261" i="1"/>
  <c r="I261" i="1" s="1"/>
  <c r="H261" i="1"/>
  <c r="K261" i="1"/>
  <c r="L261" i="1"/>
  <c r="F262" i="1"/>
  <c r="I262" i="1" s="1"/>
  <c r="H262" i="1"/>
  <c r="K262" i="1"/>
  <c r="L262" i="1"/>
  <c r="F263" i="1"/>
  <c r="H263" i="1"/>
  <c r="K263" i="1"/>
  <c r="L263" i="1"/>
  <c r="F264" i="1"/>
  <c r="I264" i="1" s="1"/>
  <c r="H264" i="1"/>
  <c r="K264" i="1"/>
  <c r="L264" i="1"/>
  <c r="F265" i="1"/>
  <c r="H265" i="1"/>
  <c r="K265" i="1"/>
  <c r="L265" i="1"/>
  <c r="F266" i="1"/>
  <c r="I266" i="1" s="1"/>
  <c r="H266" i="1"/>
  <c r="K266" i="1"/>
  <c r="L266" i="1"/>
  <c r="F267" i="1"/>
  <c r="G267" i="1" s="1"/>
  <c r="H267" i="1"/>
  <c r="K267" i="1"/>
  <c r="L267" i="1"/>
  <c r="F268" i="1"/>
  <c r="G268" i="1" s="1"/>
  <c r="H268" i="1"/>
  <c r="K268" i="1"/>
  <c r="L268" i="1"/>
  <c r="F269" i="1"/>
  <c r="H269" i="1"/>
  <c r="K269" i="1"/>
  <c r="L269" i="1"/>
  <c r="F270" i="1"/>
  <c r="H270" i="1"/>
  <c r="K270" i="1"/>
  <c r="L270" i="1"/>
  <c r="F271" i="1"/>
  <c r="H271" i="1"/>
  <c r="K271" i="1"/>
  <c r="L271" i="1"/>
  <c r="F272" i="1"/>
  <c r="H272" i="1"/>
  <c r="K272" i="1"/>
  <c r="L272" i="1"/>
  <c r="F273" i="1"/>
  <c r="I273" i="1" s="1"/>
  <c r="H273" i="1"/>
  <c r="K273" i="1"/>
  <c r="L273" i="1"/>
  <c r="F274" i="1"/>
  <c r="G274" i="1" s="1"/>
  <c r="H274" i="1"/>
  <c r="K274" i="1"/>
  <c r="L274" i="1"/>
  <c r="F275" i="1"/>
  <c r="H275" i="1"/>
  <c r="K275" i="1"/>
  <c r="L275" i="1"/>
  <c r="F276" i="1"/>
  <c r="H276" i="1"/>
  <c r="K276" i="1"/>
  <c r="L276" i="1"/>
  <c r="F277" i="1"/>
  <c r="G277" i="1" s="1"/>
  <c r="H277" i="1"/>
  <c r="K277" i="1"/>
  <c r="L277" i="1"/>
  <c r="F278" i="1"/>
  <c r="G278" i="1" s="1"/>
  <c r="H278" i="1"/>
  <c r="K278" i="1"/>
  <c r="L278" i="1"/>
  <c r="F279" i="1"/>
  <c r="I279" i="1" s="1"/>
  <c r="H279" i="1"/>
  <c r="K279" i="1"/>
  <c r="L279" i="1"/>
  <c r="F280" i="1"/>
  <c r="H280" i="1"/>
  <c r="K280" i="1"/>
  <c r="L280" i="1"/>
  <c r="F281" i="1"/>
  <c r="I281" i="1" s="1"/>
  <c r="H281" i="1"/>
  <c r="K281" i="1"/>
  <c r="L281" i="1"/>
  <c r="F282" i="1"/>
  <c r="H282" i="1"/>
  <c r="K282" i="1"/>
  <c r="L282" i="1"/>
  <c r="F283" i="1"/>
  <c r="G283" i="1" s="1"/>
  <c r="H283" i="1"/>
  <c r="K283" i="1"/>
  <c r="L283" i="1"/>
  <c r="F284" i="1"/>
  <c r="G284" i="1" s="1"/>
  <c r="H284" i="1"/>
  <c r="K284" i="1"/>
  <c r="L284" i="1"/>
  <c r="F285" i="1"/>
  <c r="H285" i="1"/>
  <c r="K285" i="1"/>
  <c r="L285" i="1"/>
  <c r="F286" i="1"/>
  <c r="H286" i="1"/>
  <c r="K286" i="1"/>
  <c r="L286" i="1"/>
  <c r="F287" i="1"/>
  <c r="I287" i="1" s="1"/>
  <c r="H287" i="1"/>
  <c r="K287" i="1"/>
  <c r="L287" i="1"/>
  <c r="F288" i="1"/>
  <c r="G288" i="1" s="1"/>
  <c r="H288" i="1"/>
  <c r="K288" i="1"/>
  <c r="L288" i="1"/>
  <c r="F289" i="1"/>
  <c r="G289" i="1" s="1"/>
  <c r="H289" i="1"/>
  <c r="K289" i="1"/>
  <c r="L289" i="1"/>
  <c r="F290" i="1"/>
  <c r="H290" i="1"/>
  <c r="K290" i="1"/>
  <c r="L290" i="1"/>
  <c r="F291" i="1"/>
  <c r="I291" i="1" s="1"/>
  <c r="H291" i="1"/>
  <c r="K291" i="1"/>
  <c r="L291" i="1"/>
  <c r="F292" i="1"/>
  <c r="I292" i="1" s="1"/>
  <c r="H292" i="1"/>
  <c r="K292" i="1"/>
  <c r="L292" i="1"/>
  <c r="F293" i="1"/>
  <c r="G293" i="1" s="1"/>
  <c r="H293" i="1"/>
  <c r="K293" i="1"/>
  <c r="L293" i="1"/>
  <c r="F294" i="1"/>
  <c r="G294" i="1" s="1"/>
  <c r="H294" i="1"/>
  <c r="K294" i="1"/>
  <c r="L294" i="1"/>
  <c r="F295" i="1"/>
  <c r="H295" i="1"/>
  <c r="K295" i="1"/>
  <c r="L295" i="1"/>
  <c r="F296" i="1"/>
  <c r="I296" i="1" s="1"/>
  <c r="H296" i="1"/>
  <c r="K296" i="1"/>
  <c r="L296" i="1"/>
  <c r="F297" i="1"/>
  <c r="I297" i="1" s="1"/>
  <c r="H297" i="1"/>
  <c r="K297" i="1"/>
  <c r="L297" i="1"/>
  <c r="F298" i="1"/>
  <c r="G298" i="1" s="1"/>
  <c r="H298" i="1"/>
  <c r="K298" i="1"/>
  <c r="L298" i="1"/>
  <c r="F299" i="1"/>
  <c r="G299" i="1" s="1"/>
  <c r="H299" i="1"/>
  <c r="K299" i="1"/>
  <c r="L299" i="1"/>
  <c r="F300" i="1"/>
  <c r="H300" i="1"/>
  <c r="K300" i="1"/>
  <c r="L300" i="1"/>
  <c r="F301" i="1"/>
  <c r="I301" i="1" s="1"/>
  <c r="H301" i="1"/>
  <c r="K301" i="1"/>
  <c r="L301" i="1"/>
  <c r="F302" i="1"/>
  <c r="I302" i="1" s="1"/>
  <c r="H302" i="1"/>
  <c r="K302" i="1"/>
  <c r="L302" i="1"/>
  <c r="F303" i="1"/>
  <c r="H303" i="1"/>
  <c r="K303" i="1"/>
  <c r="L303" i="1"/>
  <c r="F304" i="1"/>
  <c r="G304" i="1" s="1"/>
  <c r="H304" i="1"/>
  <c r="K304" i="1"/>
  <c r="L304" i="1"/>
  <c r="F305" i="1"/>
  <c r="H305" i="1"/>
  <c r="K305" i="1"/>
  <c r="L305" i="1"/>
  <c r="F306" i="1"/>
  <c r="I306" i="1" s="1"/>
  <c r="H306" i="1"/>
  <c r="K306" i="1"/>
  <c r="L306" i="1"/>
  <c r="F307" i="1"/>
  <c r="G307" i="1" s="1"/>
  <c r="H307" i="1"/>
  <c r="K307" i="1"/>
  <c r="L307" i="1"/>
  <c r="F308" i="1"/>
  <c r="G308" i="1" s="1"/>
  <c r="H308" i="1"/>
  <c r="K308" i="1"/>
  <c r="L308" i="1"/>
  <c r="F309" i="1"/>
  <c r="H309" i="1"/>
  <c r="K309" i="1"/>
  <c r="L309" i="1"/>
  <c r="F310" i="1"/>
  <c r="H310" i="1"/>
  <c r="K310" i="1"/>
  <c r="L310" i="1"/>
  <c r="F311" i="1"/>
  <c r="H311" i="1"/>
  <c r="K311" i="1"/>
  <c r="L311" i="1"/>
  <c r="F312" i="1"/>
  <c r="I312" i="1" s="1"/>
  <c r="H312" i="1"/>
  <c r="K312" i="1"/>
  <c r="L312" i="1"/>
  <c r="F313" i="1"/>
  <c r="G313" i="1" s="1"/>
  <c r="H313" i="1"/>
  <c r="K313" i="1"/>
  <c r="L313" i="1"/>
  <c r="F314" i="1"/>
  <c r="G314" i="1" s="1"/>
  <c r="H314" i="1"/>
  <c r="K314" i="1"/>
  <c r="L314" i="1"/>
  <c r="F315" i="1"/>
  <c r="H315" i="1"/>
  <c r="K315" i="1"/>
  <c r="L315" i="1"/>
  <c r="F316" i="1"/>
  <c r="I316" i="1" s="1"/>
  <c r="H316" i="1"/>
  <c r="K316" i="1"/>
  <c r="L316" i="1"/>
  <c r="F317" i="1"/>
  <c r="I317" i="1" s="1"/>
  <c r="H317" i="1"/>
  <c r="K317" i="1"/>
  <c r="L317" i="1"/>
  <c r="F318" i="1"/>
  <c r="I318" i="1" s="1"/>
  <c r="H318" i="1"/>
  <c r="K318" i="1"/>
  <c r="L318" i="1"/>
  <c r="F319" i="1"/>
  <c r="G319" i="1" s="1"/>
  <c r="H319" i="1"/>
  <c r="K319" i="1"/>
  <c r="L319" i="1"/>
  <c r="F320" i="1"/>
  <c r="H320" i="1"/>
  <c r="K320" i="1"/>
  <c r="L320" i="1"/>
  <c r="F321" i="1"/>
  <c r="H321" i="1"/>
  <c r="K321" i="1"/>
  <c r="L321" i="1"/>
  <c r="F322" i="1"/>
  <c r="H322" i="1"/>
  <c r="K322" i="1"/>
  <c r="L322" i="1"/>
  <c r="F323" i="1"/>
  <c r="G323" i="1" s="1"/>
  <c r="H323" i="1"/>
  <c r="K323" i="1"/>
  <c r="L323" i="1"/>
  <c r="F324" i="1"/>
  <c r="I324" i="1" s="1"/>
  <c r="H324" i="1"/>
  <c r="K324" i="1"/>
  <c r="L324" i="1"/>
  <c r="F325" i="1"/>
  <c r="I325" i="1" s="1"/>
  <c r="H325" i="1"/>
  <c r="K325" i="1"/>
  <c r="L325" i="1"/>
  <c r="F326" i="1"/>
  <c r="H326" i="1"/>
  <c r="K326" i="1"/>
  <c r="L326" i="1"/>
  <c r="F327" i="1"/>
  <c r="H327" i="1"/>
  <c r="K327" i="1"/>
  <c r="L327" i="1"/>
  <c r="F328" i="1"/>
  <c r="G328" i="1" s="1"/>
  <c r="H328" i="1"/>
  <c r="K328" i="1"/>
  <c r="L328" i="1"/>
  <c r="F329" i="1"/>
  <c r="H329" i="1"/>
  <c r="K329" i="1"/>
  <c r="L329" i="1"/>
  <c r="F330" i="1"/>
  <c r="H330" i="1"/>
  <c r="K330" i="1"/>
  <c r="L330" i="1"/>
  <c r="F331" i="1"/>
  <c r="H331" i="1"/>
  <c r="K331" i="1"/>
  <c r="L331" i="1"/>
  <c r="F332" i="1"/>
  <c r="H332" i="1"/>
  <c r="K332" i="1"/>
  <c r="L332" i="1"/>
  <c r="F333" i="1"/>
  <c r="I333" i="1" s="1"/>
  <c r="H333" i="1"/>
  <c r="K333" i="1"/>
  <c r="L333" i="1"/>
  <c r="F334" i="1"/>
  <c r="I334" i="1" s="1"/>
  <c r="H334" i="1"/>
  <c r="K334" i="1"/>
  <c r="L334" i="1"/>
  <c r="F335" i="1"/>
  <c r="H335" i="1"/>
  <c r="K335" i="1"/>
  <c r="L335" i="1"/>
  <c r="F336" i="1"/>
  <c r="I336" i="1" s="1"/>
  <c r="H336" i="1"/>
  <c r="K336" i="1"/>
  <c r="L336" i="1"/>
  <c r="F337" i="1"/>
  <c r="G337" i="1" s="1"/>
  <c r="H337" i="1"/>
  <c r="K337" i="1"/>
  <c r="L337" i="1"/>
  <c r="F338" i="1"/>
  <c r="I338" i="1" s="1"/>
  <c r="H338" i="1"/>
  <c r="K338" i="1"/>
  <c r="L338" i="1"/>
  <c r="F339" i="1"/>
  <c r="G339" i="1" s="1"/>
  <c r="H339" i="1"/>
  <c r="K339" i="1"/>
  <c r="L339" i="1"/>
  <c r="F340" i="1"/>
  <c r="I340" i="1" s="1"/>
  <c r="H340" i="1"/>
  <c r="K340" i="1"/>
  <c r="L340" i="1"/>
  <c r="F341" i="1"/>
  <c r="G341" i="1" s="1"/>
  <c r="H341" i="1"/>
  <c r="K341" i="1"/>
  <c r="L341" i="1"/>
  <c r="F342" i="1"/>
  <c r="H342" i="1"/>
  <c r="K342" i="1"/>
  <c r="L342" i="1"/>
  <c r="F343" i="1"/>
  <c r="I343" i="1" s="1"/>
  <c r="H343" i="1"/>
  <c r="K343" i="1"/>
  <c r="L343" i="1"/>
  <c r="F344" i="1"/>
  <c r="G344" i="1" s="1"/>
  <c r="H344" i="1"/>
  <c r="K344" i="1"/>
  <c r="L344" i="1"/>
  <c r="F345" i="1"/>
  <c r="I345" i="1" s="1"/>
  <c r="H345" i="1"/>
  <c r="K345" i="1"/>
  <c r="L345" i="1"/>
  <c r="F346" i="1"/>
  <c r="G346" i="1" s="1"/>
  <c r="H346" i="1"/>
  <c r="K346" i="1"/>
  <c r="L346" i="1"/>
  <c r="F347" i="1"/>
  <c r="I347" i="1" s="1"/>
  <c r="H347" i="1"/>
  <c r="K347" i="1"/>
  <c r="L347" i="1"/>
  <c r="F348" i="1"/>
  <c r="I348" i="1" s="1"/>
  <c r="H348" i="1"/>
  <c r="K348" i="1"/>
  <c r="L348" i="1"/>
  <c r="F349" i="1"/>
  <c r="G349" i="1" s="1"/>
  <c r="H349" i="1"/>
  <c r="K349" i="1"/>
  <c r="L349" i="1"/>
  <c r="F350" i="1"/>
  <c r="H350" i="1"/>
  <c r="K350" i="1"/>
  <c r="L350" i="1"/>
  <c r="F351" i="1"/>
  <c r="G351" i="1" s="1"/>
  <c r="H351" i="1"/>
  <c r="K351" i="1"/>
  <c r="L351" i="1"/>
  <c r="F352" i="1"/>
  <c r="H352" i="1"/>
  <c r="K352" i="1"/>
  <c r="L352" i="1"/>
  <c r="F353" i="1"/>
  <c r="G353" i="1" s="1"/>
  <c r="H353" i="1"/>
  <c r="K353" i="1"/>
  <c r="L353" i="1"/>
  <c r="F354" i="1"/>
  <c r="I354" i="1" s="1"/>
  <c r="H354" i="1"/>
  <c r="K354" i="1"/>
  <c r="L354" i="1"/>
  <c r="F355" i="1"/>
  <c r="G355" i="1" s="1"/>
  <c r="H355" i="1"/>
  <c r="K355" i="1"/>
  <c r="L355" i="1"/>
  <c r="F356" i="1"/>
  <c r="I356" i="1" s="1"/>
  <c r="H356" i="1"/>
  <c r="K356" i="1"/>
  <c r="L356" i="1"/>
  <c r="F357" i="1"/>
  <c r="H357" i="1"/>
  <c r="K357" i="1"/>
  <c r="L357" i="1"/>
  <c r="F358" i="1"/>
  <c r="I358" i="1" s="1"/>
  <c r="H358" i="1"/>
  <c r="K358" i="1"/>
  <c r="L358" i="1"/>
  <c r="F359" i="1"/>
  <c r="G359" i="1" s="1"/>
  <c r="H359" i="1"/>
  <c r="K359" i="1"/>
  <c r="L359" i="1"/>
  <c r="F360" i="1"/>
  <c r="G360" i="1" s="1"/>
  <c r="H360" i="1"/>
  <c r="K360" i="1"/>
  <c r="L360" i="1"/>
  <c r="F361" i="1"/>
  <c r="G361" i="1" s="1"/>
  <c r="H361" i="1"/>
  <c r="K361" i="1"/>
  <c r="L361" i="1"/>
  <c r="F362" i="1"/>
  <c r="G362" i="1" s="1"/>
  <c r="H362" i="1"/>
  <c r="K362" i="1"/>
  <c r="L362" i="1"/>
  <c r="F363" i="1"/>
  <c r="H363" i="1"/>
  <c r="K363" i="1"/>
  <c r="L363" i="1"/>
  <c r="F364" i="1"/>
  <c r="G364" i="1" s="1"/>
  <c r="H364" i="1"/>
  <c r="K364" i="1"/>
  <c r="L364" i="1"/>
  <c r="F365" i="1"/>
  <c r="G365" i="1" s="1"/>
  <c r="H365" i="1"/>
  <c r="K365" i="1"/>
  <c r="L365" i="1"/>
  <c r="F366" i="1"/>
  <c r="G366" i="1" s="1"/>
  <c r="H366" i="1"/>
  <c r="K366" i="1"/>
  <c r="L366" i="1"/>
  <c r="F367" i="1"/>
  <c r="H367" i="1"/>
  <c r="K367" i="1"/>
  <c r="L367" i="1"/>
  <c r="F368" i="1"/>
  <c r="G368" i="1" s="1"/>
  <c r="H368" i="1"/>
  <c r="K368" i="1"/>
  <c r="L368" i="1"/>
  <c r="F369" i="1"/>
  <c r="H369" i="1"/>
  <c r="K369" i="1"/>
  <c r="L369" i="1"/>
  <c r="F370" i="1"/>
  <c r="H370" i="1"/>
  <c r="K370" i="1"/>
  <c r="L370" i="1"/>
  <c r="F371" i="1"/>
  <c r="G371" i="1" s="1"/>
  <c r="H371" i="1"/>
  <c r="K371" i="1"/>
  <c r="L371" i="1"/>
  <c r="F372" i="1"/>
  <c r="G372" i="1" s="1"/>
  <c r="H372" i="1"/>
  <c r="K372" i="1"/>
  <c r="L372" i="1"/>
  <c r="F373" i="1"/>
  <c r="G373" i="1" s="1"/>
  <c r="H373" i="1"/>
  <c r="K373" i="1"/>
  <c r="L373" i="1"/>
  <c r="F374" i="1"/>
  <c r="G374" i="1" s="1"/>
  <c r="H374" i="1"/>
  <c r="K374" i="1"/>
  <c r="L374" i="1"/>
  <c r="F375" i="1"/>
  <c r="I375" i="1" s="1"/>
  <c r="H375" i="1"/>
  <c r="K375" i="1"/>
  <c r="L375" i="1"/>
  <c r="F376" i="1"/>
  <c r="H376" i="1"/>
  <c r="K376" i="1"/>
  <c r="L376" i="1"/>
  <c r="F377" i="1"/>
  <c r="H377" i="1"/>
  <c r="K377" i="1"/>
  <c r="L377" i="1"/>
  <c r="F378" i="1"/>
  <c r="H378" i="1"/>
  <c r="K378" i="1"/>
  <c r="L378" i="1"/>
  <c r="F379" i="1"/>
  <c r="G379" i="1" s="1"/>
  <c r="H379" i="1"/>
  <c r="K379" i="1"/>
  <c r="L379" i="1"/>
  <c r="F380" i="1"/>
  <c r="G380" i="1" s="1"/>
  <c r="H380" i="1"/>
  <c r="K380" i="1"/>
  <c r="L380" i="1"/>
  <c r="F381" i="1"/>
  <c r="I381" i="1" s="1"/>
  <c r="H381" i="1"/>
  <c r="K381" i="1"/>
  <c r="L381" i="1"/>
  <c r="F382" i="1"/>
  <c r="G382" i="1" s="1"/>
  <c r="H382" i="1"/>
  <c r="K382" i="1"/>
  <c r="L382" i="1"/>
  <c r="F383" i="1"/>
  <c r="G383" i="1" s="1"/>
  <c r="H383" i="1"/>
  <c r="K383" i="1"/>
  <c r="L383" i="1"/>
  <c r="F384" i="1"/>
  <c r="G384" i="1" s="1"/>
  <c r="H384" i="1"/>
  <c r="K384" i="1"/>
  <c r="L384" i="1"/>
  <c r="F385" i="1"/>
  <c r="G385" i="1" s="1"/>
  <c r="H385" i="1"/>
  <c r="K385" i="1"/>
  <c r="L385" i="1"/>
  <c r="F386" i="1"/>
  <c r="G386" i="1" s="1"/>
  <c r="H386" i="1"/>
  <c r="K386" i="1"/>
  <c r="L386" i="1"/>
  <c r="F387" i="1"/>
  <c r="G387" i="1" s="1"/>
  <c r="H387" i="1"/>
  <c r="K387" i="1"/>
  <c r="L387" i="1"/>
  <c r="F388" i="1"/>
  <c r="G388" i="1" s="1"/>
  <c r="H388" i="1"/>
  <c r="K388" i="1"/>
  <c r="L388" i="1"/>
  <c r="F389" i="1"/>
  <c r="I389" i="1" s="1"/>
  <c r="H389" i="1"/>
  <c r="K389" i="1"/>
  <c r="L389" i="1"/>
  <c r="F390" i="1"/>
  <c r="G390" i="1" s="1"/>
  <c r="H390" i="1"/>
  <c r="K390" i="1"/>
  <c r="L390" i="1"/>
  <c r="F391" i="1"/>
  <c r="G391" i="1" s="1"/>
  <c r="H391" i="1"/>
  <c r="K391" i="1"/>
  <c r="L391" i="1"/>
  <c r="F392" i="1"/>
  <c r="H392" i="1"/>
  <c r="K392" i="1"/>
  <c r="L392" i="1"/>
  <c r="F393" i="1"/>
  <c r="G393" i="1" s="1"/>
  <c r="H393" i="1"/>
  <c r="K393" i="1"/>
  <c r="L393" i="1"/>
  <c r="F394" i="1"/>
  <c r="H394" i="1"/>
  <c r="K394" i="1"/>
  <c r="L394" i="1"/>
  <c r="F395" i="1"/>
  <c r="G395" i="1" s="1"/>
  <c r="H395" i="1"/>
  <c r="K395" i="1"/>
  <c r="L395" i="1"/>
  <c r="F396" i="1"/>
  <c r="G396" i="1" s="1"/>
  <c r="H396" i="1"/>
  <c r="K396" i="1"/>
  <c r="L396" i="1"/>
  <c r="F397" i="1"/>
  <c r="G397" i="1" s="1"/>
  <c r="H397" i="1"/>
  <c r="K397" i="1"/>
  <c r="L397" i="1"/>
  <c r="F398" i="1"/>
  <c r="G398" i="1" s="1"/>
  <c r="H398" i="1"/>
  <c r="K398" i="1"/>
  <c r="L398" i="1"/>
  <c r="F399" i="1"/>
  <c r="H399" i="1"/>
  <c r="K399" i="1"/>
  <c r="L399" i="1"/>
  <c r="F400" i="1"/>
  <c r="H400" i="1"/>
  <c r="K400" i="1"/>
  <c r="L400" i="1"/>
  <c r="F401" i="1"/>
  <c r="H401" i="1"/>
  <c r="K401" i="1"/>
  <c r="L401" i="1"/>
  <c r="F402" i="1"/>
  <c r="H402" i="1"/>
  <c r="K402" i="1"/>
  <c r="L402" i="1"/>
  <c r="F403" i="1"/>
  <c r="H403" i="1"/>
  <c r="K403" i="1"/>
  <c r="L403" i="1"/>
  <c r="F404" i="1"/>
  <c r="I404" i="1" s="1"/>
  <c r="H404" i="1"/>
  <c r="K404" i="1"/>
  <c r="L404" i="1"/>
  <c r="F405" i="1"/>
  <c r="G405" i="1" s="1"/>
  <c r="H405" i="1"/>
  <c r="K405" i="1"/>
  <c r="L405" i="1"/>
  <c r="F406" i="1"/>
  <c r="G406" i="1" s="1"/>
  <c r="H406" i="1"/>
  <c r="K406" i="1"/>
  <c r="L406" i="1"/>
  <c r="F407" i="1"/>
  <c r="H407" i="1"/>
  <c r="K407" i="1"/>
  <c r="L407" i="1"/>
  <c r="F408" i="1"/>
  <c r="G408" i="1" s="1"/>
  <c r="H408" i="1"/>
  <c r="K408" i="1"/>
  <c r="L408" i="1"/>
  <c r="F409" i="1"/>
  <c r="H409" i="1"/>
  <c r="K409" i="1"/>
  <c r="L409" i="1"/>
  <c r="F410" i="1"/>
  <c r="G410" i="1" s="1"/>
  <c r="H410" i="1"/>
  <c r="K410" i="1"/>
  <c r="L410" i="1"/>
  <c r="F411" i="1"/>
  <c r="G411" i="1" s="1"/>
  <c r="H411" i="1"/>
  <c r="K411" i="1"/>
  <c r="L411" i="1"/>
  <c r="F412" i="1"/>
  <c r="H412" i="1"/>
  <c r="K412" i="1"/>
  <c r="L412" i="1"/>
  <c r="F413" i="1"/>
  <c r="G413" i="1" s="1"/>
  <c r="H413" i="1"/>
  <c r="K413" i="1"/>
  <c r="L413" i="1"/>
  <c r="F414" i="1"/>
  <c r="G414" i="1" s="1"/>
  <c r="H414" i="1"/>
  <c r="K414" i="1"/>
  <c r="L414" i="1"/>
  <c r="F415" i="1"/>
  <c r="G415" i="1" s="1"/>
  <c r="H415" i="1"/>
  <c r="K415" i="1"/>
  <c r="L415" i="1"/>
  <c r="F416" i="1"/>
  <c r="I416" i="1" s="1"/>
  <c r="H416" i="1"/>
  <c r="K416" i="1"/>
  <c r="L416" i="1"/>
  <c r="F417" i="1"/>
  <c r="G417" i="1" s="1"/>
  <c r="H417" i="1"/>
  <c r="K417" i="1"/>
  <c r="L417" i="1"/>
  <c r="F418" i="1"/>
  <c r="I418" i="1" s="1"/>
  <c r="H418" i="1"/>
  <c r="K418" i="1"/>
  <c r="L418" i="1"/>
  <c r="F419" i="1"/>
  <c r="I419" i="1" s="1"/>
  <c r="H419" i="1"/>
  <c r="K419" i="1"/>
  <c r="L419" i="1"/>
  <c r="F420" i="1"/>
  <c r="H420" i="1"/>
  <c r="K420" i="1"/>
  <c r="L420" i="1"/>
  <c r="F421" i="1"/>
  <c r="H421" i="1"/>
  <c r="K421" i="1"/>
  <c r="L421" i="1"/>
  <c r="F422" i="1"/>
  <c r="G422" i="1" s="1"/>
  <c r="H422" i="1"/>
  <c r="K422" i="1"/>
  <c r="L422" i="1"/>
  <c r="F423" i="1"/>
  <c r="H423" i="1"/>
  <c r="K423" i="1"/>
  <c r="L423" i="1"/>
  <c r="F424" i="1"/>
  <c r="G424" i="1" s="1"/>
  <c r="H424" i="1"/>
  <c r="K424" i="1"/>
  <c r="L424" i="1"/>
  <c r="F425" i="1"/>
  <c r="H425" i="1"/>
  <c r="K425" i="1"/>
  <c r="L425" i="1"/>
  <c r="F426" i="1"/>
  <c r="G426" i="1" s="1"/>
  <c r="H426" i="1"/>
  <c r="K426" i="1"/>
  <c r="L426" i="1"/>
  <c r="F427" i="1"/>
  <c r="G427" i="1" s="1"/>
  <c r="H427" i="1"/>
  <c r="K427" i="1"/>
  <c r="L427" i="1"/>
  <c r="F428" i="1"/>
  <c r="G428" i="1" s="1"/>
  <c r="H428" i="1"/>
  <c r="K428" i="1"/>
  <c r="L428" i="1"/>
  <c r="F429" i="1"/>
  <c r="I429" i="1" s="1"/>
  <c r="H429" i="1"/>
  <c r="K429" i="1"/>
  <c r="L429" i="1"/>
  <c r="F430" i="1"/>
  <c r="I430" i="1" s="1"/>
  <c r="H430" i="1"/>
  <c r="K430" i="1"/>
  <c r="L430" i="1"/>
  <c r="F431" i="1"/>
  <c r="G431" i="1" s="1"/>
  <c r="H431" i="1"/>
  <c r="K431" i="1"/>
  <c r="L431" i="1"/>
  <c r="F432" i="1"/>
  <c r="H432" i="1"/>
  <c r="K432" i="1"/>
  <c r="L432" i="1"/>
  <c r="F433" i="1"/>
  <c r="G433" i="1" s="1"/>
  <c r="H433" i="1"/>
  <c r="K433" i="1"/>
  <c r="L433" i="1"/>
  <c r="F434" i="1"/>
  <c r="H434" i="1"/>
  <c r="K434" i="1"/>
  <c r="L434" i="1"/>
  <c r="F435" i="1"/>
  <c r="G435" i="1" s="1"/>
  <c r="H435" i="1"/>
  <c r="K435" i="1"/>
  <c r="L435" i="1"/>
  <c r="F436" i="1"/>
  <c r="G436" i="1" s="1"/>
  <c r="H436" i="1"/>
  <c r="K436" i="1"/>
  <c r="L436" i="1"/>
  <c r="F437" i="1"/>
  <c r="G437" i="1" s="1"/>
  <c r="H437" i="1"/>
  <c r="K437" i="1"/>
  <c r="L437" i="1"/>
  <c r="F438" i="1"/>
  <c r="H438" i="1"/>
  <c r="K438" i="1"/>
  <c r="L438" i="1"/>
  <c r="F439" i="1"/>
  <c r="G439" i="1" s="1"/>
  <c r="H439" i="1"/>
  <c r="K439" i="1"/>
  <c r="L439" i="1"/>
  <c r="F440" i="1"/>
  <c r="G440" i="1" s="1"/>
  <c r="H440" i="1"/>
  <c r="K440" i="1"/>
  <c r="L440" i="1"/>
  <c r="F441" i="1"/>
  <c r="G441" i="1" s="1"/>
  <c r="H441" i="1"/>
  <c r="K441" i="1"/>
  <c r="L441" i="1"/>
  <c r="F442" i="1"/>
  <c r="H442" i="1"/>
  <c r="K442" i="1"/>
  <c r="L442" i="1"/>
  <c r="F443" i="1"/>
  <c r="G443" i="1" s="1"/>
  <c r="H443" i="1"/>
  <c r="K443" i="1"/>
  <c r="L443" i="1"/>
  <c r="F444" i="1"/>
  <c r="I444" i="1" s="1"/>
  <c r="H444" i="1"/>
  <c r="K444" i="1"/>
  <c r="L444" i="1"/>
  <c r="F445" i="1"/>
  <c r="H445" i="1"/>
  <c r="K445" i="1"/>
  <c r="L445" i="1"/>
  <c r="F446" i="1"/>
  <c r="H446" i="1"/>
  <c r="K446" i="1"/>
  <c r="L446" i="1"/>
  <c r="F447" i="1"/>
  <c r="G447" i="1" s="1"/>
  <c r="H447" i="1"/>
  <c r="K447" i="1"/>
  <c r="L447" i="1"/>
  <c r="F448" i="1"/>
  <c r="G448" i="1" s="1"/>
  <c r="H448" i="1"/>
  <c r="K448" i="1"/>
  <c r="L448" i="1"/>
  <c r="F449" i="1"/>
  <c r="G449" i="1" s="1"/>
  <c r="H449" i="1"/>
  <c r="K449" i="1"/>
  <c r="L449" i="1"/>
  <c r="F450" i="1"/>
  <c r="I450" i="1" s="1"/>
  <c r="H450" i="1"/>
  <c r="K450" i="1"/>
  <c r="L450" i="1"/>
  <c r="F451" i="1"/>
  <c r="G451" i="1" s="1"/>
  <c r="H451" i="1"/>
  <c r="K451" i="1"/>
  <c r="L451" i="1"/>
  <c r="F452" i="1"/>
  <c r="H452" i="1"/>
  <c r="K452" i="1"/>
  <c r="L452" i="1"/>
  <c r="F453" i="1"/>
  <c r="I453" i="1" s="1"/>
  <c r="H453" i="1"/>
  <c r="K453" i="1"/>
  <c r="L453" i="1"/>
  <c r="F454" i="1"/>
  <c r="I454" i="1" s="1"/>
  <c r="H454" i="1"/>
  <c r="K454" i="1"/>
  <c r="L454" i="1"/>
  <c r="F455" i="1"/>
  <c r="G455" i="1" s="1"/>
  <c r="H455" i="1"/>
  <c r="K455" i="1"/>
  <c r="L455" i="1"/>
  <c r="F456" i="1"/>
  <c r="I456" i="1" s="1"/>
  <c r="H456" i="1"/>
  <c r="K456" i="1"/>
  <c r="L456" i="1"/>
  <c r="F457" i="1"/>
  <c r="G457" i="1" s="1"/>
  <c r="H457" i="1"/>
  <c r="K457" i="1"/>
  <c r="L457" i="1"/>
  <c r="F458" i="1"/>
  <c r="I458" i="1" s="1"/>
  <c r="H458" i="1"/>
  <c r="K458" i="1"/>
  <c r="L458" i="1"/>
  <c r="F459" i="1"/>
  <c r="H459" i="1"/>
  <c r="K459" i="1"/>
  <c r="L459" i="1"/>
  <c r="F460" i="1"/>
  <c r="G460" i="1" s="1"/>
  <c r="H460" i="1"/>
  <c r="K460" i="1"/>
  <c r="L460" i="1"/>
  <c r="F461" i="1"/>
  <c r="G461" i="1" s="1"/>
  <c r="H461" i="1"/>
  <c r="K461" i="1"/>
  <c r="L461" i="1"/>
  <c r="F462" i="1"/>
  <c r="H462" i="1"/>
  <c r="K462" i="1"/>
  <c r="L462" i="1"/>
  <c r="F463" i="1"/>
  <c r="G463" i="1" s="1"/>
  <c r="H463" i="1"/>
  <c r="K463" i="1"/>
  <c r="L463" i="1"/>
  <c r="F464" i="1"/>
  <c r="G464" i="1" s="1"/>
  <c r="H464" i="1"/>
  <c r="K464" i="1"/>
  <c r="L464" i="1"/>
  <c r="F465" i="1"/>
  <c r="H465" i="1"/>
  <c r="K465" i="1"/>
  <c r="L465" i="1"/>
  <c r="F466" i="1"/>
  <c r="I466" i="1" s="1"/>
  <c r="H466" i="1"/>
  <c r="K466" i="1"/>
  <c r="L466" i="1"/>
  <c r="F467" i="1"/>
  <c r="G467" i="1" s="1"/>
  <c r="H467" i="1"/>
  <c r="K467" i="1"/>
  <c r="L467" i="1"/>
  <c r="F468" i="1"/>
  <c r="G468" i="1" s="1"/>
  <c r="H468" i="1"/>
  <c r="K468" i="1"/>
  <c r="L468" i="1"/>
  <c r="F469" i="1"/>
  <c r="I469" i="1" s="1"/>
  <c r="H469" i="1"/>
  <c r="K469" i="1"/>
  <c r="L469" i="1"/>
  <c r="F470" i="1"/>
  <c r="H470" i="1"/>
  <c r="K470" i="1"/>
  <c r="L470" i="1"/>
  <c r="F471" i="1"/>
  <c r="H471" i="1"/>
  <c r="K471" i="1"/>
  <c r="L471" i="1"/>
  <c r="F472" i="1"/>
  <c r="G472" i="1" s="1"/>
  <c r="H472" i="1"/>
  <c r="K472" i="1"/>
  <c r="L472" i="1"/>
  <c r="F473" i="1"/>
  <c r="G473" i="1" s="1"/>
  <c r="H473" i="1"/>
  <c r="K473" i="1"/>
  <c r="L473" i="1"/>
  <c r="F474" i="1"/>
  <c r="G474" i="1" s="1"/>
  <c r="H474" i="1"/>
  <c r="K474" i="1"/>
  <c r="L474" i="1"/>
  <c r="F475" i="1"/>
  <c r="I475" i="1" s="1"/>
  <c r="H475" i="1"/>
  <c r="K475" i="1"/>
  <c r="L475" i="1"/>
  <c r="F476" i="1"/>
  <c r="G476" i="1" s="1"/>
  <c r="H476" i="1"/>
  <c r="K476" i="1"/>
  <c r="L476" i="1"/>
  <c r="F477" i="1"/>
  <c r="G477" i="1" s="1"/>
  <c r="H477" i="1"/>
  <c r="K477" i="1"/>
  <c r="L477" i="1"/>
  <c r="F478" i="1"/>
  <c r="G478" i="1" s="1"/>
  <c r="H478" i="1"/>
  <c r="K478" i="1"/>
  <c r="L478" i="1"/>
  <c r="F479" i="1"/>
  <c r="I479" i="1" s="1"/>
  <c r="H479" i="1"/>
  <c r="K479" i="1"/>
  <c r="L479" i="1"/>
  <c r="F480" i="1"/>
  <c r="H480" i="1"/>
  <c r="K480" i="1"/>
  <c r="L480" i="1"/>
  <c r="F481" i="1"/>
  <c r="G481" i="1" s="1"/>
  <c r="H481" i="1"/>
  <c r="K481" i="1"/>
  <c r="L481" i="1"/>
  <c r="F482" i="1"/>
  <c r="H482" i="1"/>
  <c r="K482" i="1"/>
  <c r="L482" i="1"/>
  <c r="F483" i="1"/>
  <c r="G483" i="1" s="1"/>
  <c r="H483" i="1"/>
  <c r="K483" i="1"/>
  <c r="L483" i="1"/>
  <c r="F484" i="1"/>
  <c r="H484" i="1"/>
  <c r="K484" i="1"/>
  <c r="L484" i="1"/>
  <c r="F485" i="1"/>
  <c r="G485" i="1" s="1"/>
  <c r="H485" i="1"/>
  <c r="K485" i="1"/>
  <c r="L485" i="1"/>
  <c r="F486" i="1"/>
  <c r="G486" i="1" s="1"/>
  <c r="H486" i="1"/>
  <c r="K486" i="1"/>
  <c r="L486" i="1"/>
  <c r="F487" i="1"/>
  <c r="G487" i="1" s="1"/>
  <c r="H487" i="1"/>
  <c r="K487" i="1"/>
  <c r="L487" i="1"/>
  <c r="F488" i="1"/>
  <c r="G488" i="1" s="1"/>
  <c r="H488" i="1"/>
  <c r="K488" i="1"/>
  <c r="L488" i="1"/>
  <c r="F489" i="1"/>
  <c r="G489" i="1" s="1"/>
  <c r="H489" i="1"/>
  <c r="K489" i="1"/>
  <c r="L489" i="1"/>
  <c r="F490" i="1"/>
  <c r="G490" i="1" s="1"/>
  <c r="H490" i="1"/>
  <c r="K490" i="1"/>
  <c r="L490" i="1"/>
  <c r="F491" i="1"/>
  <c r="I491" i="1" s="1"/>
  <c r="H491" i="1"/>
  <c r="K491" i="1"/>
  <c r="L491" i="1"/>
  <c r="F492" i="1"/>
  <c r="G492" i="1" s="1"/>
  <c r="H492" i="1"/>
  <c r="K492" i="1"/>
  <c r="L492" i="1"/>
  <c r="F493" i="1"/>
  <c r="G493" i="1" s="1"/>
  <c r="H493" i="1"/>
  <c r="K493" i="1"/>
  <c r="L493" i="1"/>
  <c r="F494" i="1"/>
  <c r="I494" i="1" s="1"/>
  <c r="H494" i="1"/>
  <c r="K494" i="1"/>
  <c r="L494" i="1"/>
  <c r="F495" i="1"/>
  <c r="H495" i="1"/>
  <c r="K495" i="1"/>
  <c r="L495" i="1"/>
  <c r="F496" i="1"/>
  <c r="H496" i="1"/>
  <c r="K496" i="1"/>
  <c r="L496" i="1"/>
  <c r="F497" i="1"/>
  <c r="G497" i="1" s="1"/>
  <c r="H497" i="1"/>
  <c r="K497" i="1"/>
  <c r="L497" i="1"/>
  <c r="F498" i="1"/>
  <c r="H498" i="1"/>
  <c r="K498" i="1"/>
  <c r="L498" i="1"/>
  <c r="F499" i="1"/>
  <c r="G499" i="1" s="1"/>
  <c r="H499" i="1"/>
  <c r="K499" i="1"/>
  <c r="L499" i="1"/>
  <c r="F500" i="1"/>
  <c r="G500" i="1" s="1"/>
  <c r="H500" i="1"/>
  <c r="K500" i="1"/>
  <c r="L500" i="1"/>
  <c r="F501" i="1"/>
  <c r="G501" i="1" s="1"/>
  <c r="H501" i="1"/>
  <c r="K501" i="1"/>
  <c r="L501" i="1"/>
  <c r="F502" i="1"/>
  <c r="G502" i="1" s="1"/>
  <c r="H502" i="1"/>
  <c r="K502" i="1"/>
  <c r="L502" i="1"/>
  <c r="F503" i="1"/>
  <c r="G503" i="1" s="1"/>
  <c r="H503" i="1"/>
  <c r="K503" i="1"/>
  <c r="L503" i="1"/>
  <c r="F504" i="1"/>
  <c r="I504" i="1" s="1"/>
  <c r="H504" i="1"/>
  <c r="K504" i="1"/>
  <c r="L504" i="1"/>
  <c r="F505" i="1"/>
  <c r="I505" i="1" s="1"/>
  <c r="H505" i="1"/>
  <c r="K505" i="1"/>
  <c r="L505" i="1"/>
  <c r="F506" i="1"/>
  <c r="I506" i="1" s="1"/>
  <c r="H506" i="1"/>
  <c r="K506" i="1"/>
  <c r="L506" i="1"/>
  <c r="F507" i="1"/>
  <c r="G507" i="1" s="1"/>
  <c r="H507" i="1"/>
  <c r="K507" i="1"/>
  <c r="L507" i="1"/>
  <c r="F508" i="1"/>
  <c r="G508" i="1" s="1"/>
  <c r="H508" i="1"/>
  <c r="K508" i="1"/>
  <c r="L508" i="1"/>
  <c r="F509" i="1"/>
  <c r="H509" i="1"/>
  <c r="K509" i="1"/>
  <c r="L509" i="1"/>
  <c r="F510" i="1"/>
  <c r="G510" i="1" s="1"/>
  <c r="H510" i="1"/>
  <c r="K510" i="1"/>
  <c r="L510" i="1"/>
  <c r="F511" i="1"/>
  <c r="H511" i="1"/>
  <c r="K511" i="1"/>
  <c r="L511" i="1"/>
  <c r="F512" i="1"/>
  <c r="H512" i="1"/>
  <c r="K512" i="1"/>
  <c r="L512" i="1"/>
  <c r="F513" i="1"/>
  <c r="G513" i="1" s="1"/>
  <c r="H513" i="1"/>
  <c r="K513" i="1"/>
  <c r="L513" i="1"/>
  <c r="F514" i="1"/>
  <c r="G514" i="1" s="1"/>
  <c r="H514" i="1"/>
  <c r="K514" i="1"/>
  <c r="L514" i="1"/>
  <c r="F515" i="1"/>
  <c r="G515" i="1" s="1"/>
  <c r="H515" i="1"/>
  <c r="K515" i="1"/>
  <c r="L515" i="1"/>
  <c r="F516" i="1"/>
  <c r="G516" i="1" s="1"/>
  <c r="H516" i="1"/>
  <c r="K516" i="1"/>
  <c r="L516" i="1"/>
  <c r="F517" i="1"/>
  <c r="H517" i="1"/>
  <c r="K517" i="1"/>
  <c r="L517" i="1"/>
  <c r="F518" i="1"/>
  <c r="G518" i="1" s="1"/>
  <c r="H518" i="1"/>
  <c r="K518" i="1"/>
  <c r="L518" i="1"/>
  <c r="F519" i="1"/>
  <c r="I519" i="1" s="1"/>
  <c r="H519" i="1"/>
  <c r="K519" i="1"/>
  <c r="L519" i="1"/>
  <c r="F520" i="1"/>
  <c r="G520" i="1" s="1"/>
  <c r="H520" i="1"/>
  <c r="K520" i="1"/>
  <c r="L520" i="1"/>
  <c r="F521" i="1"/>
  <c r="I521" i="1" s="1"/>
  <c r="H521" i="1"/>
  <c r="K521" i="1"/>
  <c r="L521" i="1"/>
  <c r="F522" i="1"/>
  <c r="H522" i="1"/>
  <c r="K522" i="1"/>
  <c r="L522" i="1"/>
  <c r="F523" i="1"/>
  <c r="G523" i="1" s="1"/>
  <c r="H523" i="1"/>
  <c r="K523" i="1"/>
  <c r="L523" i="1"/>
  <c r="F524" i="1"/>
  <c r="H524" i="1"/>
  <c r="K524" i="1"/>
  <c r="L524" i="1"/>
  <c r="F525" i="1"/>
  <c r="G525" i="1" s="1"/>
  <c r="H525" i="1"/>
  <c r="K525" i="1"/>
  <c r="L525" i="1"/>
  <c r="F526" i="1"/>
  <c r="G526" i="1" s="1"/>
  <c r="H526" i="1"/>
  <c r="K526" i="1"/>
  <c r="L526" i="1"/>
  <c r="F527" i="1"/>
  <c r="H527" i="1"/>
  <c r="K527" i="1"/>
  <c r="L527" i="1"/>
  <c r="F528" i="1"/>
  <c r="G528" i="1" s="1"/>
  <c r="H528" i="1"/>
  <c r="K528" i="1"/>
  <c r="L528" i="1"/>
  <c r="F529" i="1"/>
  <c r="H529" i="1"/>
  <c r="K529" i="1"/>
  <c r="L529" i="1"/>
  <c r="F530" i="1"/>
  <c r="H530" i="1"/>
  <c r="K530" i="1"/>
  <c r="L530" i="1"/>
  <c r="F531" i="1"/>
  <c r="H531" i="1"/>
  <c r="K531" i="1"/>
  <c r="L531" i="1"/>
  <c r="F532" i="1"/>
  <c r="H532" i="1"/>
  <c r="K532" i="1"/>
  <c r="L532" i="1"/>
  <c r="F533" i="1"/>
  <c r="G533" i="1" s="1"/>
  <c r="H533" i="1"/>
  <c r="K533" i="1"/>
  <c r="L533" i="1"/>
  <c r="F534" i="1"/>
  <c r="G534" i="1" s="1"/>
  <c r="H534" i="1"/>
  <c r="K534" i="1"/>
  <c r="L534" i="1"/>
  <c r="F535" i="1"/>
  <c r="G535" i="1" s="1"/>
  <c r="H535" i="1"/>
  <c r="K535" i="1"/>
  <c r="L535" i="1"/>
  <c r="F536" i="1"/>
  <c r="G536" i="1" s="1"/>
  <c r="H536" i="1"/>
  <c r="K536" i="1"/>
  <c r="L536" i="1"/>
  <c r="F537" i="1"/>
  <c r="H537" i="1"/>
  <c r="K537" i="1"/>
  <c r="L537" i="1"/>
  <c r="F538" i="1"/>
  <c r="G538" i="1" s="1"/>
  <c r="H538" i="1"/>
  <c r="K538" i="1"/>
  <c r="L538" i="1"/>
  <c r="F539" i="1"/>
  <c r="G539" i="1" s="1"/>
  <c r="H539" i="1"/>
  <c r="K539" i="1"/>
  <c r="L539" i="1"/>
  <c r="F540" i="1"/>
  <c r="G540" i="1" s="1"/>
  <c r="H540" i="1"/>
  <c r="K540" i="1"/>
  <c r="L540" i="1"/>
  <c r="F541" i="1"/>
  <c r="G541" i="1" s="1"/>
  <c r="H541" i="1"/>
  <c r="K541" i="1"/>
  <c r="L541" i="1"/>
  <c r="F542" i="1"/>
  <c r="I542" i="1" s="1"/>
  <c r="H542" i="1"/>
  <c r="K542" i="1"/>
  <c r="L542" i="1"/>
  <c r="F543" i="1"/>
  <c r="G543" i="1" s="1"/>
  <c r="H543" i="1"/>
  <c r="K543" i="1"/>
  <c r="L543" i="1"/>
  <c r="F544" i="1"/>
  <c r="G544" i="1" s="1"/>
  <c r="H544" i="1"/>
  <c r="K544" i="1"/>
  <c r="L544" i="1"/>
  <c r="F545" i="1"/>
  <c r="G545" i="1" s="1"/>
  <c r="H545" i="1"/>
  <c r="K545" i="1"/>
  <c r="L545" i="1"/>
  <c r="F546" i="1"/>
  <c r="H546" i="1"/>
  <c r="K546" i="1"/>
  <c r="L546" i="1"/>
  <c r="F547" i="1"/>
  <c r="H547" i="1"/>
  <c r="K547" i="1"/>
  <c r="L547" i="1"/>
  <c r="F548" i="1"/>
  <c r="G548" i="1" s="1"/>
  <c r="H548" i="1"/>
  <c r="K548" i="1"/>
  <c r="L548" i="1"/>
  <c r="F549" i="1"/>
  <c r="H549" i="1"/>
  <c r="K549" i="1"/>
  <c r="L549" i="1"/>
  <c r="F550" i="1"/>
  <c r="H550" i="1"/>
  <c r="K550" i="1"/>
  <c r="L550" i="1"/>
  <c r="F551" i="1"/>
  <c r="H551" i="1"/>
  <c r="K551" i="1"/>
  <c r="L551" i="1"/>
  <c r="F552" i="1"/>
  <c r="G552" i="1" s="1"/>
  <c r="H552" i="1"/>
  <c r="K552" i="1"/>
  <c r="L552" i="1"/>
  <c r="F553" i="1"/>
  <c r="I553" i="1" s="1"/>
  <c r="H553" i="1"/>
  <c r="K553" i="1"/>
  <c r="L553" i="1"/>
  <c r="F554" i="1"/>
  <c r="I554" i="1" s="1"/>
  <c r="H554" i="1"/>
  <c r="K554" i="1"/>
  <c r="L554" i="1"/>
  <c r="F555" i="1"/>
  <c r="I555" i="1" s="1"/>
  <c r="H555" i="1"/>
  <c r="K555" i="1"/>
  <c r="L555" i="1"/>
  <c r="F556" i="1"/>
  <c r="I556" i="1" s="1"/>
  <c r="H556" i="1"/>
  <c r="K556" i="1"/>
  <c r="L556" i="1"/>
  <c r="F557" i="1"/>
  <c r="G557" i="1" s="1"/>
  <c r="H557" i="1"/>
  <c r="K557" i="1"/>
  <c r="L557" i="1"/>
  <c r="F558" i="1"/>
  <c r="G558" i="1" s="1"/>
  <c r="H558" i="1"/>
  <c r="K558" i="1"/>
  <c r="L558" i="1"/>
  <c r="F559" i="1"/>
  <c r="G559" i="1" s="1"/>
  <c r="H559" i="1"/>
  <c r="K559" i="1"/>
  <c r="L559" i="1"/>
  <c r="F560" i="1"/>
  <c r="G560" i="1" s="1"/>
  <c r="H560" i="1"/>
  <c r="K560" i="1"/>
  <c r="L560" i="1"/>
  <c r="F561" i="1"/>
  <c r="H561" i="1"/>
  <c r="K561" i="1"/>
  <c r="L561" i="1"/>
  <c r="F562" i="1"/>
  <c r="I562" i="1" s="1"/>
  <c r="H562" i="1"/>
  <c r="K562" i="1"/>
  <c r="L562" i="1"/>
  <c r="F563" i="1"/>
  <c r="G563" i="1" s="1"/>
  <c r="H563" i="1"/>
  <c r="K563" i="1"/>
  <c r="L563" i="1"/>
  <c r="F564" i="1"/>
  <c r="G564" i="1" s="1"/>
  <c r="H564" i="1"/>
  <c r="K564" i="1"/>
  <c r="L564" i="1"/>
  <c r="F565" i="1"/>
  <c r="H565" i="1"/>
  <c r="K565" i="1"/>
  <c r="L565" i="1"/>
  <c r="F566" i="1"/>
  <c r="G566" i="1" s="1"/>
  <c r="H566" i="1"/>
  <c r="K566" i="1"/>
  <c r="L566" i="1"/>
  <c r="F567" i="1"/>
  <c r="I567" i="1" s="1"/>
  <c r="H567" i="1"/>
  <c r="K567" i="1"/>
  <c r="L567" i="1"/>
  <c r="F568" i="1"/>
  <c r="H568" i="1"/>
  <c r="K568" i="1"/>
  <c r="L568" i="1"/>
  <c r="F569" i="1"/>
  <c r="G569" i="1" s="1"/>
  <c r="H569" i="1"/>
  <c r="K569" i="1"/>
  <c r="L569" i="1"/>
  <c r="F570" i="1"/>
  <c r="G570" i="1" s="1"/>
  <c r="H570" i="1"/>
  <c r="K570" i="1"/>
  <c r="L570" i="1"/>
  <c r="F571" i="1"/>
  <c r="H571" i="1"/>
  <c r="K571" i="1"/>
  <c r="L571" i="1"/>
  <c r="F572" i="1"/>
  <c r="G572" i="1" s="1"/>
  <c r="H572" i="1"/>
  <c r="K572" i="1"/>
  <c r="L572" i="1"/>
  <c r="F573" i="1"/>
  <c r="G573" i="1" s="1"/>
  <c r="H573" i="1"/>
  <c r="K573" i="1"/>
  <c r="L573" i="1"/>
  <c r="F574" i="1"/>
  <c r="H574" i="1"/>
  <c r="K574" i="1"/>
  <c r="L574" i="1"/>
  <c r="F575" i="1"/>
  <c r="I575" i="1" s="1"/>
  <c r="H575" i="1"/>
  <c r="K575" i="1"/>
  <c r="L575" i="1"/>
  <c r="F576" i="1"/>
  <c r="G576" i="1" s="1"/>
  <c r="H576" i="1"/>
  <c r="K576" i="1"/>
  <c r="L576" i="1"/>
  <c r="F577" i="1"/>
  <c r="I577" i="1" s="1"/>
  <c r="H577" i="1"/>
  <c r="K577" i="1"/>
  <c r="L577" i="1"/>
  <c r="F578" i="1"/>
  <c r="G578" i="1" s="1"/>
  <c r="H578" i="1"/>
  <c r="K578" i="1"/>
  <c r="L578" i="1"/>
  <c r="F579" i="1"/>
  <c r="H579" i="1"/>
  <c r="K579" i="1"/>
  <c r="L579" i="1"/>
  <c r="F580" i="1"/>
  <c r="I580" i="1" s="1"/>
  <c r="H580" i="1"/>
  <c r="K580" i="1"/>
  <c r="L580" i="1"/>
  <c r="F581" i="1"/>
  <c r="I581" i="1" s="1"/>
  <c r="H581" i="1"/>
  <c r="K581" i="1"/>
  <c r="L581" i="1"/>
  <c r="F582" i="1"/>
  <c r="G582" i="1" s="1"/>
  <c r="H582" i="1"/>
  <c r="K582" i="1"/>
  <c r="L582" i="1"/>
  <c r="F583" i="1"/>
  <c r="I583" i="1" s="1"/>
  <c r="H583" i="1"/>
  <c r="K583" i="1"/>
  <c r="L583" i="1"/>
  <c r="F584" i="1"/>
  <c r="G584" i="1" s="1"/>
  <c r="H584" i="1"/>
  <c r="K584" i="1"/>
  <c r="L584" i="1"/>
  <c r="F585" i="1"/>
  <c r="H585" i="1"/>
  <c r="K585" i="1"/>
  <c r="L585" i="1"/>
  <c r="F586" i="1"/>
  <c r="G586" i="1" s="1"/>
  <c r="H586" i="1"/>
  <c r="K586" i="1"/>
  <c r="L586" i="1"/>
  <c r="F587" i="1"/>
  <c r="H587" i="1"/>
  <c r="K587" i="1"/>
  <c r="L587" i="1"/>
  <c r="F588" i="1"/>
  <c r="G588" i="1" s="1"/>
  <c r="H588" i="1"/>
  <c r="K588" i="1"/>
  <c r="L588" i="1"/>
  <c r="F589" i="1"/>
  <c r="G589" i="1" s="1"/>
  <c r="H589" i="1"/>
  <c r="K589" i="1"/>
  <c r="L589" i="1"/>
  <c r="F590" i="1"/>
  <c r="I590" i="1" s="1"/>
  <c r="H590" i="1"/>
  <c r="K590" i="1"/>
  <c r="L590" i="1"/>
  <c r="F591" i="1"/>
  <c r="I591" i="1" s="1"/>
  <c r="H591" i="1"/>
  <c r="K591" i="1"/>
  <c r="L591" i="1"/>
  <c r="F592" i="1"/>
  <c r="H592" i="1"/>
  <c r="K592" i="1"/>
  <c r="L592" i="1"/>
  <c r="F593" i="1"/>
  <c r="G593" i="1" s="1"/>
  <c r="H593" i="1"/>
  <c r="K593" i="1"/>
  <c r="L593" i="1"/>
  <c r="F594" i="1"/>
  <c r="G594" i="1" s="1"/>
  <c r="H594" i="1"/>
  <c r="K594" i="1"/>
  <c r="L594" i="1"/>
  <c r="F595" i="1"/>
  <c r="G595" i="1" s="1"/>
  <c r="H595" i="1"/>
  <c r="K595" i="1"/>
  <c r="L595" i="1"/>
  <c r="F596" i="1"/>
  <c r="G596" i="1" s="1"/>
  <c r="H596" i="1"/>
  <c r="K596" i="1"/>
  <c r="L596" i="1"/>
  <c r="F597" i="1"/>
  <c r="I597" i="1" s="1"/>
  <c r="H597" i="1"/>
  <c r="K597" i="1"/>
  <c r="L597" i="1"/>
  <c r="F598" i="1"/>
  <c r="G598" i="1" s="1"/>
  <c r="H598" i="1"/>
  <c r="K598" i="1"/>
  <c r="L598" i="1"/>
  <c r="F599" i="1"/>
  <c r="H599" i="1"/>
  <c r="K599" i="1"/>
  <c r="L599" i="1"/>
  <c r="F600" i="1"/>
  <c r="I600" i="1" s="1"/>
  <c r="H600" i="1"/>
  <c r="K600" i="1"/>
  <c r="L600" i="1"/>
  <c r="F601" i="1"/>
  <c r="I601" i="1" s="1"/>
  <c r="H601" i="1"/>
  <c r="K601" i="1"/>
  <c r="L601" i="1"/>
  <c r="F602" i="1"/>
  <c r="G602" i="1" s="1"/>
  <c r="H602" i="1"/>
  <c r="K602" i="1"/>
  <c r="L602" i="1"/>
  <c r="F603" i="1"/>
  <c r="H603" i="1"/>
  <c r="K603" i="1"/>
  <c r="L603" i="1"/>
  <c r="F604" i="1"/>
  <c r="H604" i="1"/>
  <c r="K604" i="1"/>
  <c r="L604" i="1"/>
  <c r="F605" i="1"/>
  <c r="G605" i="1" s="1"/>
  <c r="H605" i="1"/>
  <c r="K605" i="1"/>
  <c r="L605" i="1"/>
  <c r="F606" i="1"/>
  <c r="G606" i="1" s="1"/>
  <c r="H606" i="1"/>
  <c r="K606" i="1"/>
  <c r="L606" i="1"/>
  <c r="F607" i="1"/>
  <c r="I607" i="1" s="1"/>
  <c r="H607" i="1"/>
  <c r="K607" i="1"/>
  <c r="L607" i="1"/>
  <c r="F608" i="1"/>
  <c r="I608" i="1" s="1"/>
  <c r="H608" i="1"/>
  <c r="K608" i="1"/>
  <c r="L608" i="1"/>
  <c r="F609" i="1"/>
  <c r="G609" i="1" s="1"/>
  <c r="H609" i="1"/>
  <c r="K609" i="1"/>
  <c r="L609" i="1"/>
  <c r="F610" i="1"/>
  <c r="I610" i="1" s="1"/>
  <c r="H610" i="1"/>
  <c r="K610" i="1"/>
  <c r="L610" i="1"/>
  <c r="F611" i="1"/>
  <c r="I611" i="1" s="1"/>
  <c r="H611" i="1"/>
  <c r="K611" i="1"/>
  <c r="L611" i="1"/>
  <c r="F612" i="1"/>
  <c r="H612" i="1"/>
  <c r="K612" i="1"/>
  <c r="L612" i="1"/>
  <c r="F613" i="1"/>
  <c r="H613" i="1"/>
  <c r="K613" i="1"/>
  <c r="L613" i="1"/>
  <c r="F614" i="1"/>
  <c r="H614" i="1"/>
  <c r="K614" i="1"/>
  <c r="L614" i="1"/>
  <c r="F615" i="1"/>
  <c r="I615" i="1" s="1"/>
  <c r="H615" i="1"/>
  <c r="K615" i="1"/>
  <c r="L615" i="1"/>
  <c r="F616" i="1"/>
  <c r="G616" i="1" s="1"/>
  <c r="H616" i="1"/>
  <c r="K616" i="1"/>
  <c r="L616" i="1"/>
  <c r="F617" i="1"/>
  <c r="I617" i="1" s="1"/>
  <c r="H617" i="1"/>
  <c r="K617" i="1"/>
  <c r="L617" i="1"/>
  <c r="F618" i="1"/>
  <c r="G618" i="1" s="1"/>
  <c r="H618" i="1"/>
  <c r="K618" i="1"/>
  <c r="L618" i="1"/>
  <c r="F619" i="1"/>
  <c r="G619" i="1" s="1"/>
  <c r="H619" i="1"/>
  <c r="K619" i="1"/>
  <c r="L619" i="1"/>
  <c r="F620" i="1"/>
  <c r="I620" i="1" s="1"/>
  <c r="H620" i="1"/>
  <c r="K620" i="1"/>
  <c r="L620" i="1"/>
  <c r="F621" i="1"/>
  <c r="I621" i="1" s="1"/>
  <c r="H621" i="1"/>
  <c r="K621" i="1"/>
  <c r="L621" i="1"/>
  <c r="F622" i="1"/>
  <c r="H622" i="1"/>
  <c r="K622" i="1"/>
  <c r="L622" i="1"/>
  <c r="F623" i="1"/>
  <c r="G623" i="1" s="1"/>
  <c r="H623" i="1"/>
  <c r="K623" i="1"/>
  <c r="L623" i="1"/>
  <c r="F624" i="1"/>
  <c r="H624" i="1"/>
  <c r="K624" i="1"/>
  <c r="L624" i="1"/>
  <c r="F625" i="1"/>
  <c r="G625" i="1" s="1"/>
  <c r="H625" i="1"/>
  <c r="K625" i="1"/>
  <c r="L625" i="1"/>
  <c r="F626" i="1"/>
  <c r="G626" i="1" s="1"/>
  <c r="H626" i="1"/>
  <c r="K626" i="1"/>
  <c r="L626" i="1"/>
  <c r="F627" i="1"/>
  <c r="I627" i="1" s="1"/>
  <c r="H627" i="1"/>
  <c r="K627" i="1"/>
  <c r="L627" i="1"/>
  <c r="F628" i="1"/>
  <c r="G628" i="1" s="1"/>
  <c r="H628" i="1"/>
  <c r="K628" i="1"/>
  <c r="L628" i="1"/>
  <c r="F629" i="1"/>
  <c r="G629" i="1" s="1"/>
  <c r="H629" i="1"/>
  <c r="K629" i="1"/>
  <c r="L629" i="1"/>
  <c r="F630" i="1"/>
  <c r="I630" i="1" s="1"/>
  <c r="H630" i="1"/>
  <c r="K630" i="1"/>
  <c r="L630" i="1"/>
  <c r="F631" i="1"/>
  <c r="I631" i="1" s="1"/>
  <c r="H631" i="1"/>
  <c r="K631" i="1"/>
  <c r="L631" i="1"/>
  <c r="F632" i="1"/>
  <c r="G632" i="1" s="1"/>
  <c r="H632" i="1"/>
  <c r="K632" i="1"/>
  <c r="L632" i="1"/>
  <c r="F633" i="1"/>
  <c r="I633" i="1" s="1"/>
  <c r="H633" i="1"/>
  <c r="K633" i="1"/>
  <c r="L633" i="1"/>
  <c r="F634" i="1"/>
  <c r="I634" i="1" s="1"/>
  <c r="H634" i="1"/>
  <c r="K634" i="1"/>
  <c r="L634" i="1"/>
  <c r="F635" i="1"/>
  <c r="I635" i="1" s="1"/>
  <c r="H635" i="1"/>
  <c r="K635" i="1"/>
  <c r="L635" i="1"/>
  <c r="F636" i="1"/>
  <c r="I636" i="1" s="1"/>
  <c r="H636" i="1"/>
  <c r="K636" i="1"/>
  <c r="L636" i="1"/>
  <c r="F637" i="1"/>
  <c r="G637" i="1" s="1"/>
  <c r="H637" i="1"/>
  <c r="K637" i="1"/>
  <c r="L637" i="1"/>
  <c r="F638" i="1"/>
  <c r="H638" i="1"/>
  <c r="K638" i="1"/>
  <c r="L638" i="1"/>
  <c r="F639" i="1"/>
  <c r="G639" i="1" s="1"/>
  <c r="H639" i="1"/>
  <c r="K639" i="1"/>
  <c r="L639" i="1"/>
  <c r="F640" i="1"/>
  <c r="I640" i="1" s="1"/>
  <c r="H640" i="1"/>
  <c r="K640" i="1"/>
  <c r="L640" i="1"/>
  <c r="F641" i="1"/>
  <c r="I641" i="1" s="1"/>
  <c r="H641" i="1"/>
  <c r="K641" i="1"/>
  <c r="L641" i="1"/>
  <c r="F642" i="1"/>
  <c r="G642" i="1" s="1"/>
  <c r="H642" i="1"/>
  <c r="K642" i="1"/>
  <c r="L642" i="1"/>
  <c r="F643" i="1"/>
  <c r="H643" i="1"/>
  <c r="K643" i="1"/>
  <c r="L643" i="1"/>
  <c r="F644" i="1"/>
  <c r="I644" i="1" s="1"/>
  <c r="H644" i="1"/>
  <c r="K644" i="1"/>
  <c r="L644" i="1"/>
  <c r="F645" i="1"/>
  <c r="I645" i="1" s="1"/>
  <c r="H645" i="1"/>
  <c r="K645" i="1"/>
  <c r="L645" i="1"/>
  <c r="F646" i="1"/>
  <c r="G646" i="1" s="1"/>
  <c r="H646" i="1"/>
  <c r="K646" i="1"/>
  <c r="L646" i="1"/>
  <c r="F647" i="1"/>
  <c r="H647" i="1"/>
  <c r="K647" i="1"/>
  <c r="L647" i="1"/>
  <c r="F648" i="1"/>
  <c r="G648" i="1" s="1"/>
  <c r="H648" i="1"/>
  <c r="K648" i="1"/>
  <c r="L648" i="1"/>
  <c r="F649" i="1"/>
  <c r="G649" i="1" s="1"/>
  <c r="H649" i="1"/>
  <c r="K649" i="1"/>
  <c r="L649" i="1"/>
  <c r="F650" i="1"/>
  <c r="G650" i="1" s="1"/>
  <c r="H650" i="1"/>
  <c r="K650" i="1"/>
  <c r="L650" i="1"/>
  <c r="F651" i="1"/>
  <c r="I651" i="1" s="1"/>
  <c r="H651" i="1"/>
  <c r="K651" i="1"/>
  <c r="L651" i="1"/>
  <c r="F652" i="1"/>
  <c r="G652" i="1" s="1"/>
  <c r="H652" i="1"/>
  <c r="K652" i="1"/>
  <c r="L652" i="1"/>
  <c r="F653" i="1"/>
  <c r="I653" i="1" s="1"/>
  <c r="H653" i="1"/>
  <c r="K653" i="1"/>
  <c r="L653" i="1"/>
  <c r="F654" i="1"/>
  <c r="H654" i="1"/>
  <c r="K654" i="1"/>
  <c r="L654" i="1"/>
  <c r="F655" i="1"/>
  <c r="I655" i="1" s="1"/>
  <c r="H655" i="1"/>
  <c r="K655" i="1"/>
  <c r="L655" i="1"/>
  <c r="F656" i="1"/>
  <c r="G656" i="1" s="1"/>
  <c r="H656" i="1"/>
  <c r="K656" i="1"/>
  <c r="L656" i="1"/>
  <c r="F657" i="1"/>
  <c r="H657" i="1"/>
  <c r="K657" i="1"/>
  <c r="L657" i="1"/>
  <c r="F658" i="1"/>
  <c r="I658" i="1" s="1"/>
  <c r="H658" i="1"/>
  <c r="K658" i="1"/>
  <c r="L658" i="1"/>
  <c r="F659" i="1"/>
  <c r="G659" i="1" s="1"/>
  <c r="H659" i="1"/>
  <c r="K659" i="1"/>
  <c r="L659" i="1"/>
  <c r="F660" i="1"/>
  <c r="G660" i="1" s="1"/>
  <c r="H660" i="1"/>
  <c r="K660" i="1"/>
  <c r="L660" i="1"/>
  <c r="F661" i="1"/>
  <c r="I661" i="1" s="1"/>
  <c r="H661" i="1"/>
  <c r="K661" i="1"/>
  <c r="L661" i="1"/>
  <c r="F662" i="1"/>
  <c r="G662" i="1" s="1"/>
  <c r="H662" i="1"/>
  <c r="K662" i="1"/>
  <c r="L662" i="1"/>
  <c r="F663" i="1"/>
  <c r="I663" i="1" s="1"/>
  <c r="H663" i="1"/>
  <c r="K663" i="1"/>
  <c r="L663" i="1"/>
  <c r="F664" i="1"/>
  <c r="H664" i="1"/>
  <c r="K664" i="1"/>
  <c r="L664" i="1"/>
  <c r="F665" i="1"/>
  <c r="I665" i="1" s="1"/>
  <c r="H665" i="1"/>
  <c r="K665" i="1"/>
  <c r="L665" i="1"/>
  <c r="F666" i="1"/>
  <c r="I666" i="1" s="1"/>
  <c r="H666" i="1"/>
  <c r="K666" i="1"/>
  <c r="L666" i="1"/>
  <c r="F667" i="1"/>
  <c r="G667" i="1" s="1"/>
  <c r="H667" i="1"/>
  <c r="K667" i="1"/>
  <c r="L667" i="1"/>
  <c r="F668" i="1"/>
  <c r="I668" i="1" s="1"/>
  <c r="H668" i="1"/>
  <c r="K668" i="1"/>
  <c r="L668" i="1"/>
  <c r="F669" i="1"/>
  <c r="H669" i="1"/>
  <c r="K669" i="1"/>
  <c r="L669" i="1"/>
  <c r="F670" i="1"/>
  <c r="G670" i="1" s="1"/>
  <c r="H670" i="1"/>
  <c r="K670" i="1"/>
  <c r="L670" i="1"/>
  <c r="F671" i="1"/>
  <c r="I671" i="1" s="1"/>
  <c r="H671" i="1"/>
  <c r="K671" i="1"/>
  <c r="L671" i="1"/>
  <c r="F672" i="1"/>
  <c r="G672" i="1" s="1"/>
  <c r="H672" i="1"/>
  <c r="K672" i="1"/>
  <c r="L672" i="1"/>
  <c r="F673" i="1"/>
  <c r="I673" i="1" s="1"/>
  <c r="H673" i="1"/>
  <c r="K673" i="1"/>
  <c r="L673" i="1"/>
  <c r="F674" i="1"/>
  <c r="H674" i="1"/>
  <c r="K674" i="1"/>
  <c r="L674" i="1"/>
  <c r="F675" i="1"/>
  <c r="H675" i="1"/>
  <c r="K675" i="1"/>
  <c r="L675" i="1"/>
  <c r="F676" i="1"/>
  <c r="I676" i="1" s="1"/>
  <c r="H676" i="1"/>
  <c r="K676" i="1"/>
  <c r="L676" i="1"/>
  <c r="F677" i="1"/>
  <c r="G677" i="1" s="1"/>
  <c r="H677" i="1"/>
  <c r="K677" i="1"/>
  <c r="L677" i="1"/>
  <c r="F678" i="1"/>
  <c r="I678" i="1" s="1"/>
  <c r="H678" i="1"/>
  <c r="K678" i="1"/>
  <c r="L678" i="1"/>
  <c r="F679" i="1"/>
  <c r="G679" i="1" s="1"/>
  <c r="H679" i="1"/>
  <c r="K679" i="1"/>
  <c r="L679" i="1"/>
  <c r="F680" i="1"/>
  <c r="G680" i="1" s="1"/>
  <c r="H680" i="1"/>
  <c r="K680" i="1"/>
  <c r="L680" i="1"/>
  <c r="F681" i="1"/>
  <c r="I681" i="1" s="1"/>
  <c r="H681" i="1"/>
  <c r="K681" i="1"/>
  <c r="L681" i="1"/>
  <c r="F682" i="1"/>
  <c r="G682" i="1" s="1"/>
  <c r="H682" i="1"/>
  <c r="K682" i="1"/>
  <c r="L682" i="1"/>
  <c r="F683" i="1"/>
  <c r="I683" i="1" s="1"/>
  <c r="H683" i="1"/>
  <c r="K683" i="1"/>
  <c r="L683" i="1"/>
  <c r="F684" i="1"/>
  <c r="H684" i="1"/>
  <c r="K684" i="1"/>
  <c r="L684" i="1"/>
  <c r="F685" i="1"/>
  <c r="I685" i="1" s="1"/>
  <c r="H685" i="1"/>
  <c r="K685" i="1"/>
  <c r="L685" i="1"/>
  <c r="F686" i="1"/>
  <c r="H686" i="1"/>
  <c r="K686" i="1"/>
  <c r="L686" i="1"/>
  <c r="F687" i="1"/>
  <c r="G687" i="1" s="1"/>
  <c r="H687" i="1"/>
  <c r="K687" i="1"/>
  <c r="L687" i="1"/>
  <c r="F688" i="1"/>
  <c r="G688" i="1" s="1"/>
  <c r="H688" i="1"/>
  <c r="K688" i="1"/>
  <c r="L688" i="1"/>
  <c r="F689" i="1"/>
  <c r="G689" i="1" s="1"/>
  <c r="H689" i="1"/>
  <c r="K689" i="1"/>
  <c r="L689" i="1"/>
  <c r="A693" i="1" a="1"/>
  <c r="A693" i="1" s="1"/>
  <c r="A694" i="1" a="1"/>
  <c r="A694" i="1" s="1"/>
  <c r="A695" i="1" a="1"/>
  <c r="A695" i="1" s="1"/>
  <c r="A696" i="1" a="1"/>
  <c r="A696" i="1" s="1"/>
  <c r="C696" i="1" s="1"/>
  <c r="A697" i="1" a="1"/>
  <c r="A697" i="1" s="1"/>
  <c r="A698" i="1" a="1"/>
  <c r="A698" i="1" s="1"/>
  <c r="A699" i="1" a="1"/>
  <c r="A699" i="1" s="1"/>
  <c r="C699" i="1" s="1"/>
  <c r="C704" i="1"/>
  <c r="B706" i="1"/>
  <c r="D706" i="1" s="1"/>
  <c r="F706" i="1" s="1"/>
  <c r="O525" i="1" l="1"/>
  <c r="O603" i="1"/>
  <c r="O480" i="1"/>
  <c r="O472" i="1"/>
  <c r="O346" i="1"/>
  <c r="O256" i="1"/>
  <c r="N378" i="1"/>
  <c r="M220" i="1"/>
  <c r="O645" i="1"/>
  <c r="G645" i="1"/>
  <c r="O470" i="1"/>
  <c r="O265" i="1"/>
  <c r="N123" i="1"/>
  <c r="N54" i="1"/>
  <c r="O580" i="1"/>
  <c r="O402" i="1"/>
  <c r="O181" i="1"/>
  <c r="N206" i="1"/>
  <c r="O531" i="1"/>
  <c r="O530" i="1"/>
  <c r="O332" i="1"/>
  <c r="O116" i="1"/>
  <c r="O179" i="1"/>
  <c r="O28" i="1"/>
  <c r="B699" i="1"/>
  <c r="M602" i="1"/>
  <c r="O507" i="1"/>
  <c r="M320" i="1"/>
  <c r="O42" i="1"/>
  <c r="N508" i="1"/>
  <c r="O149" i="1"/>
  <c r="O128" i="1"/>
  <c r="N156" i="1"/>
  <c r="O678" i="1"/>
  <c r="G554" i="1"/>
  <c r="N417" i="1"/>
  <c r="G338" i="1"/>
  <c r="O397" i="1"/>
  <c r="N370" i="1"/>
  <c r="G312" i="1"/>
  <c r="N280" i="1"/>
  <c r="O261" i="1"/>
  <c r="G302" i="1"/>
  <c r="N211" i="1"/>
  <c r="O68" i="1"/>
  <c r="G678" i="1"/>
  <c r="O545" i="1"/>
  <c r="O533" i="1"/>
  <c r="O448" i="1"/>
  <c r="M407" i="1"/>
  <c r="I323" i="1"/>
  <c r="O401" i="1"/>
  <c r="M387" i="1"/>
  <c r="N385" i="1"/>
  <c r="O370" i="1"/>
  <c r="O331" i="1"/>
  <c r="M322" i="1"/>
  <c r="M321" i="1"/>
  <c r="M359" i="1"/>
  <c r="O276" i="1"/>
  <c r="M221" i="1"/>
  <c r="G259" i="1"/>
  <c r="N181" i="1"/>
  <c r="N205" i="1"/>
  <c r="O169" i="1"/>
  <c r="G168" i="1"/>
  <c r="O137" i="1"/>
  <c r="N24" i="1"/>
  <c r="G65" i="1"/>
  <c r="N19" i="1"/>
  <c r="O22" i="1"/>
  <c r="O447" i="1"/>
  <c r="O445" i="1"/>
  <c r="O430" i="1"/>
  <c r="O506" i="1"/>
  <c r="N637" i="1"/>
  <c r="N633" i="1"/>
  <c r="I337" i="1"/>
  <c r="N323" i="1"/>
  <c r="O182" i="1"/>
  <c r="M162" i="1"/>
  <c r="M62" i="1"/>
  <c r="M551" i="1"/>
  <c r="N531" i="1"/>
  <c r="N491" i="1"/>
  <c r="N487" i="1"/>
  <c r="M482" i="1"/>
  <c r="O665" i="1"/>
  <c r="M614" i="1"/>
  <c r="N601" i="1"/>
  <c r="N538" i="1"/>
  <c r="I538" i="1"/>
  <c r="N502" i="1"/>
  <c r="M584" i="1"/>
  <c r="M583" i="1"/>
  <c r="O579" i="1"/>
  <c r="O574" i="1"/>
  <c r="O568" i="1"/>
  <c r="O558" i="1"/>
  <c r="M547" i="1"/>
  <c r="N546" i="1"/>
  <c r="M538" i="1"/>
  <c r="G504" i="1"/>
  <c r="O548" i="1"/>
  <c r="O543" i="1"/>
  <c r="O538" i="1"/>
  <c r="O427" i="1"/>
  <c r="O420" i="1"/>
  <c r="O458" i="1"/>
  <c r="N452" i="1"/>
  <c r="M428" i="1"/>
  <c r="M422" i="1"/>
  <c r="G480" i="1"/>
  <c r="N467" i="1"/>
  <c r="M457" i="1"/>
  <c r="G430" i="1"/>
  <c r="O406" i="1"/>
  <c r="I373" i="1"/>
  <c r="G356" i="1"/>
  <c r="M351" i="1"/>
  <c r="N341" i="1"/>
  <c r="G354" i="1"/>
  <c r="M345" i="1"/>
  <c r="G317" i="1"/>
  <c r="O263" i="1"/>
  <c r="N230" i="1"/>
  <c r="M264" i="1"/>
  <c r="N225" i="1"/>
  <c r="O215" i="1"/>
  <c r="G273" i="1"/>
  <c r="O245" i="1"/>
  <c r="O159" i="1"/>
  <c r="O160" i="1"/>
  <c r="G85" i="1"/>
  <c r="O49" i="1"/>
  <c r="O48" i="1"/>
  <c r="O62" i="1"/>
  <c r="O54" i="1"/>
  <c r="N621" i="1"/>
  <c r="O600" i="1"/>
  <c r="M689" i="1"/>
  <c r="O669" i="1"/>
  <c r="I659" i="1"/>
  <c r="G603" i="1"/>
  <c r="O686" i="1"/>
  <c r="M615" i="1"/>
  <c r="G641" i="1"/>
  <c r="O635" i="1"/>
  <c r="G635" i="1"/>
  <c r="O623" i="1"/>
  <c r="N615" i="1"/>
  <c r="G686" i="1"/>
  <c r="O657" i="1"/>
  <c r="G640" i="1"/>
  <c r="G634" i="1"/>
  <c r="G615" i="1"/>
  <c r="N555" i="1"/>
  <c r="G555" i="1"/>
  <c r="M527" i="1"/>
  <c r="N547" i="1"/>
  <c r="O575" i="1"/>
  <c r="O585" i="1"/>
  <c r="N575" i="1"/>
  <c r="I563" i="1"/>
  <c r="G556" i="1"/>
  <c r="O546" i="1"/>
  <c r="I489" i="1"/>
  <c r="M442" i="1"/>
  <c r="N422" i="1"/>
  <c r="O423" i="1"/>
  <c r="M473" i="1"/>
  <c r="N471" i="1"/>
  <c r="G466" i="1"/>
  <c r="N462" i="1"/>
  <c r="N421" i="1"/>
  <c r="G418" i="1"/>
  <c r="G404" i="1"/>
  <c r="G423" i="1"/>
  <c r="N384" i="1"/>
  <c r="N335" i="1"/>
  <c r="N373" i="1"/>
  <c r="O345" i="1"/>
  <c r="G345" i="1"/>
  <c r="G336" i="1"/>
  <c r="N358" i="1"/>
  <c r="G348" i="1"/>
  <c r="O321" i="1"/>
  <c r="N236" i="1"/>
  <c r="G297" i="1"/>
  <c r="N261" i="1"/>
  <c r="N246" i="1"/>
  <c r="M280" i="1"/>
  <c r="N264" i="1"/>
  <c r="O258" i="1"/>
  <c r="G258" i="1"/>
  <c r="N249" i="1"/>
  <c r="G249" i="1"/>
  <c r="G227" i="1"/>
  <c r="O142" i="1"/>
  <c r="O156" i="1"/>
  <c r="O109" i="1"/>
  <c r="I76" i="1"/>
  <c r="O64" i="1"/>
  <c r="M22" i="1"/>
  <c r="O59" i="1"/>
  <c r="O58" i="1"/>
  <c r="N48" i="1"/>
  <c r="G45" i="1"/>
  <c r="M42" i="1"/>
  <c r="N39" i="1"/>
  <c r="M27" i="1"/>
  <c r="O23" i="1"/>
  <c r="O103" i="1"/>
  <c r="O69" i="1"/>
  <c r="O668" i="1"/>
  <c r="M649" i="1"/>
  <c r="O633" i="1"/>
  <c r="M625" i="1"/>
  <c r="O556" i="1"/>
  <c r="N553" i="1"/>
  <c r="O508" i="1"/>
  <c r="I508" i="1"/>
  <c r="M507" i="1"/>
  <c r="N497" i="1"/>
  <c r="M493" i="1"/>
  <c r="N492" i="1"/>
  <c r="M488" i="1"/>
  <c r="M478" i="1"/>
  <c r="N477" i="1"/>
  <c r="O473" i="1"/>
  <c r="M472" i="1"/>
  <c r="N446" i="1"/>
  <c r="O392" i="1"/>
  <c r="M381" i="1"/>
  <c r="M366" i="1"/>
  <c r="M347" i="1"/>
  <c r="N339" i="1"/>
  <c r="I276" i="1"/>
  <c r="M275" i="1"/>
  <c r="O270" i="1"/>
  <c r="M250" i="1"/>
  <c r="N245" i="1"/>
  <c r="M417" i="1"/>
  <c r="M416" i="1"/>
  <c r="I405" i="1"/>
  <c r="M392" i="1"/>
  <c r="M377" i="1"/>
  <c r="I366" i="1"/>
  <c r="M365" i="1"/>
  <c r="O348" i="1"/>
  <c r="M323" i="1"/>
  <c r="M271" i="1"/>
  <c r="N259" i="1"/>
  <c r="M215" i="1"/>
  <c r="M166" i="1"/>
  <c r="M109" i="1"/>
  <c r="M108" i="1"/>
  <c r="I91" i="1"/>
  <c r="O63" i="1"/>
  <c r="I55" i="1"/>
  <c r="O688" i="1"/>
  <c r="I688" i="1"/>
  <c r="M687" i="1"/>
  <c r="I649" i="1"/>
  <c r="M611" i="1"/>
  <c r="I585" i="1"/>
  <c r="I582" i="1"/>
  <c r="M574" i="1"/>
  <c r="M571" i="1"/>
  <c r="M561" i="1"/>
  <c r="N552" i="1"/>
  <c r="M447" i="1"/>
  <c r="N688" i="1"/>
  <c r="N685" i="1"/>
  <c r="M678" i="1"/>
  <c r="M659" i="1"/>
  <c r="N582" i="1"/>
  <c r="N556" i="1"/>
  <c r="O555" i="1"/>
  <c r="M554" i="1"/>
  <c r="M533" i="1"/>
  <c r="M463" i="1"/>
  <c r="O356" i="1"/>
  <c r="M341" i="1"/>
  <c r="M333" i="1"/>
  <c r="M141" i="1"/>
  <c r="M63" i="1"/>
  <c r="M55" i="1"/>
  <c r="O38" i="1"/>
  <c r="O36" i="1"/>
  <c r="I687" i="1"/>
  <c r="G681" i="1"/>
  <c r="I680" i="1"/>
  <c r="N676" i="1"/>
  <c r="N675" i="1"/>
  <c r="M668" i="1"/>
  <c r="P668" i="1" s="1"/>
  <c r="R668" i="1" s="1"/>
  <c r="S668" i="1" s="1"/>
  <c r="G668" i="1"/>
  <c r="N665" i="1"/>
  <c r="O659" i="1"/>
  <c r="N655" i="1"/>
  <c r="M636" i="1"/>
  <c r="M605" i="1"/>
  <c r="O599" i="1"/>
  <c r="N642" i="1"/>
  <c r="O687" i="1"/>
  <c r="N677" i="1"/>
  <c r="I677" i="1"/>
  <c r="M676" i="1"/>
  <c r="G676" i="1"/>
  <c r="M669" i="1"/>
  <c r="G644" i="1"/>
  <c r="N631" i="1"/>
  <c r="M677" i="1"/>
  <c r="G663" i="1"/>
  <c r="N648" i="1"/>
  <c r="O619" i="1"/>
  <c r="N593" i="1"/>
  <c r="O592" i="1"/>
  <c r="N583" i="1"/>
  <c r="G583" i="1"/>
  <c r="M582" i="1"/>
  <c r="M573" i="1"/>
  <c r="N572" i="1"/>
  <c r="O563" i="1"/>
  <c r="M559" i="1"/>
  <c r="G553" i="1"/>
  <c r="I523" i="1"/>
  <c r="I593" i="1"/>
  <c r="O573" i="1"/>
  <c r="I573" i="1"/>
  <c r="I564" i="1"/>
  <c r="I559" i="1"/>
  <c r="M523" i="1"/>
  <c r="M522" i="1"/>
  <c r="M506" i="1"/>
  <c r="M585" i="1"/>
  <c r="O582" i="1"/>
  <c r="O581" i="1"/>
  <c r="I574" i="1"/>
  <c r="N573" i="1"/>
  <c r="M563" i="1"/>
  <c r="M553" i="1"/>
  <c r="M532" i="1"/>
  <c r="I525" i="1"/>
  <c r="I520" i="1"/>
  <c r="M518" i="1"/>
  <c r="I488" i="1"/>
  <c r="O443" i="1"/>
  <c r="M427" i="1"/>
  <c r="M413" i="1"/>
  <c r="N407" i="1"/>
  <c r="O495" i="1"/>
  <c r="I480" i="1"/>
  <c r="G469" i="1"/>
  <c r="M466" i="1"/>
  <c r="M437" i="1"/>
  <c r="O433" i="1"/>
  <c r="M418" i="1"/>
  <c r="G416" i="1"/>
  <c r="N412" i="1"/>
  <c r="M408" i="1"/>
  <c r="N488" i="1"/>
  <c r="G444" i="1"/>
  <c r="G419" i="1"/>
  <c r="N406" i="1"/>
  <c r="M398" i="1"/>
  <c r="O390" i="1"/>
  <c r="G375" i="1"/>
  <c r="I372" i="1"/>
  <c r="O371" i="1"/>
  <c r="N366" i="1"/>
  <c r="I365" i="1"/>
  <c r="N363" i="1"/>
  <c r="N361" i="1"/>
  <c r="I361" i="1"/>
  <c r="I351" i="1"/>
  <c r="N349" i="1"/>
  <c r="I349" i="1"/>
  <c r="M397" i="1"/>
  <c r="O391" i="1"/>
  <c r="M385" i="1"/>
  <c r="M372" i="1"/>
  <c r="M361" i="1"/>
  <c r="G358" i="1"/>
  <c r="M356" i="1"/>
  <c r="N355" i="1"/>
  <c r="O351" i="1"/>
  <c r="M349" i="1"/>
  <c r="G347" i="1"/>
  <c r="I341" i="1"/>
  <c r="O339" i="1"/>
  <c r="N333" i="1"/>
  <c r="G333" i="1"/>
  <c r="M331" i="1"/>
  <c r="M330" i="1"/>
  <c r="M325" i="1"/>
  <c r="M391" i="1"/>
  <c r="O385" i="1"/>
  <c r="N380" i="1"/>
  <c r="N372" i="1"/>
  <c r="N365" i="1"/>
  <c r="O361" i="1"/>
  <c r="N351" i="1"/>
  <c r="O266" i="1"/>
  <c r="N285" i="1"/>
  <c r="M281" i="1"/>
  <c r="M266" i="1"/>
  <c r="M265" i="1"/>
  <c r="N256" i="1"/>
  <c r="M240" i="1"/>
  <c r="O238" i="1"/>
  <c r="G238" i="1"/>
  <c r="N235" i="1"/>
  <c r="O211" i="1"/>
  <c r="M276" i="1"/>
  <c r="G262" i="1"/>
  <c r="O249" i="1"/>
  <c r="M231" i="1"/>
  <c r="G218" i="1"/>
  <c r="I144" i="1"/>
  <c r="M142" i="1"/>
  <c r="G194" i="1"/>
  <c r="G165" i="1"/>
  <c r="M138" i="1"/>
  <c r="N209" i="1"/>
  <c r="G209" i="1"/>
  <c r="I138" i="1"/>
  <c r="O124" i="1"/>
  <c r="M177" i="1"/>
  <c r="M176" i="1"/>
  <c r="O138" i="1"/>
  <c r="M137" i="1"/>
  <c r="O208" i="1"/>
  <c r="G208" i="1"/>
  <c r="O199" i="1"/>
  <c r="G178" i="1"/>
  <c r="O200" i="1"/>
  <c r="M180" i="1"/>
  <c r="O171" i="1"/>
  <c r="O162" i="1"/>
  <c r="M151" i="1"/>
  <c r="M150" i="1"/>
  <c r="M140" i="1"/>
  <c r="M139" i="1"/>
  <c r="M127" i="1"/>
  <c r="O180" i="1"/>
  <c r="O157" i="1"/>
  <c r="I139" i="1"/>
  <c r="N201" i="1"/>
  <c r="M200" i="1"/>
  <c r="M175" i="1"/>
  <c r="G175" i="1"/>
  <c r="M171" i="1"/>
  <c r="G163" i="1"/>
  <c r="M161" i="1"/>
  <c r="G154" i="1"/>
  <c r="N147" i="1"/>
  <c r="M146" i="1"/>
  <c r="N137" i="1"/>
  <c r="N117" i="1"/>
  <c r="G95" i="1"/>
  <c r="O57" i="1"/>
  <c r="O56" i="1"/>
  <c r="O34" i="1"/>
  <c r="O29" i="1"/>
  <c r="N28" i="1"/>
  <c r="O100" i="1"/>
  <c r="N58" i="1"/>
  <c r="M57" i="1"/>
  <c r="O43" i="1"/>
  <c r="I35" i="1"/>
  <c r="M24" i="1"/>
  <c r="N23" i="1"/>
  <c r="M113" i="1"/>
  <c r="M112" i="1"/>
  <c r="M102" i="1"/>
  <c r="M68" i="1"/>
  <c r="M43" i="1"/>
  <c r="M35" i="1"/>
  <c r="O24" i="1"/>
  <c r="I24" i="1"/>
  <c r="N624" i="1"/>
  <c r="N613" i="1"/>
  <c r="N604" i="1"/>
  <c r="M688" i="1"/>
  <c r="P688" i="1" s="1"/>
  <c r="R688" i="1" s="1"/>
  <c r="S688" i="1" s="1"/>
  <c r="N687" i="1"/>
  <c r="N670" i="1"/>
  <c r="I669" i="1"/>
  <c r="O666" i="1"/>
  <c r="N664" i="1"/>
  <c r="O636" i="1"/>
  <c r="M631" i="1"/>
  <c r="M624" i="1"/>
  <c r="O620" i="1"/>
  <c r="M613" i="1"/>
  <c r="N611" i="1"/>
  <c r="M601" i="1"/>
  <c r="I598" i="1"/>
  <c r="N689" i="1"/>
  <c r="O685" i="1"/>
  <c r="N678" i="1"/>
  <c r="O677" i="1"/>
  <c r="O676" i="1"/>
  <c r="N674" i="1"/>
  <c r="G673" i="1"/>
  <c r="I670" i="1"/>
  <c r="N668" i="1"/>
  <c r="O667" i="1"/>
  <c r="I667" i="1"/>
  <c r="N666" i="1"/>
  <c r="G666" i="1"/>
  <c r="N659" i="1"/>
  <c r="P659" i="1" s="1"/>
  <c r="R659" i="1" s="1"/>
  <c r="S659" i="1" s="1"/>
  <c r="G658" i="1"/>
  <c r="O655" i="1"/>
  <c r="M642" i="1"/>
  <c r="M637" i="1"/>
  <c r="N636" i="1"/>
  <c r="G636" i="1"/>
  <c r="M633" i="1"/>
  <c r="O632" i="1"/>
  <c r="I632" i="1"/>
  <c r="O631" i="1"/>
  <c r="I624" i="1"/>
  <c r="M621" i="1"/>
  <c r="N620" i="1"/>
  <c r="G620" i="1"/>
  <c r="O615" i="1"/>
  <c r="G610" i="1"/>
  <c r="I604" i="1"/>
  <c r="O601" i="1"/>
  <c r="O598" i="1"/>
  <c r="I594" i="1"/>
  <c r="N669" i="1"/>
  <c r="N684" i="1"/>
  <c r="G683" i="1"/>
  <c r="N680" i="1"/>
  <c r="G669" i="1"/>
  <c r="N667" i="1"/>
  <c r="N660" i="1"/>
  <c r="N654" i="1"/>
  <c r="G653" i="1"/>
  <c r="N649" i="1"/>
  <c r="O642" i="1"/>
  <c r="O637" i="1"/>
  <c r="N632" i="1"/>
  <c r="O624" i="1"/>
  <c r="O621" i="1"/>
  <c r="N614" i="1"/>
  <c r="G613" i="1"/>
  <c r="G608" i="1"/>
  <c r="O604" i="1"/>
  <c r="O594" i="1"/>
  <c r="M593" i="1"/>
  <c r="O589" i="1"/>
  <c r="O583" i="1"/>
  <c r="M581" i="1"/>
  <c r="M575" i="1"/>
  <c r="N568" i="1"/>
  <c r="I568" i="1"/>
  <c r="N563" i="1"/>
  <c r="N558" i="1"/>
  <c r="I558" i="1"/>
  <c r="O557" i="1"/>
  <c r="I557" i="1"/>
  <c r="O528" i="1"/>
  <c r="O520" i="1"/>
  <c r="I514" i="1"/>
  <c r="M508" i="1"/>
  <c r="N506" i="1"/>
  <c r="G506" i="1"/>
  <c r="O593" i="1"/>
  <c r="G585" i="1"/>
  <c r="G575" i="1"/>
  <c r="N574" i="1"/>
  <c r="O569" i="1"/>
  <c r="M568" i="1"/>
  <c r="M558" i="1"/>
  <c r="N557" i="1"/>
  <c r="O553" i="1"/>
  <c r="O537" i="1"/>
  <c r="M529" i="1"/>
  <c r="N522" i="1"/>
  <c r="O521" i="1"/>
  <c r="N507" i="1"/>
  <c r="M502" i="1"/>
  <c r="G590" i="1"/>
  <c r="G568" i="1"/>
  <c r="G561" i="1"/>
  <c r="O547" i="1"/>
  <c r="M534" i="1"/>
  <c r="N521" i="1"/>
  <c r="G521" i="1"/>
  <c r="G519" i="1"/>
  <c r="O505" i="1"/>
  <c r="G505" i="1"/>
  <c r="O502" i="1"/>
  <c r="O498" i="1"/>
  <c r="G498" i="1"/>
  <c r="M492" i="1"/>
  <c r="M491" i="1"/>
  <c r="G491" i="1"/>
  <c r="N478" i="1"/>
  <c r="M477" i="1"/>
  <c r="N472" i="1"/>
  <c r="N466" i="1"/>
  <c r="M458" i="1"/>
  <c r="G458" i="1"/>
  <c r="M456" i="1"/>
  <c r="G456" i="1"/>
  <c r="N453" i="1"/>
  <c r="G453" i="1"/>
  <c r="N447" i="1"/>
  <c r="I440" i="1"/>
  <c r="N438" i="1"/>
  <c r="I438" i="1"/>
  <c r="O437" i="1"/>
  <c r="M433" i="1"/>
  <c r="G429" i="1"/>
  <c r="N427" i="1"/>
  <c r="N404" i="1"/>
  <c r="M402" i="1"/>
  <c r="O465" i="1"/>
  <c r="O492" i="1"/>
  <c r="O488" i="1"/>
  <c r="M487" i="1"/>
  <c r="O483" i="1"/>
  <c r="O477" i="1"/>
  <c r="O471" i="1"/>
  <c r="M467" i="1"/>
  <c r="O446" i="1"/>
  <c r="O440" i="1"/>
  <c r="M438" i="1"/>
  <c r="N437" i="1"/>
  <c r="O421" i="1"/>
  <c r="N418" i="1"/>
  <c r="O403" i="1"/>
  <c r="G494" i="1"/>
  <c r="O490" i="1"/>
  <c r="O487" i="1"/>
  <c r="G479" i="1"/>
  <c r="G475" i="1"/>
  <c r="N473" i="1"/>
  <c r="I473" i="1"/>
  <c r="O467" i="1"/>
  <c r="G465" i="1"/>
  <c r="N457" i="1"/>
  <c r="G454" i="1"/>
  <c r="M453" i="1"/>
  <c r="G450" i="1"/>
  <c r="M443" i="1"/>
  <c r="O438" i="1"/>
  <c r="G438" i="1"/>
  <c r="O436" i="1"/>
  <c r="N428" i="1"/>
  <c r="M403" i="1"/>
  <c r="G403" i="1"/>
  <c r="N399" i="1"/>
  <c r="N394" i="1"/>
  <c r="O357" i="1"/>
  <c r="I399" i="1"/>
  <c r="O398" i="1"/>
  <c r="I398" i="1"/>
  <c r="N393" i="1"/>
  <c r="N388" i="1"/>
  <c r="O387" i="1"/>
  <c r="O378" i="1"/>
  <c r="O373" i="1"/>
  <c r="O372" i="1"/>
  <c r="M364" i="1"/>
  <c r="O359" i="1"/>
  <c r="M357" i="1"/>
  <c r="O355" i="1"/>
  <c r="N346" i="1"/>
  <c r="I346" i="1"/>
  <c r="G343" i="1"/>
  <c r="O341" i="1"/>
  <c r="M340" i="1"/>
  <c r="O338" i="1"/>
  <c r="O333" i="1"/>
  <c r="I328" i="1"/>
  <c r="O323" i="1"/>
  <c r="O318" i="1"/>
  <c r="G318" i="1"/>
  <c r="I307" i="1"/>
  <c r="N381" i="1"/>
  <c r="O342" i="1"/>
  <c r="N398" i="1"/>
  <c r="N397" i="1"/>
  <c r="M393" i="1"/>
  <c r="G389" i="1"/>
  <c r="I388" i="1"/>
  <c r="N387" i="1"/>
  <c r="I387" i="1"/>
  <c r="O386" i="1"/>
  <c r="O381" i="1"/>
  <c r="M370" i="1"/>
  <c r="O366" i="1"/>
  <c r="O365" i="1"/>
  <c r="O364" i="1"/>
  <c r="I364" i="1"/>
  <c r="M346" i="1"/>
  <c r="N345" i="1"/>
  <c r="O340" i="1"/>
  <c r="N332" i="1"/>
  <c r="O324" i="1"/>
  <c r="N322" i="1"/>
  <c r="O319" i="1"/>
  <c r="G399" i="1"/>
  <c r="G394" i="1"/>
  <c r="O384" i="1"/>
  <c r="G381" i="1"/>
  <c r="M379" i="1"/>
  <c r="O376" i="1"/>
  <c r="G376" i="1"/>
  <c r="N364" i="1"/>
  <c r="G357" i="1"/>
  <c r="O349" i="1"/>
  <c r="M342" i="1"/>
  <c r="G342" i="1"/>
  <c r="N340" i="1"/>
  <c r="G340" i="1"/>
  <c r="N334" i="1"/>
  <c r="G334" i="1"/>
  <c r="N324" i="1"/>
  <c r="G324" i="1"/>
  <c r="N321" i="1"/>
  <c r="N319" i="1"/>
  <c r="G287" i="1"/>
  <c r="N281" i="1"/>
  <c r="O280" i="1"/>
  <c r="I277" i="1"/>
  <c r="N265" i="1"/>
  <c r="M246" i="1"/>
  <c r="I243" i="1"/>
  <c r="N231" i="1"/>
  <c r="I228" i="1"/>
  <c r="O269" i="1"/>
  <c r="O279" i="1"/>
  <c r="M277" i="1"/>
  <c r="N276" i="1"/>
  <c r="N271" i="1"/>
  <c r="M259" i="1"/>
  <c r="N250" i="1"/>
  <c r="O246" i="1"/>
  <c r="I246" i="1"/>
  <c r="O241" i="1"/>
  <c r="O228" i="1"/>
  <c r="M225" i="1"/>
  <c r="I218" i="1"/>
  <c r="N215" i="1"/>
  <c r="M211" i="1"/>
  <c r="O210" i="1"/>
  <c r="G292" i="1"/>
  <c r="O281" i="1"/>
  <c r="M279" i="1"/>
  <c r="G279" i="1"/>
  <c r="G269" i="1"/>
  <c r="M261" i="1"/>
  <c r="P261" i="1" s="1"/>
  <c r="R261" i="1" s="1"/>
  <c r="S261" i="1" s="1"/>
  <c r="O259" i="1"/>
  <c r="M249" i="1"/>
  <c r="O248" i="1"/>
  <c r="G248" i="1"/>
  <c r="M241" i="1"/>
  <c r="O236" i="1"/>
  <c r="O231" i="1"/>
  <c r="O225" i="1"/>
  <c r="O221" i="1"/>
  <c r="M210" i="1"/>
  <c r="M205" i="1"/>
  <c r="N199" i="1"/>
  <c r="I173" i="1"/>
  <c r="O172" i="1"/>
  <c r="O152" i="1"/>
  <c r="N151" i="1"/>
  <c r="N138" i="1"/>
  <c r="I134" i="1"/>
  <c r="N124" i="1"/>
  <c r="I124" i="1"/>
  <c r="M119" i="1"/>
  <c r="M209" i="1"/>
  <c r="O198" i="1"/>
  <c r="M178" i="1"/>
  <c r="O174" i="1"/>
  <c r="N172" i="1"/>
  <c r="N161" i="1"/>
  <c r="N152" i="1"/>
  <c r="I152" i="1"/>
  <c r="N127" i="1"/>
  <c r="M124" i="1"/>
  <c r="O117" i="1"/>
  <c r="O209" i="1"/>
  <c r="G207" i="1"/>
  <c r="G188" i="1"/>
  <c r="M181" i="1"/>
  <c r="N180" i="1"/>
  <c r="M172" i="1"/>
  <c r="N171" i="1"/>
  <c r="N162" i="1"/>
  <c r="I162" i="1"/>
  <c r="M160" i="1"/>
  <c r="M156" i="1"/>
  <c r="M152" i="1"/>
  <c r="I148" i="1"/>
  <c r="N146" i="1"/>
  <c r="O139" i="1"/>
  <c r="N129" i="1"/>
  <c r="M122" i="1"/>
  <c r="I109" i="1"/>
  <c r="O108" i="1"/>
  <c r="I108" i="1"/>
  <c r="G75" i="1"/>
  <c r="I69" i="1"/>
  <c r="N68" i="1"/>
  <c r="P68" i="1" s="1"/>
  <c r="R68" i="1" s="1"/>
  <c r="S68" i="1" s="1"/>
  <c r="N62" i="1"/>
  <c r="M59" i="1"/>
  <c r="M54" i="1"/>
  <c r="N42" i="1"/>
  <c r="P42" i="1" s="1"/>
  <c r="R42" i="1" s="1"/>
  <c r="S42" i="1" s="1"/>
  <c r="M28" i="1"/>
  <c r="M23" i="1"/>
  <c r="N22" i="1"/>
  <c r="N111" i="1"/>
  <c r="N109" i="1"/>
  <c r="N108" i="1"/>
  <c r="I96" i="1"/>
  <c r="I64" i="1"/>
  <c r="N63" i="1"/>
  <c r="O61" i="1"/>
  <c r="I59" i="1"/>
  <c r="N57" i="1"/>
  <c r="M48" i="1"/>
  <c r="N43" i="1"/>
  <c r="O41" i="1"/>
  <c r="O21" i="1"/>
  <c r="O111" i="1"/>
  <c r="G111" i="1"/>
  <c r="G109" i="1"/>
  <c r="M101" i="1"/>
  <c r="M69" i="1"/>
  <c r="I675" i="1"/>
  <c r="O675" i="1"/>
  <c r="I656" i="1"/>
  <c r="M656" i="1"/>
  <c r="N656" i="1"/>
  <c r="N650" i="1"/>
  <c r="I650" i="1"/>
  <c r="G592" i="1"/>
  <c r="M592" i="1"/>
  <c r="I592" i="1"/>
  <c r="I551" i="1"/>
  <c r="N551" i="1"/>
  <c r="O551" i="1"/>
  <c r="N527" i="1"/>
  <c r="O527" i="1"/>
  <c r="G524" i="1"/>
  <c r="I524" i="1"/>
  <c r="M513" i="1"/>
  <c r="I513" i="1"/>
  <c r="N513" i="1"/>
  <c r="I441" i="1"/>
  <c r="M441" i="1"/>
  <c r="N441" i="1"/>
  <c r="O441" i="1"/>
  <c r="G432" i="1"/>
  <c r="N432" i="1"/>
  <c r="I432" i="1"/>
  <c r="O432" i="1"/>
  <c r="G425" i="1"/>
  <c r="I425" i="1"/>
  <c r="O413" i="1"/>
  <c r="N413" i="1"/>
  <c r="I413" i="1"/>
  <c r="M118" i="1"/>
  <c r="I118" i="1"/>
  <c r="N118" i="1"/>
  <c r="O118" i="1"/>
  <c r="N114" i="1"/>
  <c r="I114" i="1"/>
  <c r="O114" i="1"/>
  <c r="O27" i="1"/>
  <c r="N27" i="1"/>
  <c r="I19" i="1"/>
  <c r="O19" i="1"/>
  <c r="G612" i="1"/>
  <c r="N612" i="1"/>
  <c r="I612" i="1"/>
  <c r="O612" i="1"/>
  <c r="I571" i="1"/>
  <c r="N571" i="1"/>
  <c r="O571" i="1"/>
  <c r="I526" i="1"/>
  <c r="M526" i="1"/>
  <c r="O526" i="1"/>
  <c r="N526" i="1"/>
  <c r="N503" i="1"/>
  <c r="I503" i="1"/>
  <c r="O503" i="1"/>
  <c r="I483" i="1"/>
  <c r="N483" i="1"/>
  <c r="M483" i="1"/>
  <c r="N468" i="1"/>
  <c r="I468" i="1"/>
  <c r="O468" i="1"/>
  <c r="G462" i="1"/>
  <c r="O462" i="1"/>
  <c r="I431" i="1"/>
  <c r="M431" i="1"/>
  <c r="O431" i="1"/>
  <c r="N431" i="1"/>
  <c r="M286" i="1"/>
  <c r="I286" i="1"/>
  <c r="N286" i="1"/>
  <c r="O286" i="1"/>
  <c r="G240" i="1"/>
  <c r="N240" i="1"/>
  <c r="O240" i="1"/>
  <c r="G235" i="1"/>
  <c r="O235" i="1"/>
  <c r="I219" i="1"/>
  <c r="M219" i="1"/>
  <c r="N219" i="1"/>
  <c r="O219" i="1"/>
  <c r="N679" i="1"/>
  <c r="O679" i="1"/>
  <c r="I679" i="1"/>
  <c r="O658" i="1"/>
  <c r="G657" i="1"/>
  <c r="M657" i="1"/>
  <c r="I657" i="1"/>
  <c r="N657" i="1"/>
  <c r="M648" i="1"/>
  <c r="G647" i="1"/>
  <c r="M647" i="1"/>
  <c r="I647" i="1"/>
  <c r="N647" i="1"/>
  <c r="O647" i="1"/>
  <c r="I570" i="1"/>
  <c r="M570" i="1"/>
  <c r="N570" i="1"/>
  <c r="O570" i="1"/>
  <c r="N560" i="1"/>
  <c r="I560" i="1"/>
  <c r="O560" i="1"/>
  <c r="I543" i="1"/>
  <c r="M543" i="1"/>
  <c r="N543" i="1"/>
  <c r="M503" i="1"/>
  <c r="G482" i="1"/>
  <c r="N482" i="1"/>
  <c r="O482" i="1"/>
  <c r="M468" i="1"/>
  <c r="O455" i="1"/>
  <c r="I455" i="1"/>
  <c r="G452" i="1"/>
  <c r="O452" i="1"/>
  <c r="M448" i="1"/>
  <c r="I448" i="1"/>
  <c r="N448" i="1"/>
  <c r="N386" i="1"/>
  <c r="M386" i="1"/>
  <c r="I386" i="1"/>
  <c r="N377" i="1"/>
  <c r="N374" i="1"/>
  <c r="I374" i="1"/>
  <c r="M658" i="1"/>
  <c r="I686" i="1"/>
  <c r="M686" i="1"/>
  <c r="N686" i="1"/>
  <c r="M679" i="1"/>
  <c r="I660" i="1"/>
  <c r="N658" i="1"/>
  <c r="O656" i="1"/>
  <c r="O648" i="1"/>
  <c r="I648" i="1"/>
  <c r="I646" i="1"/>
  <c r="M646" i="1"/>
  <c r="N646" i="1"/>
  <c r="O646" i="1"/>
  <c r="N643" i="1"/>
  <c r="I643" i="1"/>
  <c r="O643" i="1"/>
  <c r="M638" i="1"/>
  <c r="I638" i="1"/>
  <c r="N638" i="1"/>
  <c r="O638" i="1"/>
  <c r="O625" i="1"/>
  <c r="I625" i="1"/>
  <c r="I623" i="1"/>
  <c r="M623" i="1"/>
  <c r="N623" i="1"/>
  <c r="G622" i="1"/>
  <c r="M622" i="1"/>
  <c r="O622" i="1"/>
  <c r="I622" i="1"/>
  <c r="N622" i="1"/>
  <c r="O618" i="1"/>
  <c r="I618" i="1"/>
  <c r="O605" i="1"/>
  <c r="I605" i="1"/>
  <c r="N605" i="1"/>
  <c r="I603" i="1"/>
  <c r="N603" i="1"/>
  <c r="M603" i="1"/>
  <c r="O595" i="1"/>
  <c r="M595" i="1"/>
  <c r="I595" i="1"/>
  <c r="O578" i="1"/>
  <c r="I578" i="1"/>
  <c r="N532" i="1"/>
  <c r="O532" i="1"/>
  <c r="M528" i="1"/>
  <c r="I528" i="1"/>
  <c r="N528" i="1"/>
  <c r="N518" i="1"/>
  <c r="I518" i="1"/>
  <c r="O518" i="1"/>
  <c r="O513" i="1"/>
  <c r="N493" i="1"/>
  <c r="I493" i="1"/>
  <c r="O493" i="1"/>
  <c r="I481" i="1"/>
  <c r="M481" i="1"/>
  <c r="O481" i="1"/>
  <c r="N481" i="1"/>
  <c r="G442" i="1"/>
  <c r="N442" i="1"/>
  <c r="O442" i="1"/>
  <c r="I415" i="1"/>
  <c r="O415" i="1"/>
  <c r="N371" i="1"/>
  <c r="M371" i="1"/>
  <c r="I371" i="1"/>
  <c r="M643" i="1"/>
  <c r="M612" i="1"/>
  <c r="N592" i="1"/>
  <c r="M591" i="1"/>
  <c r="G412" i="1"/>
  <c r="O412" i="1"/>
  <c r="I379" i="1"/>
  <c r="N379" i="1"/>
  <c r="M344" i="1"/>
  <c r="N344" i="1"/>
  <c r="I344" i="1"/>
  <c r="O344" i="1"/>
  <c r="N320" i="1"/>
  <c r="O320" i="1"/>
  <c r="N216" i="1"/>
  <c r="I216" i="1"/>
  <c r="O216" i="1"/>
  <c r="M667" i="1"/>
  <c r="M666" i="1"/>
  <c r="M620" i="1"/>
  <c r="O613" i="1"/>
  <c r="I613" i="1"/>
  <c r="M604" i="1"/>
  <c r="O602" i="1"/>
  <c r="M594" i="1"/>
  <c r="O591" i="1"/>
  <c r="M590" i="1"/>
  <c r="N581" i="1"/>
  <c r="M572" i="1"/>
  <c r="M557" i="1"/>
  <c r="M556" i="1"/>
  <c r="M552" i="1"/>
  <c r="N548" i="1"/>
  <c r="I548" i="1"/>
  <c r="N533" i="1"/>
  <c r="I533" i="1"/>
  <c r="O523" i="1"/>
  <c r="M521" i="1"/>
  <c r="N498" i="1"/>
  <c r="I498" i="1"/>
  <c r="I490" i="1"/>
  <c r="O478" i="1"/>
  <c r="I478" i="1"/>
  <c r="I465" i="1"/>
  <c r="O463" i="1"/>
  <c r="I463" i="1"/>
  <c r="M462" i="1"/>
  <c r="O456" i="1"/>
  <c r="M452" i="1"/>
  <c r="N443" i="1"/>
  <c r="I443" i="1"/>
  <c r="N433" i="1"/>
  <c r="I433" i="1"/>
  <c r="O428" i="1"/>
  <c r="I428" i="1"/>
  <c r="N423" i="1"/>
  <c r="I423" i="1"/>
  <c r="O416" i="1"/>
  <c r="I393" i="1"/>
  <c r="I391" i="1"/>
  <c r="N391" i="1"/>
  <c r="O380" i="1"/>
  <c r="M380" i="1"/>
  <c r="N376" i="1"/>
  <c r="I376" i="1"/>
  <c r="M262" i="1"/>
  <c r="G230" i="1"/>
  <c r="O230" i="1"/>
  <c r="I206" i="1"/>
  <c r="O206" i="1"/>
  <c r="N167" i="1"/>
  <c r="I167" i="1"/>
  <c r="O167" i="1"/>
  <c r="I102" i="1"/>
  <c r="O102" i="1"/>
  <c r="N102" i="1"/>
  <c r="O99" i="1"/>
  <c r="I99" i="1"/>
  <c r="G81" i="1"/>
  <c r="I81" i="1"/>
  <c r="M524" i="1"/>
  <c r="M497" i="1"/>
  <c r="M432" i="1"/>
  <c r="I408" i="1"/>
  <c r="N408" i="1"/>
  <c r="G402" i="1"/>
  <c r="N402" i="1"/>
  <c r="I239" i="1"/>
  <c r="M239" i="1"/>
  <c r="N239" i="1"/>
  <c r="O239" i="1"/>
  <c r="G141" i="1"/>
  <c r="N141" i="1"/>
  <c r="O141" i="1"/>
  <c r="G133" i="1"/>
  <c r="I133" i="1"/>
  <c r="M44" i="1"/>
  <c r="I44" i="1"/>
  <c r="O44" i="1"/>
  <c r="I39" i="1"/>
  <c r="O39" i="1"/>
  <c r="M29" i="1"/>
  <c r="I29" i="1"/>
  <c r="N29" i="1"/>
  <c r="I689" i="1"/>
  <c r="M632" i="1"/>
  <c r="O614" i="1"/>
  <c r="I614" i="1"/>
  <c r="O611" i="1"/>
  <c r="N602" i="1"/>
  <c r="I602" i="1"/>
  <c r="O584" i="1"/>
  <c r="I584" i="1"/>
  <c r="O572" i="1"/>
  <c r="I572" i="1"/>
  <c r="O552" i="1"/>
  <c r="I552" i="1"/>
  <c r="M548" i="1"/>
  <c r="I539" i="1"/>
  <c r="M498" i="1"/>
  <c r="O497" i="1"/>
  <c r="O491" i="1"/>
  <c r="O466" i="1"/>
  <c r="N463" i="1"/>
  <c r="N458" i="1"/>
  <c r="O457" i="1"/>
  <c r="N456" i="1"/>
  <c r="O453" i="1"/>
  <c r="M423" i="1"/>
  <c r="O422" i="1"/>
  <c r="O418" i="1"/>
  <c r="O417" i="1"/>
  <c r="N416" i="1"/>
  <c r="M412" i="1"/>
  <c r="O408" i="1"/>
  <c r="G407" i="1"/>
  <c r="O407" i="1"/>
  <c r="N403" i="1"/>
  <c r="I403" i="1"/>
  <c r="I394" i="1"/>
  <c r="O393" i="1"/>
  <c r="G392" i="1"/>
  <c r="I392" i="1"/>
  <c r="N392" i="1"/>
  <c r="I380" i="1"/>
  <c r="O379" i="1"/>
  <c r="M376" i="1"/>
  <c r="O278" i="1"/>
  <c r="I278" i="1"/>
  <c r="M251" i="1"/>
  <c r="I251" i="1"/>
  <c r="N251" i="1"/>
  <c r="O251" i="1"/>
  <c r="I229" i="1"/>
  <c r="M229" i="1"/>
  <c r="N229" i="1"/>
  <c r="O229" i="1"/>
  <c r="N226" i="1"/>
  <c r="I226" i="1"/>
  <c r="O226" i="1"/>
  <c r="G220" i="1"/>
  <c r="N220" i="1"/>
  <c r="O220" i="1"/>
  <c r="I177" i="1"/>
  <c r="N177" i="1"/>
  <c r="O177" i="1"/>
  <c r="M104" i="1"/>
  <c r="I104" i="1"/>
  <c r="M334" i="1"/>
  <c r="N331" i="1"/>
  <c r="O322" i="1"/>
  <c r="O250" i="1"/>
  <c r="M226" i="1"/>
  <c r="M216" i="1"/>
  <c r="I201" i="1"/>
  <c r="O201" i="1"/>
  <c r="G176" i="1"/>
  <c r="N176" i="1"/>
  <c r="O176" i="1"/>
  <c r="O133" i="1"/>
  <c r="G123" i="1"/>
  <c r="I123" i="1"/>
  <c r="O123" i="1"/>
  <c r="M114" i="1"/>
  <c r="G113" i="1"/>
  <c r="I113" i="1"/>
  <c r="N113" i="1"/>
  <c r="O113" i="1"/>
  <c r="G86" i="1"/>
  <c r="I86" i="1"/>
  <c r="I357" i="1"/>
  <c r="M332" i="1"/>
  <c r="M235" i="1"/>
  <c r="M230" i="1"/>
  <c r="M206" i="1"/>
  <c r="I199" i="1"/>
  <c r="M199" i="1"/>
  <c r="M182" i="1"/>
  <c r="I182" i="1"/>
  <c r="N182" i="1"/>
  <c r="I174" i="1"/>
  <c r="M167" i="1"/>
  <c r="G161" i="1"/>
  <c r="O161" i="1"/>
  <c r="G158" i="1"/>
  <c r="I158" i="1"/>
  <c r="G151" i="1"/>
  <c r="O151" i="1"/>
  <c r="I147" i="1"/>
  <c r="O147" i="1"/>
  <c r="N136" i="1"/>
  <c r="O136" i="1"/>
  <c r="G135" i="1"/>
  <c r="I135" i="1"/>
  <c r="M129" i="1"/>
  <c r="O127" i="1"/>
  <c r="O119" i="1"/>
  <c r="N119" i="1"/>
  <c r="N112" i="1"/>
  <c r="O112" i="1"/>
  <c r="M103" i="1"/>
  <c r="I103" i="1"/>
  <c r="N103" i="1"/>
  <c r="I101" i="1"/>
  <c r="N101" i="1"/>
  <c r="O101" i="1"/>
  <c r="M49" i="1"/>
  <c r="I49" i="1"/>
  <c r="N49" i="1"/>
  <c r="I359" i="1"/>
  <c r="O358" i="1"/>
  <c r="N357" i="1"/>
  <c r="N356" i="1"/>
  <c r="N347" i="1"/>
  <c r="N342" i="1"/>
  <c r="I342" i="1"/>
  <c r="O334" i="1"/>
  <c r="M324" i="1"/>
  <c r="N279" i="1"/>
  <c r="O271" i="1"/>
  <c r="I271" i="1"/>
  <c r="N266" i="1"/>
  <c r="O264" i="1"/>
  <c r="M256" i="1"/>
  <c r="M245" i="1"/>
  <c r="M236" i="1"/>
  <c r="N221" i="1"/>
  <c r="G205" i="1"/>
  <c r="O205" i="1"/>
  <c r="M201" i="1"/>
  <c r="G200" i="1"/>
  <c r="N200" i="1"/>
  <c r="O164" i="1"/>
  <c r="I164" i="1"/>
  <c r="M157" i="1"/>
  <c r="I157" i="1"/>
  <c r="N157" i="1"/>
  <c r="I150" i="1"/>
  <c r="N150" i="1"/>
  <c r="O150" i="1"/>
  <c r="I142" i="1"/>
  <c r="N142" i="1"/>
  <c r="I140" i="1"/>
  <c r="N140" i="1"/>
  <c r="O140" i="1"/>
  <c r="O129" i="1"/>
  <c r="I129" i="1"/>
  <c r="G128" i="1"/>
  <c r="M128" i="1"/>
  <c r="I128" i="1"/>
  <c r="N128" i="1"/>
  <c r="N126" i="1"/>
  <c r="O126" i="1"/>
  <c r="G125" i="1"/>
  <c r="I125" i="1"/>
  <c r="I119" i="1"/>
  <c r="M64" i="1"/>
  <c r="O166" i="1"/>
  <c r="M165" i="1"/>
  <c r="M147" i="1"/>
  <c r="O146" i="1"/>
  <c r="O134" i="1"/>
  <c r="M123" i="1"/>
  <c r="M39" i="1"/>
  <c r="M19" i="1"/>
  <c r="F699" i="1"/>
  <c r="D699" i="1"/>
  <c r="G20" i="1"/>
  <c r="M20" i="1"/>
  <c r="F698" i="1"/>
  <c r="C698" i="1"/>
  <c r="B698" i="1"/>
  <c r="B697" i="1"/>
  <c r="C697" i="1"/>
  <c r="B693" i="1"/>
  <c r="C693" i="1"/>
  <c r="D693" i="1"/>
  <c r="F693" i="1"/>
  <c r="D698" i="1"/>
  <c r="B695" i="1"/>
  <c r="C695" i="1"/>
  <c r="D695" i="1"/>
  <c r="F695" i="1"/>
  <c r="F694" i="1"/>
  <c r="B694" i="1"/>
  <c r="D694" i="1"/>
  <c r="C694" i="1"/>
  <c r="O673" i="1"/>
  <c r="O653" i="1"/>
  <c r="N683" i="1"/>
  <c r="N673" i="1"/>
  <c r="M664" i="1"/>
  <c r="D697" i="1"/>
  <c r="B696" i="1"/>
  <c r="O689" i="1"/>
  <c r="G685" i="1"/>
  <c r="M680" i="1"/>
  <c r="G675" i="1"/>
  <c r="M670" i="1"/>
  <c r="G665" i="1"/>
  <c r="M660" i="1"/>
  <c r="G655" i="1"/>
  <c r="M650" i="1"/>
  <c r="O649" i="1"/>
  <c r="M610" i="1"/>
  <c r="G607" i="1"/>
  <c r="M607" i="1"/>
  <c r="N607" i="1"/>
  <c r="O607" i="1"/>
  <c r="G600" i="1"/>
  <c r="N599" i="1"/>
  <c r="M599" i="1"/>
  <c r="I599" i="1"/>
  <c r="N591" i="1"/>
  <c r="N590" i="1"/>
  <c r="G580" i="1"/>
  <c r="N579" i="1"/>
  <c r="M579" i="1"/>
  <c r="I579" i="1"/>
  <c r="M565" i="1"/>
  <c r="N565" i="1"/>
  <c r="O565" i="1"/>
  <c r="G547" i="1"/>
  <c r="I547" i="1"/>
  <c r="I546" i="1"/>
  <c r="M546" i="1"/>
  <c r="O542" i="1"/>
  <c r="I511" i="1"/>
  <c r="M511" i="1"/>
  <c r="N511" i="1"/>
  <c r="O511" i="1"/>
  <c r="M495" i="1"/>
  <c r="N495" i="1"/>
  <c r="I495" i="1"/>
  <c r="G495" i="1"/>
  <c r="I471" i="1"/>
  <c r="M471" i="1"/>
  <c r="G471" i="1"/>
  <c r="I464" i="1"/>
  <c r="I401" i="1"/>
  <c r="M401" i="1"/>
  <c r="N401" i="1"/>
  <c r="G401" i="1"/>
  <c r="M369" i="1"/>
  <c r="N369" i="1"/>
  <c r="I369" i="1"/>
  <c r="O369" i="1"/>
  <c r="M363" i="1"/>
  <c r="I363" i="1"/>
  <c r="G363" i="1"/>
  <c r="O363" i="1"/>
  <c r="I350" i="1"/>
  <c r="N350" i="1"/>
  <c r="O350" i="1"/>
  <c r="M350" i="1"/>
  <c r="G684" i="1"/>
  <c r="I682" i="1"/>
  <c r="G674" i="1"/>
  <c r="I672" i="1"/>
  <c r="G664" i="1"/>
  <c r="I662" i="1"/>
  <c r="G654" i="1"/>
  <c r="I652" i="1"/>
  <c r="I616" i="1"/>
  <c r="N616" i="1"/>
  <c r="O616" i="1"/>
  <c r="M616" i="1"/>
  <c r="I588" i="1"/>
  <c r="G587" i="1"/>
  <c r="M587" i="1"/>
  <c r="N587" i="1"/>
  <c r="O587" i="1"/>
  <c r="N549" i="1"/>
  <c r="O549" i="1"/>
  <c r="I549" i="1"/>
  <c r="G549" i="1"/>
  <c r="M540" i="1"/>
  <c r="N540" i="1"/>
  <c r="O540" i="1"/>
  <c r="M535" i="1"/>
  <c r="N535" i="1"/>
  <c r="O535" i="1"/>
  <c r="I535" i="1"/>
  <c r="M515" i="1"/>
  <c r="N515" i="1"/>
  <c r="O515" i="1"/>
  <c r="M500" i="1"/>
  <c r="N500" i="1"/>
  <c r="O500" i="1"/>
  <c r="N484" i="1"/>
  <c r="O484" i="1"/>
  <c r="M484" i="1"/>
  <c r="I484" i="1"/>
  <c r="G484" i="1"/>
  <c r="I451" i="1"/>
  <c r="N451" i="1"/>
  <c r="O451" i="1"/>
  <c r="M451" i="1"/>
  <c r="N439" i="1"/>
  <c r="O439" i="1"/>
  <c r="M439" i="1"/>
  <c r="M395" i="1"/>
  <c r="N395" i="1"/>
  <c r="O395" i="1"/>
  <c r="I395" i="1"/>
  <c r="M360" i="1"/>
  <c r="N360" i="1"/>
  <c r="O360" i="1"/>
  <c r="I360" i="1"/>
  <c r="M353" i="1"/>
  <c r="N353" i="1"/>
  <c r="O353" i="1"/>
  <c r="I353" i="1"/>
  <c r="N639" i="1"/>
  <c r="O639" i="1"/>
  <c r="M639" i="1"/>
  <c r="M628" i="1"/>
  <c r="N628" i="1"/>
  <c r="I566" i="1"/>
  <c r="M566" i="1"/>
  <c r="N566" i="1"/>
  <c r="O566" i="1"/>
  <c r="G562" i="1"/>
  <c r="N562" i="1"/>
  <c r="O562" i="1"/>
  <c r="M562" i="1"/>
  <c r="G512" i="1"/>
  <c r="I512" i="1"/>
  <c r="M512" i="1"/>
  <c r="N512" i="1"/>
  <c r="O512" i="1"/>
  <c r="I496" i="1"/>
  <c r="M496" i="1"/>
  <c r="G496" i="1"/>
  <c r="N449" i="1"/>
  <c r="O449" i="1"/>
  <c r="M449" i="1"/>
  <c r="I449" i="1"/>
  <c r="I426" i="1"/>
  <c r="N426" i="1"/>
  <c r="O426" i="1"/>
  <c r="M426" i="1"/>
  <c r="N414" i="1"/>
  <c r="O414" i="1"/>
  <c r="M414" i="1"/>
  <c r="M410" i="1"/>
  <c r="N410" i="1"/>
  <c r="O410" i="1"/>
  <c r="I410" i="1"/>
  <c r="G671" i="1"/>
  <c r="G661" i="1"/>
  <c r="G651" i="1"/>
  <c r="G630" i="1"/>
  <c r="N629" i="1"/>
  <c r="M629" i="1"/>
  <c r="I629" i="1"/>
  <c r="M608" i="1"/>
  <c r="N608" i="1"/>
  <c r="I596" i="1"/>
  <c r="N596" i="1"/>
  <c r="O596" i="1"/>
  <c r="M596" i="1"/>
  <c r="I576" i="1"/>
  <c r="N576" i="1"/>
  <c r="O576" i="1"/>
  <c r="M576" i="1"/>
  <c r="M550" i="1"/>
  <c r="I550" i="1"/>
  <c r="G550" i="1"/>
  <c r="I541" i="1"/>
  <c r="M541" i="1"/>
  <c r="N541" i="1"/>
  <c r="O541" i="1"/>
  <c r="I536" i="1"/>
  <c r="M536" i="1"/>
  <c r="N536" i="1"/>
  <c r="N509" i="1"/>
  <c r="O509" i="1"/>
  <c r="M509" i="1"/>
  <c r="I509" i="1"/>
  <c r="G509" i="1"/>
  <c r="I476" i="1"/>
  <c r="N476" i="1"/>
  <c r="O476" i="1"/>
  <c r="M476" i="1"/>
  <c r="N464" i="1"/>
  <c r="O464" i="1"/>
  <c r="M464" i="1"/>
  <c r="M460" i="1"/>
  <c r="N460" i="1"/>
  <c r="O460" i="1"/>
  <c r="I460" i="1"/>
  <c r="N424" i="1"/>
  <c r="O424" i="1"/>
  <c r="M424" i="1"/>
  <c r="I424" i="1"/>
  <c r="M640" i="1"/>
  <c r="N640" i="1"/>
  <c r="G617" i="1"/>
  <c r="M617" i="1"/>
  <c r="N617" i="1"/>
  <c r="O617" i="1"/>
  <c r="N609" i="1"/>
  <c r="M609" i="1"/>
  <c r="I609" i="1"/>
  <c r="M588" i="1"/>
  <c r="N588" i="1"/>
  <c r="G567" i="1"/>
  <c r="M567" i="1"/>
  <c r="N567" i="1"/>
  <c r="G537" i="1"/>
  <c r="I537" i="1"/>
  <c r="M537" i="1"/>
  <c r="N537" i="1"/>
  <c r="M530" i="1"/>
  <c r="N530" i="1"/>
  <c r="I530" i="1"/>
  <c r="G530" i="1"/>
  <c r="N474" i="1"/>
  <c r="O474" i="1"/>
  <c r="M474" i="1"/>
  <c r="I474" i="1"/>
  <c r="M435" i="1"/>
  <c r="N435" i="1"/>
  <c r="I435" i="1"/>
  <c r="O435" i="1"/>
  <c r="O382" i="1"/>
  <c r="M382" i="1"/>
  <c r="N382" i="1"/>
  <c r="I382" i="1"/>
  <c r="G316" i="1"/>
  <c r="N316" i="1"/>
  <c r="O316" i="1"/>
  <c r="M316" i="1"/>
  <c r="N272" i="1"/>
  <c r="O272" i="1"/>
  <c r="M272" i="1"/>
  <c r="I272" i="1"/>
  <c r="G272" i="1"/>
  <c r="O683" i="1"/>
  <c r="G542" i="1"/>
  <c r="M542" i="1"/>
  <c r="N542" i="1"/>
  <c r="I516" i="1"/>
  <c r="N516" i="1"/>
  <c r="O516" i="1"/>
  <c r="M516" i="1"/>
  <c r="I501" i="1"/>
  <c r="N501" i="1"/>
  <c r="O501" i="1"/>
  <c r="M501" i="1"/>
  <c r="N489" i="1"/>
  <c r="O489" i="1"/>
  <c r="M489" i="1"/>
  <c r="M485" i="1"/>
  <c r="N485" i="1"/>
  <c r="O485" i="1"/>
  <c r="I485" i="1"/>
  <c r="I411" i="1"/>
  <c r="M411" i="1"/>
  <c r="N411" i="1"/>
  <c r="O411" i="1"/>
  <c r="I396" i="1"/>
  <c r="M396" i="1"/>
  <c r="N396" i="1"/>
  <c r="O396" i="1"/>
  <c r="M368" i="1"/>
  <c r="N368" i="1"/>
  <c r="O368" i="1"/>
  <c r="I368" i="1"/>
  <c r="O362" i="1"/>
  <c r="I362" i="1"/>
  <c r="M362" i="1"/>
  <c r="N362" i="1"/>
  <c r="G330" i="1"/>
  <c r="I330" i="1"/>
  <c r="O330" i="1"/>
  <c r="N330" i="1"/>
  <c r="N303" i="1"/>
  <c r="O303" i="1"/>
  <c r="M303" i="1"/>
  <c r="I303" i="1"/>
  <c r="G303" i="1"/>
  <c r="O674" i="1"/>
  <c r="N589" i="1"/>
  <c r="M589" i="1"/>
  <c r="I589" i="1"/>
  <c r="M654" i="1"/>
  <c r="O652" i="1"/>
  <c r="O628" i="1"/>
  <c r="I626" i="1"/>
  <c r="N626" i="1"/>
  <c r="O626" i="1"/>
  <c r="M626" i="1"/>
  <c r="M600" i="1"/>
  <c r="G597" i="1"/>
  <c r="M597" i="1"/>
  <c r="N597" i="1"/>
  <c r="O597" i="1"/>
  <c r="M580" i="1"/>
  <c r="G577" i="1"/>
  <c r="M577" i="1"/>
  <c r="N577" i="1"/>
  <c r="O577" i="1"/>
  <c r="N569" i="1"/>
  <c r="M569" i="1"/>
  <c r="I569" i="1"/>
  <c r="I531" i="1"/>
  <c r="M531" i="1"/>
  <c r="P531" i="1" s="1"/>
  <c r="R531" i="1" s="1"/>
  <c r="S531" i="1" s="1"/>
  <c r="G531" i="1"/>
  <c r="N523" i="1"/>
  <c r="O522" i="1"/>
  <c r="N499" i="1"/>
  <c r="O499" i="1"/>
  <c r="M499" i="1"/>
  <c r="I499" i="1"/>
  <c r="I461" i="1"/>
  <c r="M461" i="1"/>
  <c r="N461" i="1"/>
  <c r="O461" i="1"/>
  <c r="M445" i="1"/>
  <c r="N445" i="1"/>
  <c r="I445" i="1"/>
  <c r="G445" i="1"/>
  <c r="I436" i="1"/>
  <c r="M436" i="1"/>
  <c r="N436" i="1"/>
  <c r="N600" i="1"/>
  <c r="O682" i="1"/>
  <c r="M674" i="1"/>
  <c r="O672" i="1"/>
  <c r="N663" i="1"/>
  <c r="M683" i="1"/>
  <c r="N682" i="1"/>
  <c r="O681" i="1"/>
  <c r="M673" i="1"/>
  <c r="N672" i="1"/>
  <c r="O671" i="1"/>
  <c r="M663" i="1"/>
  <c r="N662" i="1"/>
  <c r="O661" i="1"/>
  <c r="M653" i="1"/>
  <c r="N652" i="1"/>
  <c r="O651" i="1"/>
  <c r="N644" i="1"/>
  <c r="O644" i="1"/>
  <c r="M644" i="1"/>
  <c r="O641" i="1"/>
  <c r="N634" i="1"/>
  <c r="O634" i="1"/>
  <c r="M634" i="1"/>
  <c r="O630" i="1"/>
  <c r="M618" i="1"/>
  <c r="N618" i="1"/>
  <c r="O608" i="1"/>
  <c r="I606" i="1"/>
  <c r="N606" i="1"/>
  <c r="O606" i="1"/>
  <c r="M606" i="1"/>
  <c r="I565" i="1"/>
  <c r="N564" i="1"/>
  <c r="O564" i="1"/>
  <c r="M564" i="1"/>
  <c r="M549" i="1"/>
  <c r="N544" i="1"/>
  <c r="O544" i="1"/>
  <c r="M544" i="1"/>
  <c r="I544" i="1"/>
  <c r="M519" i="1"/>
  <c r="N514" i="1"/>
  <c r="O514" i="1"/>
  <c r="M514" i="1"/>
  <c r="M510" i="1"/>
  <c r="N510" i="1"/>
  <c r="O510" i="1"/>
  <c r="I510" i="1"/>
  <c r="O496" i="1"/>
  <c r="M450" i="1"/>
  <c r="N450" i="1"/>
  <c r="O450" i="1"/>
  <c r="M420" i="1"/>
  <c r="N420" i="1"/>
  <c r="I420" i="1"/>
  <c r="G420" i="1"/>
  <c r="N336" i="1"/>
  <c r="O336" i="1"/>
  <c r="M336" i="1"/>
  <c r="M685" i="1"/>
  <c r="O684" i="1"/>
  <c r="O664" i="1"/>
  <c r="O663" i="1"/>
  <c r="M655" i="1"/>
  <c r="O654" i="1"/>
  <c r="F696" i="1"/>
  <c r="M684" i="1"/>
  <c r="O662" i="1"/>
  <c r="O680" i="1"/>
  <c r="N671" i="1"/>
  <c r="O670" i="1"/>
  <c r="N661" i="1"/>
  <c r="O660" i="1"/>
  <c r="M652" i="1"/>
  <c r="N651" i="1"/>
  <c r="O650" i="1"/>
  <c r="N641" i="1"/>
  <c r="O640" i="1"/>
  <c r="N630" i="1"/>
  <c r="O629" i="1"/>
  <c r="N619" i="1"/>
  <c r="M619" i="1"/>
  <c r="I619" i="1"/>
  <c r="O610" i="1"/>
  <c r="O588" i="1"/>
  <c r="I586" i="1"/>
  <c r="N586" i="1"/>
  <c r="O586" i="1"/>
  <c r="M586" i="1"/>
  <c r="O550" i="1"/>
  <c r="I540" i="1"/>
  <c r="N539" i="1"/>
  <c r="O539" i="1"/>
  <c r="M539" i="1"/>
  <c r="O536" i="1"/>
  <c r="I515" i="1"/>
  <c r="I500" i="1"/>
  <c r="N496" i="1"/>
  <c r="I486" i="1"/>
  <c r="M486" i="1"/>
  <c r="N486" i="1"/>
  <c r="O486" i="1"/>
  <c r="M470" i="1"/>
  <c r="N470" i="1"/>
  <c r="I470" i="1"/>
  <c r="G470" i="1"/>
  <c r="I446" i="1"/>
  <c r="M446" i="1"/>
  <c r="G446" i="1"/>
  <c r="I439" i="1"/>
  <c r="M425" i="1"/>
  <c r="N425" i="1"/>
  <c r="O425" i="1"/>
  <c r="N409" i="1"/>
  <c r="O409" i="1"/>
  <c r="M409" i="1"/>
  <c r="I409" i="1"/>
  <c r="G409" i="1"/>
  <c r="M675" i="1"/>
  <c r="M665" i="1"/>
  <c r="N580" i="1"/>
  <c r="N653" i="1"/>
  <c r="F697" i="1"/>
  <c r="D696" i="1"/>
  <c r="M682" i="1"/>
  <c r="N681" i="1"/>
  <c r="M672" i="1"/>
  <c r="M662" i="1"/>
  <c r="I684" i="1"/>
  <c r="M681" i="1"/>
  <c r="I674" i="1"/>
  <c r="M671" i="1"/>
  <c r="I664" i="1"/>
  <c r="M661" i="1"/>
  <c r="I654" i="1"/>
  <c r="M651" i="1"/>
  <c r="M645" i="1"/>
  <c r="N645" i="1"/>
  <c r="M641" i="1"/>
  <c r="I639" i="1"/>
  <c r="M635" i="1"/>
  <c r="N635" i="1"/>
  <c r="M630" i="1"/>
  <c r="I628" i="1"/>
  <c r="G627" i="1"/>
  <c r="M627" i="1"/>
  <c r="N627" i="1"/>
  <c r="O627" i="1"/>
  <c r="N610" i="1"/>
  <c r="O609" i="1"/>
  <c r="G599" i="1"/>
  <c r="M598" i="1"/>
  <c r="N598" i="1"/>
  <c r="O590" i="1"/>
  <c r="I587" i="1"/>
  <c r="G579" i="1"/>
  <c r="M578" i="1"/>
  <c r="N578" i="1"/>
  <c r="O567" i="1"/>
  <c r="G565" i="1"/>
  <c r="I561" i="1"/>
  <c r="O561" i="1"/>
  <c r="N561" i="1"/>
  <c r="N550" i="1"/>
  <c r="G546" i="1"/>
  <c r="M545" i="1"/>
  <c r="N545" i="1"/>
  <c r="I545" i="1"/>
  <c r="N534" i="1"/>
  <c r="O534" i="1"/>
  <c r="I534" i="1"/>
  <c r="G517" i="1"/>
  <c r="I517" i="1"/>
  <c r="N517" i="1"/>
  <c r="O517" i="1"/>
  <c r="M517" i="1"/>
  <c r="G511" i="1"/>
  <c r="M475" i="1"/>
  <c r="N475" i="1"/>
  <c r="O475" i="1"/>
  <c r="N459" i="1"/>
  <c r="O459" i="1"/>
  <c r="M459" i="1"/>
  <c r="I459" i="1"/>
  <c r="G459" i="1"/>
  <c r="I421" i="1"/>
  <c r="M421" i="1"/>
  <c r="G421" i="1"/>
  <c r="I414" i="1"/>
  <c r="M383" i="1"/>
  <c r="N383" i="1"/>
  <c r="O383" i="1"/>
  <c r="I383" i="1"/>
  <c r="G369" i="1"/>
  <c r="G350" i="1"/>
  <c r="N327" i="1"/>
  <c r="M327" i="1"/>
  <c r="O327" i="1"/>
  <c r="I327" i="1"/>
  <c r="G327" i="1"/>
  <c r="N625" i="1"/>
  <c r="N595" i="1"/>
  <c r="N585" i="1"/>
  <c r="G532" i="1"/>
  <c r="I532" i="1"/>
  <c r="N529" i="1"/>
  <c r="O529" i="1"/>
  <c r="N434" i="1"/>
  <c r="O434" i="1"/>
  <c r="M434" i="1"/>
  <c r="M400" i="1"/>
  <c r="N400" i="1"/>
  <c r="O400" i="1"/>
  <c r="O367" i="1"/>
  <c r="M367" i="1"/>
  <c r="N367" i="1"/>
  <c r="O352" i="1"/>
  <c r="M352" i="1"/>
  <c r="N352" i="1"/>
  <c r="G335" i="1"/>
  <c r="O335" i="1"/>
  <c r="I335" i="1"/>
  <c r="M335" i="1"/>
  <c r="I329" i="1"/>
  <c r="M329" i="1"/>
  <c r="O329" i="1"/>
  <c r="N329" i="1"/>
  <c r="G311" i="1"/>
  <c r="N311" i="1"/>
  <c r="O311" i="1"/>
  <c r="M311" i="1"/>
  <c r="I309" i="1"/>
  <c r="N309" i="1"/>
  <c r="O309" i="1"/>
  <c r="M309" i="1"/>
  <c r="N237" i="1"/>
  <c r="O237" i="1"/>
  <c r="M237" i="1"/>
  <c r="I237" i="1"/>
  <c r="G301" i="1"/>
  <c r="N301" i="1"/>
  <c r="O301" i="1"/>
  <c r="M301" i="1"/>
  <c r="I299" i="1"/>
  <c r="N299" i="1"/>
  <c r="O299" i="1"/>
  <c r="M299" i="1"/>
  <c r="M223" i="1"/>
  <c r="N223" i="1"/>
  <c r="O223" i="1"/>
  <c r="I223" i="1"/>
  <c r="N293" i="1"/>
  <c r="O293" i="1"/>
  <c r="M293" i="1"/>
  <c r="I293" i="1"/>
  <c r="I254" i="1"/>
  <c r="M254" i="1"/>
  <c r="N254" i="1"/>
  <c r="O254" i="1"/>
  <c r="M233" i="1"/>
  <c r="N233" i="1"/>
  <c r="O233" i="1"/>
  <c r="I233" i="1"/>
  <c r="I314" i="1"/>
  <c r="N314" i="1"/>
  <c r="O314" i="1"/>
  <c r="M314" i="1"/>
  <c r="G291" i="1"/>
  <c r="N291" i="1"/>
  <c r="O291" i="1"/>
  <c r="M291" i="1"/>
  <c r="I289" i="1"/>
  <c r="N289" i="1"/>
  <c r="O289" i="1"/>
  <c r="M289" i="1"/>
  <c r="I284" i="1"/>
  <c r="M284" i="1"/>
  <c r="O284" i="1"/>
  <c r="N284" i="1"/>
  <c r="N282" i="1"/>
  <c r="O282" i="1"/>
  <c r="I282" i="1"/>
  <c r="G282" i="1"/>
  <c r="M282" i="1"/>
  <c r="N267" i="1"/>
  <c r="O267" i="1"/>
  <c r="I267" i="1"/>
  <c r="M267" i="1"/>
  <c r="I244" i="1"/>
  <c r="M244" i="1"/>
  <c r="N244" i="1"/>
  <c r="O244" i="1"/>
  <c r="G244" i="1"/>
  <c r="N308" i="1"/>
  <c r="O308" i="1"/>
  <c r="M308" i="1"/>
  <c r="I308" i="1"/>
  <c r="N212" i="1"/>
  <c r="O212" i="1"/>
  <c r="M212" i="1"/>
  <c r="I212" i="1"/>
  <c r="G212" i="1"/>
  <c r="N210" i="1"/>
  <c r="G522" i="1"/>
  <c r="I522" i="1"/>
  <c r="N519" i="1"/>
  <c r="O519" i="1"/>
  <c r="M389" i="1"/>
  <c r="N389" i="1"/>
  <c r="O389" i="1"/>
  <c r="O377" i="1"/>
  <c r="I377" i="1"/>
  <c r="G377" i="1"/>
  <c r="M375" i="1"/>
  <c r="N375" i="1"/>
  <c r="O375" i="1"/>
  <c r="I370" i="1"/>
  <c r="G370" i="1"/>
  <c r="M354" i="1"/>
  <c r="N354" i="1"/>
  <c r="O354" i="1"/>
  <c r="M328" i="1"/>
  <c r="N328" i="1"/>
  <c r="O328" i="1"/>
  <c r="G306" i="1"/>
  <c r="N306" i="1"/>
  <c r="O306" i="1"/>
  <c r="M306" i="1"/>
  <c r="I304" i="1"/>
  <c r="N304" i="1"/>
  <c r="O304" i="1"/>
  <c r="M304" i="1"/>
  <c r="G260" i="1"/>
  <c r="I260" i="1"/>
  <c r="O260" i="1"/>
  <c r="M260" i="1"/>
  <c r="N260" i="1"/>
  <c r="N257" i="1"/>
  <c r="O257" i="1"/>
  <c r="M257" i="1"/>
  <c r="I257" i="1"/>
  <c r="N222" i="1"/>
  <c r="O222" i="1"/>
  <c r="M222" i="1"/>
  <c r="I222" i="1"/>
  <c r="G222" i="1"/>
  <c r="G643" i="1"/>
  <c r="I642" i="1"/>
  <c r="G638" i="1"/>
  <c r="I637" i="1"/>
  <c r="G633" i="1"/>
  <c r="G624" i="1"/>
  <c r="G614" i="1"/>
  <c r="G604" i="1"/>
  <c r="G574" i="1"/>
  <c r="M560" i="1"/>
  <c r="N559" i="1"/>
  <c r="O559" i="1"/>
  <c r="I529" i="1"/>
  <c r="M520" i="1"/>
  <c r="N520" i="1"/>
  <c r="N504" i="1"/>
  <c r="O504" i="1"/>
  <c r="M504" i="1"/>
  <c r="M490" i="1"/>
  <c r="N490" i="1"/>
  <c r="N479" i="1"/>
  <c r="O479" i="1"/>
  <c r="M479" i="1"/>
  <c r="M465" i="1"/>
  <c r="N465" i="1"/>
  <c r="N454" i="1"/>
  <c r="O454" i="1"/>
  <c r="M454" i="1"/>
  <c r="M440" i="1"/>
  <c r="N440" i="1"/>
  <c r="I434" i="1"/>
  <c r="N429" i="1"/>
  <c r="O429" i="1"/>
  <c r="M429" i="1"/>
  <c r="M415" i="1"/>
  <c r="N415" i="1"/>
  <c r="M405" i="1"/>
  <c r="N405" i="1"/>
  <c r="O405" i="1"/>
  <c r="I400" i="1"/>
  <c r="I384" i="1"/>
  <c r="M384" i="1"/>
  <c r="I367" i="1"/>
  <c r="I355" i="1"/>
  <c r="M355" i="1"/>
  <c r="I352" i="1"/>
  <c r="N298" i="1"/>
  <c r="O298" i="1"/>
  <c r="M298" i="1"/>
  <c r="I298" i="1"/>
  <c r="N594" i="1"/>
  <c r="N584" i="1"/>
  <c r="G527" i="1"/>
  <c r="I527" i="1"/>
  <c r="N524" i="1"/>
  <c r="O524" i="1"/>
  <c r="I406" i="1"/>
  <c r="M406" i="1"/>
  <c r="M390" i="1"/>
  <c r="N390" i="1"/>
  <c r="I390" i="1"/>
  <c r="I311" i="1"/>
  <c r="G296" i="1"/>
  <c r="N296" i="1"/>
  <c r="O296" i="1"/>
  <c r="M296" i="1"/>
  <c r="I294" i="1"/>
  <c r="N294" i="1"/>
  <c r="O294" i="1"/>
  <c r="M294" i="1"/>
  <c r="G255" i="1"/>
  <c r="I255" i="1"/>
  <c r="M255" i="1"/>
  <c r="N255" i="1"/>
  <c r="O255" i="1"/>
  <c r="I234" i="1"/>
  <c r="M234" i="1"/>
  <c r="N234" i="1"/>
  <c r="O234" i="1"/>
  <c r="N34" i="1"/>
  <c r="M34" i="1"/>
  <c r="G631" i="1"/>
  <c r="G621" i="1"/>
  <c r="G611" i="1"/>
  <c r="G601" i="1"/>
  <c r="G591" i="1"/>
  <c r="G581" i="1"/>
  <c r="G571" i="1"/>
  <c r="M555" i="1"/>
  <c r="N554" i="1"/>
  <c r="O554" i="1"/>
  <c r="G551" i="1"/>
  <c r="G529" i="1"/>
  <c r="M525" i="1"/>
  <c r="N525" i="1"/>
  <c r="M505" i="1"/>
  <c r="N505" i="1"/>
  <c r="N494" i="1"/>
  <c r="O494" i="1"/>
  <c r="M494" i="1"/>
  <c r="M480" i="1"/>
  <c r="N480" i="1"/>
  <c r="N469" i="1"/>
  <c r="O469" i="1"/>
  <c r="M469" i="1"/>
  <c r="M455" i="1"/>
  <c r="N455" i="1"/>
  <c r="N444" i="1"/>
  <c r="O444" i="1"/>
  <c r="M444" i="1"/>
  <c r="G434" i="1"/>
  <c r="M430" i="1"/>
  <c r="N430" i="1"/>
  <c r="N419" i="1"/>
  <c r="O419" i="1"/>
  <c r="M419" i="1"/>
  <c r="G400" i="1"/>
  <c r="G367" i="1"/>
  <c r="G352" i="1"/>
  <c r="G329" i="1"/>
  <c r="N313" i="1"/>
  <c r="O313" i="1"/>
  <c r="M313" i="1"/>
  <c r="I313" i="1"/>
  <c r="G309" i="1"/>
  <c r="M288" i="1"/>
  <c r="N288" i="1"/>
  <c r="O288" i="1"/>
  <c r="I288" i="1"/>
  <c r="G285" i="1"/>
  <c r="I285" i="1"/>
  <c r="M285" i="1"/>
  <c r="O285" i="1"/>
  <c r="M283" i="1"/>
  <c r="N283" i="1"/>
  <c r="I283" i="1"/>
  <c r="O283" i="1"/>
  <c r="I274" i="1"/>
  <c r="O274" i="1"/>
  <c r="N274" i="1"/>
  <c r="M274" i="1"/>
  <c r="M253" i="1"/>
  <c r="N253" i="1"/>
  <c r="O253" i="1"/>
  <c r="I253" i="1"/>
  <c r="G253" i="1"/>
  <c r="G237" i="1"/>
  <c r="M404" i="1"/>
  <c r="M399" i="1"/>
  <c r="M394" i="1"/>
  <c r="M378" i="1"/>
  <c r="M374" i="1"/>
  <c r="N359" i="1"/>
  <c r="N326" i="1"/>
  <c r="O326" i="1"/>
  <c r="M326" i="1"/>
  <c r="I321" i="1"/>
  <c r="G321" i="1"/>
  <c r="I214" i="1"/>
  <c r="M214" i="1"/>
  <c r="N214" i="1"/>
  <c r="O214" i="1"/>
  <c r="N183" i="1"/>
  <c r="O183" i="1"/>
  <c r="I183" i="1"/>
  <c r="M183" i="1"/>
  <c r="G183" i="1"/>
  <c r="N134" i="1"/>
  <c r="M134" i="1"/>
  <c r="I87" i="1"/>
  <c r="N87" i="1"/>
  <c r="O87" i="1"/>
  <c r="M87" i="1"/>
  <c r="G87" i="1"/>
  <c r="I204" i="1"/>
  <c r="M204" i="1"/>
  <c r="N204" i="1"/>
  <c r="N193" i="1"/>
  <c r="M193" i="1"/>
  <c r="O193" i="1"/>
  <c r="I193" i="1"/>
  <c r="G191" i="1"/>
  <c r="I191" i="1"/>
  <c r="M191" i="1"/>
  <c r="N191" i="1"/>
  <c r="O191" i="1"/>
  <c r="I97" i="1"/>
  <c r="N97" i="1"/>
  <c r="O97" i="1"/>
  <c r="M97" i="1"/>
  <c r="G97" i="1"/>
  <c r="G93" i="1"/>
  <c r="I93" i="1"/>
  <c r="N93" i="1"/>
  <c r="O93" i="1"/>
  <c r="M93" i="1"/>
  <c r="G18" i="1"/>
  <c r="I18" i="1"/>
  <c r="F8" i="1"/>
  <c r="M18" i="1"/>
  <c r="N18" i="1"/>
  <c r="O18" i="1"/>
  <c r="M184" i="1"/>
  <c r="N184" i="1"/>
  <c r="O184" i="1"/>
  <c r="I184" i="1"/>
  <c r="M144" i="1"/>
  <c r="N144" i="1"/>
  <c r="O144" i="1"/>
  <c r="M388" i="1"/>
  <c r="N337" i="1"/>
  <c r="M337" i="1"/>
  <c r="O337" i="1"/>
  <c r="I331" i="1"/>
  <c r="G331" i="1"/>
  <c r="G325" i="1"/>
  <c r="O325" i="1"/>
  <c r="N325" i="1"/>
  <c r="G275" i="1"/>
  <c r="I275" i="1"/>
  <c r="O275" i="1"/>
  <c r="N275" i="1"/>
  <c r="M268" i="1"/>
  <c r="N268" i="1"/>
  <c r="O268" i="1"/>
  <c r="I268" i="1"/>
  <c r="N242" i="1"/>
  <c r="O242" i="1"/>
  <c r="M242" i="1"/>
  <c r="I242" i="1"/>
  <c r="O204" i="1"/>
  <c r="M120" i="1"/>
  <c r="N120" i="1"/>
  <c r="O120" i="1"/>
  <c r="I120" i="1"/>
  <c r="I107" i="1"/>
  <c r="G107" i="1"/>
  <c r="M107" i="1"/>
  <c r="N107" i="1"/>
  <c r="O107" i="1"/>
  <c r="G53" i="1"/>
  <c r="I53" i="1"/>
  <c r="N53" i="1"/>
  <c r="O53" i="1"/>
  <c r="M53" i="1"/>
  <c r="I507" i="1"/>
  <c r="I502" i="1"/>
  <c r="I497" i="1"/>
  <c r="I492" i="1"/>
  <c r="I487" i="1"/>
  <c r="I482" i="1"/>
  <c r="I477" i="1"/>
  <c r="I472" i="1"/>
  <c r="I467" i="1"/>
  <c r="I462" i="1"/>
  <c r="I457" i="1"/>
  <c r="I452" i="1"/>
  <c r="I447" i="1"/>
  <c r="I442" i="1"/>
  <c r="I437" i="1"/>
  <c r="I427" i="1"/>
  <c r="I422" i="1"/>
  <c r="I417" i="1"/>
  <c r="I412" i="1"/>
  <c r="I407" i="1"/>
  <c r="I402" i="1"/>
  <c r="I397" i="1"/>
  <c r="I385" i="1"/>
  <c r="I378" i="1"/>
  <c r="M373" i="1"/>
  <c r="M348" i="1"/>
  <c r="N348" i="1"/>
  <c r="O347" i="1"/>
  <c r="I326" i="1"/>
  <c r="N317" i="1"/>
  <c r="M317" i="1"/>
  <c r="O317" i="1"/>
  <c r="N241" i="1"/>
  <c r="M213" i="1"/>
  <c r="N213" i="1"/>
  <c r="O213" i="1"/>
  <c r="I213" i="1"/>
  <c r="N207" i="1"/>
  <c r="O207" i="1"/>
  <c r="M207" i="1"/>
  <c r="G187" i="1"/>
  <c r="M187" i="1"/>
  <c r="N187" i="1"/>
  <c r="O187" i="1"/>
  <c r="O404" i="1"/>
  <c r="O399" i="1"/>
  <c r="O394" i="1"/>
  <c r="O374" i="1"/>
  <c r="M358" i="1"/>
  <c r="M343" i="1"/>
  <c r="N343" i="1"/>
  <c r="O343" i="1"/>
  <c r="I339" i="1"/>
  <c r="M339" i="1"/>
  <c r="M338" i="1"/>
  <c r="N338" i="1"/>
  <c r="G315" i="1"/>
  <c r="I315" i="1"/>
  <c r="N315" i="1"/>
  <c r="O315" i="1"/>
  <c r="M315" i="1"/>
  <c r="N312" i="1"/>
  <c r="O312" i="1"/>
  <c r="M312" i="1"/>
  <c r="G310" i="1"/>
  <c r="I310" i="1"/>
  <c r="N310" i="1"/>
  <c r="O310" i="1"/>
  <c r="M310" i="1"/>
  <c r="N307" i="1"/>
  <c r="O307" i="1"/>
  <c r="M307" i="1"/>
  <c r="G305" i="1"/>
  <c r="I305" i="1"/>
  <c r="N305" i="1"/>
  <c r="O305" i="1"/>
  <c r="M305" i="1"/>
  <c r="N302" i="1"/>
  <c r="O302" i="1"/>
  <c r="M302" i="1"/>
  <c r="G300" i="1"/>
  <c r="I300" i="1"/>
  <c r="N300" i="1"/>
  <c r="O300" i="1"/>
  <c r="M300" i="1"/>
  <c r="N297" i="1"/>
  <c r="O297" i="1"/>
  <c r="M297" i="1"/>
  <c r="G295" i="1"/>
  <c r="I295" i="1"/>
  <c r="N295" i="1"/>
  <c r="O295" i="1"/>
  <c r="M295" i="1"/>
  <c r="N292" i="1"/>
  <c r="O292" i="1"/>
  <c r="M292" i="1"/>
  <c r="G290" i="1"/>
  <c r="I290" i="1"/>
  <c r="N290" i="1"/>
  <c r="O290" i="1"/>
  <c r="M290" i="1"/>
  <c r="I269" i="1"/>
  <c r="M269" i="1"/>
  <c r="N269" i="1"/>
  <c r="N252" i="1"/>
  <c r="O252" i="1"/>
  <c r="M252" i="1"/>
  <c r="I252" i="1"/>
  <c r="I224" i="1"/>
  <c r="M224" i="1"/>
  <c r="N224" i="1"/>
  <c r="O224" i="1"/>
  <c r="N194" i="1"/>
  <c r="M194" i="1"/>
  <c r="O194" i="1"/>
  <c r="O388" i="1"/>
  <c r="G378" i="1"/>
  <c r="G326" i="1"/>
  <c r="G320" i="1"/>
  <c r="I320" i="1"/>
  <c r="I319" i="1"/>
  <c r="M319" i="1"/>
  <c r="M318" i="1"/>
  <c r="N318" i="1"/>
  <c r="N287" i="1"/>
  <c r="O287" i="1"/>
  <c r="M287" i="1"/>
  <c r="M273" i="1"/>
  <c r="N273" i="1"/>
  <c r="O273" i="1"/>
  <c r="G270" i="1"/>
  <c r="I270" i="1"/>
  <c r="M270" i="1"/>
  <c r="N270" i="1"/>
  <c r="M243" i="1"/>
  <c r="N243" i="1"/>
  <c r="O243" i="1"/>
  <c r="N232" i="1"/>
  <c r="O232" i="1"/>
  <c r="M232" i="1"/>
  <c r="I232" i="1"/>
  <c r="G232" i="1"/>
  <c r="G214" i="1"/>
  <c r="M203" i="1"/>
  <c r="N203" i="1"/>
  <c r="I203" i="1"/>
  <c r="O203" i="1"/>
  <c r="G197" i="1"/>
  <c r="M197" i="1"/>
  <c r="N197" i="1"/>
  <c r="O197" i="1"/>
  <c r="I190" i="1"/>
  <c r="M190" i="1"/>
  <c r="N190" i="1"/>
  <c r="O190" i="1"/>
  <c r="I170" i="1"/>
  <c r="M170" i="1"/>
  <c r="G170" i="1"/>
  <c r="N170" i="1"/>
  <c r="O170" i="1"/>
  <c r="M154" i="1"/>
  <c r="N154" i="1"/>
  <c r="O154" i="1"/>
  <c r="I67" i="1"/>
  <c r="G67" i="1"/>
  <c r="O67" i="1"/>
  <c r="N67" i="1"/>
  <c r="M67" i="1"/>
  <c r="M263" i="1"/>
  <c r="N263" i="1"/>
  <c r="N202" i="1"/>
  <c r="O202" i="1"/>
  <c r="M202" i="1"/>
  <c r="N189" i="1"/>
  <c r="M189" i="1"/>
  <c r="O189" i="1"/>
  <c r="M169" i="1"/>
  <c r="N169" i="1"/>
  <c r="I169" i="1"/>
  <c r="G169" i="1"/>
  <c r="N143" i="1"/>
  <c r="O143" i="1"/>
  <c r="M143" i="1"/>
  <c r="I143" i="1"/>
  <c r="N227" i="1"/>
  <c r="O227" i="1"/>
  <c r="M227" i="1"/>
  <c r="N217" i="1"/>
  <c r="O217" i="1"/>
  <c r="M217" i="1"/>
  <c r="N198" i="1"/>
  <c r="M198" i="1"/>
  <c r="I198" i="1"/>
  <c r="M110" i="1"/>
  <c r="N110" i="1"/>
  <c r="O110" i="1"/>
  <c r="I110" i="1"/>
  <c r="I82" i="1"/>
  <c r="N82" i="1"/>
  <c r="O82" i="1"/>
  <c r="M82" i="1"/>
  <c r="G82" i="1"/>
  <c r="G78" i="1"/>
  <c r="I78" i="1"/>
  <c r="N78" i="1"/>
  <c r="O78" i="1"/>
  <c r="M78" i="1"/>
  <c r="I332" i="1"/>
  <c r="I322" i="1"/>
  <c r="I263" i="1"/>
  <c r="M258" i="1"/>
  <c r="N258" i="1"/>
  <c r="N247" i="1"/>
  <c r="O247" i="1"/>
  <c r="M247" i="1"/>
  <c r="M208" i="1"/>
  <c r="N208" i="1"/>
  <c r="I202" i="1"/>
  <c r="I195" i="1"/>
  <c r="M195" i="1"/>
  <c r="N195" i="1"/>
  <c r="O195" i="1"/>
  <c r="I189" i="1"/>
  <c r="N188" i="1"/>
  <c r="M188" i="1"/>
  <c r="O188" i="1"/>
  <c r="I185" i="1"/>
  <c r="M185" i="1"/>
  <c r="N185" i="1"/>
  <c r="O185" i="1"/>
  <c r="N173" i="1"/>
  <c r="O173" i="1"/>
  <c r="M173" i="1"/>
  <c r="N80" i="1"/>
  <c r="O80" i="1"/>
  <c r="M80" i="1"/>
  <c r="I80" i="1"/>
  <c r="N70" i="1"/>
  <c r="O70" i="1"/>
  <c r="I70" i="1"/>
  <c r="M70" i="1"/>
  <c r="I47" i="1"/>
  <c r="G47" i="1"/>
  <c r="O47" i="1"/>
  <c r="N47" i="1"/>
  <c r="M47" i="1"/>
  <c r="I37" i="1"/>
  <c r="G37" i="1"/>
  <c r="M37" i="1"/>
  <c r="O37" i="1"/>
  <c r="N37" i="1"/>
  <c r="P342" i="1"/>
  <c r="R342" i="1" s="1"/>
  <c r="S342" i="1" s="1"/>
  <c r="G280" i="1"/>
  <c r="I280" i="1"/>
  <c r="N277" i="1"/>
  <c r="O277" i="1"/>
  <c r="M238" i="1"/>
  <c r="N238" i="1"/>
  <c r="M228" i="1"/>
  <c r="N228" i="1"/>
  <c r="M218" i="1"/>
  <c r="N218" i="1"/>
  <c r="G192" i="1"/>
  <c r="M192" i="1"/>
  <c r="N192" i="1"/>
  <c r="O192" i="1"/>
  <c r="I155" i="1"/>
  <c r="N155" i="1"/>
  <c r="O155" i="1"/>
  <c r="M155" i="1"/>
  <c r="N90" i="1"/>
  <c r="O90" i="1"/>
  <c r="M90" i="1"/>
  <c r="I90" i="1"/>
  <c r="G90" i="1"/>
  <c r="N50" i="1"/>
  <c r="O50" i="1"/>
  <c r="I50" i="1"/>
  <c r="G50" i="1"/>
  <c r="M50" i="1"/>
  <c r="G332" i="1"/>
  <c r="G322" i="1"/>
  <c r="M278" i="1"/>
  <c r="N278" i="1"/>
  <c r="G265" i="1"/>
  <c r="I265" i="1"/>
  <c r="G264" i="1"/>
  <c r="G263" i="1"/>
  <c r="N262" i="1"/>
  <c r="O262" i="1"/>
  <c r="M248" i="1"/>
  <c r="N248" i="1"/>
  <c r="G202" i="1"/>
  <c r="G196" i="1"/>
  <c r="I196" i="1"/>
  <c r="M196" i="1"/>
  <c r="N196" i="1"/>
  <c r="O196" i="1"/>
  <c r="G189" i="1"/>
  <c r="G186" i="1"/>
  <c r="I186" i="1"/>
  <c r="M186" i="1"/>
  <c r="N186" i="1"/>
  <c r="O186" i="1"/>
  <c r="N166" i="1"/>
  <c r="N163" i="1"/>
  <c r="O163" i="1"/>
  <c r="M163" i="1"/>
  <c r="N153" i="1"/>
  <c r="O153" i="1"/>
  <c r="M153" i="1"/>
  <c r="I153" i="1"/>
  <c r="I145" i="1"/>
  <c r="N145" i="1"/>
  <c r="O145" i="1"/>
  <c r="M145" i="1"/>
  <c r="G143" i="1"/>
  <c r="M130" i="1"/>
  <c r="N130" i="1"/>
  <c r="O130" i="1"/>
  <c r="I130" i="1"/>
  <c r="M179" i="1"/>
  <c r="N179" i="1"/>
  <c r="N175" i="1"/>
  <c r="N165" i="1"/>
  <c r="M159" i="1"/>
  <c r="N159" i="1"/>
  <c r="M149" i="1"/>
  <c r="N149" i="1"/>
  <c r="M133" i="1"/>
  <c r="N133" i="1"/>
  <c r="I122" i="1"/>
  <c r="G122" i="1"/>
  <c r="O122" i="1"/>
  <c r="N122" i="1"/>
  <c r="G88" i="1"/>
  <c r="I88" i="1"/>
  <c r="N88" i="1"/>
  <c r="O88" i="1"/>
  <c r="M88" i="1"/>
  <c r="N60" i="1"/>
  <c r="O60" i="1"/>
  <c r="M60" i="1"/>
  <c r="I60" i="1"/>
  <c r="M174" i="1"/>
  <c r="N174" i="1"/>
  <c r="M164" i="1"/>
  <c r="N164" i="1"/>
  <c r="M121" i="1"/>
  <c r="I121" i="1"/>
  <c r="O121" i="1"/>
  <c r="N121" i="1"/>
  <c r="M105" i="1"/>
  <c r="N105" i="1"/>
  <c r="O105" i="1"/>
  <c r="I105" i="1"/>
  <c r="N95" i="1"/>
  <c r="O95" i="1"/>
  <c r="M95" i="1"/>
  <c r="G83" i="1"/>
  <c r="I83" i="1"/>
  <c r="N83" i="1"/>
  <c r="O83" i="1"/>
  <c r="M83" i="1"/>
  <c r="N25" i="1"/>
  <c r="O25" i="1"/>
  <c r="M25" i="1"/>
  <c r="I25" i="1"/>
  <c r="G286" i="1"/>
  <c r="G281" i="1"/>
  <c r="G276" i="1"/>
  <c r="G271" i="1"/>
  <c r="G266" i="1"/>
  <c r="G261" i="1"/>
  <c r="G256" i="1"/>
  <c r="G251" i="1"/>
  <c r="I250" i="1"/>
  <c r="G246" i="1"/>
  <c r="I245" i="1"/>
  <c r="G241" i="1"/>
  <c r="I240" i="1"/>
  <c r="G236" i="1"/>
  <c r="I235" i="1"/>
  <c r="G231" i="1"/>
  <c r="I230" i="1"/>
  <c r="G226" i="1"/>
  <c r="I225" i="1"/>
  <c r="G221" i="1"/>
  <c r="I220" i="1"/>
  <c r="G216" i="1"/>
  <c r="I215" i="1"/>
  <c r="G211" i="1"/>
  <c r="I210" i="1"/>
  <c r="G206" i="1"/>
  <c r="I205" i="1"/>
  <c r="G201" i="1"/>
  <c r="I200" i="1"/>
  <c r="I179" i="1"/>
  <c r="I159" i="1"/>
  <c r="I149" i="1"/>
  <c r="M131" i="1"/>
  <c r="I131" i="1"/>
  <c r="N131" i="1"/>
  <c r="O131" i="1"/>
  <c r="M116" i="1"/>
  <c r="P116" i="1" s="1"/>
  <c r="R116" i="1" s="1"/>
  <c r="S116" i="1" s="1"/>
  <c r="I116" i="1"/>
  <c r="G116" i="1"/>
  <c r="N85" i="1"/>
  <c r="O85" i="1"/>
  <c r="M85" i="1"/>
  <c r="I77" i="1"/>
  <c r="N77" i="1"/>
  <c r="O77" i="1"/>
  <c r="M77" i="1"/>
  <c r="G77" i="1"/>
  <c r="N40" i="1"/>
  <c r="O40" i="1"/>
  <c r="M40" i="1"/>
  <c r="I40" i="1"/>
  <c r="N158" i="1"/>
  <c r="O158" i="1"/>
  <c r="M158" i="1"/>
  <c r="N148" i="1"/>
  <c r="O148" i="1"/>
  <c r="M148" i="1"/>
  <c r="I117" i="1"/>
  <c r="G117" i="1"/>
  <c r="M117" i="1"/>
  <c r="G73" i="1"/>
  <c r="I73" i="1"/>
  <c r="N73" i="1"/>
  <c r="O73" i="1"/>
  <c r="M73" i="1"/>
  <c r="G181" i="1"/>
  <c r="I181" i="1"/>
  <c r="G180" i="1"/>
  <c r="G179" i="1"/>
  <c r="N178" i="1"/>
  <c r="O178" i="1"/>
  <c r="O175" i="1"/>
  <c r="N168" i="1"/>
  <c r="O168" i="1"/>
  <c r="M168" i="1"/>
  <c r="O165" i="1"/>
  <c r="G160" i="1"/>
  <c r="G159" i="1"/>
  <c r="G150" i="1"/>
  <c r="G149" i="1"/>
  <c r="I132" i="1"/>
  <c r="G132" i="1"/>
  <c r="M132" i="1"/>
  <c r="N132" i="1"/>
  <c r="O132" i="1"/>
  <c r="M106" i="1"/>
  <c r="I106" i="1"/>
  <c r="N106" i="1"/>
  <c r="O106" i="1"/>
  <c r="G98" i="1"/>
  <c r="M98" i="1"/>
  <c r="N98" i="1"/>
  <c r="O98" i="1"/>
  <c r="I92" i="1"/>
  <c r="N92" i="1"/>
  <c r="O92" i="1"/>
  <c r="M92" i="1"/>
  <c r="G92" i="1"/>
  <c r="N75" i="1"/>
  <c r="O75" i="1"/>
  <c r="M75" i="1"/>
  <c r="G60" i="1"/>
  <c r="G33" i="1"/>
  <c r="I33" i="1"/>
  <c r="N33" i="1"/>
  <c r="O33" i="1"/>
  <c r="M33" i="1"/>
  <c r="M31" i="1"/>
  <c r="N31" i="1"/>
  <c r="I31" i="1"/>
  <c r="O31" i="1"/>
  <c r="M115" i="1"/>
  <c r="N115" i="1"/>
  <c r="O115" i="1"/>
  <c r="O104" i="1"/>
  <c r="I72" i="1"/>
  <c r="G72" i="1"/>
  <c r="N72" i="1"/>
  <c r="O72" i="1"/>
  <c r="M72" i="1"/>
  <c r="M66" i="1"/>
  <c r="N66" i="1"/>
  <c r="I66" i="1"/>
  <c r="O66" i="1"/>
  <c r="M46" i="1"/>
  <c r="N46" i="1"/>
  <c r="I46" i="1"/>
  <c r="O46" i="1"/>
  <c r="N30" i="1"/>
  <c r="O30" i="1"/>
  <c r="I30" i="1"/>
  <c r="G30" i="1"/>
  <c r="N104" i="1"/>
  <c r="G58" i="1"/>
  <c r="I58" i="1"/>
  <c r="M58" i="1"/>
  <c r="G38" i="1"/>
  <c r="I38" i="1"/>
  <c r="M38" i="1"/>
  <c r="N38" i="1"/>
  <c r="I32" i="1"/>
  <c r="G32" i="1"/>
  <c r="M32" i="1"/>
  <c r="N32" i="1"/>
  <c r="O32" i="1"/>
  <c r="M30" i="1"/>
  <c r="M26" i="1"/>
  <c r="N26" i="1"/>
  <c r="I26" i="1"/>
  <c r="O26" i="1"/>
  <c r="G182" i="1"/>
  <c r="G177" i="1"/>
  <c r="I176" i="1"/>
  <c r="G172" i="1"/>
  <c r="I171" i="1"/>
  <c r="G167" i="1"/>
  <c r="I166" i="1"/>
  <c r="G162" i="1"/>
  <c r="I161" i="1"/>
  <c r="G157" i="1"/>
  <c r="I156" i="1"/>
  <c r="G152" i="1"/>
  <c r="I151" i="1"/>
  <c r="G147" i="1"/>
  <c r="I146" i="1"/>
  <c r="G142" i="1"/>
  <c r="I141" i="1"/>
  <c r="I115" i="1"/>
  <c r="I112" i="1"/>
  <c r="G112" i="1"/>
  <c r="M111" i="1"/>
  <c r="I111" i="1"/>
  <c r="M99" i="1"/>
  <c r="N99" i="1"/>
  <c r="M71" i="1"/>
  <c r="N71" i="1"/>
  <c r="I71" i="1"/>
  <c r="O71" i="1"/>
  <c r="N65" i="1"/>
  <c r="O65" i="1"/>
  <c r="M65" i="1"/>
  <c r="M51" i="1"/>
  <c r="N51" i="1"/>
  <c r="I51" i="1"/>
  <c r="O51" i="1"/>
  <c r="N45" i="1"/>
  <c r="O45" i="1"/>
  <c r="M45" i="1"/>
  <c r="M135" i="1"/>
  <c r="N135" i="1"/>
  <c r="O135" i="1"/>
  <c r="M125" i="1"/>
  <c r="N125" i="1"/>
  <c r="O125" i="1"/>
  <c r="N100" i="1"/>
  <c r="M100" i="1"/>
  <c r="I100" i="1"/>
  <c r="N96" i="1"/>
  <c r="O96" i="1"/>
  <c r="M96" i="1"/>
  <c r="N91" i="1"/>
  <c r="O91" i="1"/>
  <c r="M91" i="1"/>
  <c r="N86" i="1"/>
  <c r="O86" i="1"/>
  <c r="M86" i="1"/>
  <c r="N81" i="1"/>
  <c r="O81" i="1"/>
  <c r="M81" i="1"/>
  <c r="N76" i="1"/>
  <c r="O76" i="1"/>
  <c r="M76" i="1"/>
  <c r="I137" i="1"/>
  <c r="G137" i="1"/>
  <c r="M136" i="1"/>
  <c r="I136" i="1"/>
  <c r="I127" i="1"/>
  <c r="G127" i="1"/>
  <c r="M126" i="1"/>
  <c r="I126" i="1"/>
  <c r="G115" i="1"/>
  <c r="G94" i="1"/>
  <c r="N94" i="1"/>
  <c r="O94" i="1"/>
  <c r="M94" i="1"/>
  <c r="G89" i="1"/>
  <c r="N89" i="1"/>
  <c r="O89" i="1"/>
  <c r="M89" i="1"/>
  <c r="G84" i="1"/>
  <c r="N84" i="1"/>
  <c r="O84" i="1"/>
  <c r="M84" i="1"/>
  <c r="G79" i="1"/>
  <c r="N79" i="1"/>
  <c r="O79" i="1"/>
  <c r="M79" i="1"/>
  <c r="G74" i="1"/>
  <c r="N74" i="1"/>
  <c r="O74" i="1"/>
  <c r="M74" i="1"/>
  <c r="G66" i="1"/>
  <c r="I52" i="1"/>
  <c r="G52" i="1"/>
  <c r="M52" i="1"/>
  <c r="N52" i="1"/>
  <c r="O52" i="1"/>
  <c r="G46" i="1"/>
  <c r="N139" i="1"/>
  <c r="I57" i="1"/>
  <c r="G57" i="1"/>
  <c r="M36" i="1"/>
  <c r="N36" i="1"/>
  <c r="I36" i="1"/>
  <c r="G23" i="1"/>
  <c r="I23" i="1"/>
  <c r="I27" i="1"/>
  <c r="G27" i="1"/>
  <c r="G68" i="1"/>
  <c r="I68" i="1"/>
  <c r="M61" i="1"/>
  <c r="N61" i="1"/>
  <c r="I61" i="1"/>
  <c r="G48" i="1"/>
  <c r="I48" i="1"/>
  <c r="M41" i="1"/>
  <c r="N41" i="1"/>
  <c r="I41" i="1"/>
  <c r="G28" i="1"/>
  <c r="I28" i="1"/>
  <c r="N20" i="1"/>
  <c r="O20" i="1"/>
  <c r="I62" i="1"/>
  <c r="G62" i="1"/>
  <c r="N55" i="1"/>
  <c r="O55" i="1"/>
  <c r="I42" i="1"/>
  <c r="G42" i="1"/>
  <c r="M21" i="1"/>
  <c r="N21" i="1"/>
  <c r="I21" i="1"/>
  <c r="G102" i="1"/>
  <c r="G63" i="1"/>
  <c r="I63" i="1"/>
  <c r="P63" i="1"/>
  <c r="R63" i="1" s="1"/>
  <c r="S63" i="1" s="1"/>
  <c r="M56" i="1"/>
  <c r="N56" i="1"/>
  <c r="I56" i="1"/>
  <c r="G43" i="1"/>
  <c r="I43" i="1"/>
  <c r="G36" i="1"/>
  <c r="N35" i="1"/>
  <c r="O35" i="1"/>
  <c r="I22" i="1"/>
  <c r="G22" i="1"/>
  <c r="N69" i="1"/>
  <c r="N64" i="1"/>
  <c r="N59" i="1"/>
  <c r="N44" i="1"/>
  <c r="G69" i="1"/>
  <c r="G64" i="1"/>
  <c r="G59" i="1"/>
  <c r="G54" i="1"/>
  <c r="G49" i="1"/>
  <c r="G44" i="1"/>
  <c r="G39" i="1"/>
  <c r="G34" i="1"/>
  <c r="G29" i="1"/>
  <c r="G19" i="1"/>
  <c r="P555" i="1" l="1"/>
  <c r="R555" i="1" s="1"/>
  <c r="S555" i="1" s="1"/>
  <c r="P521" i="1"/>
  <c r="R521" i="1" s="1"/>
  <c r="S521" i="1" s="1"/>
  <c r="P502" i="1"/>
  <c r="R502" i="1" s="1"/>
  <c r="S502" i="1" s="1"/>
  <c r="P433" i="1"/>
  <c r="R433" i="1" s="1"/>
  <c r="S433" i="1" s="1"/>
  <c r="P653" i="1"/>
  <c r="R653" i="1" s="1"/>
  <c r="S653" i="1" s="1"/>
  <c r="P160" i="1"/>
  <c r="R160" i="1" s="1"/>
  <c r="S160" i="1" s="1"/>
  <c r="P29" i="1"/>
  <c r="R29" i="1" s="1"/>
  <c r="S29" i="1" s="1"/>
  <c r="P57" i="1"/>
  <c r="R57" i="1" s="1"/>
  <c r="S57" i="1" s="1"/>
  <c r="P675" i="1"/>
  <c r="R675" i="1" s="1"/>
  <c r="S675" i="1" s="1"/>
  <c r="P600" i="1"/>
  <c r="R600" i="1" s="1"/>
  <c r="S600" i="1" s="1"/>
  <c r="P406" i="1"/>
  <c r="R406" i="1" s="1"/>
  <c r="S406" i="1" s="1"/>
  <c r="P478" i="1"/>
  <c r="R478" i="1" s="1"/>
  <c r="S478" i="1" s="1"/>
  <c r="P232" i="1"/>
  <c r="R232" i="1" s="1"/>
  <c r="S232" i="1" s="1"/>
  <c r="P604" i="1"/>
  <c r="R604" i="1" s="1"/>
  <c r="S604" i="1" s="1"/>
  <c r="P538" i="1"/>
  <c r="R538" i="1" s="1"/>
  <c r="S538" i="1" s="1"/>
  <c r="P533" i="1"/>
  <c r="R533" i="1" s="1"/>
  <c r="S533" i="1" s="1"/>
  <c r="P517" i="1"/>
  <c r="R517" i="1" s="1"/>
  <c r="S517" i="1" s="1"/>
  <c r="P455" i="1"/>
  <c r="R455" i="1" s="1"/>
  <c r="S455" i="1" s="1"/>
  <c r="P376" i="1"/>
  <c r="R376" i="1" s="1"/>
  <c r="S376" i="1" s="1"/>
  <c r="P370" i="1"/>
  <c r="R370" i="1" s="1"/>
  <c r="S370" i="1" s="1"/>
  <c r="P387" i="1"/>
  <c r="R387" i="1" s="1"/>
  <c r="S387" i="1" s="1"/>
  <c r="P256" i="1"/>
  <c r="R256" i="1" s="1"/>
  <c r="S256" i="1" s="1"/>
  <c r="P166" i="1"/>
  <c r="R166" i="1" s="1"/>
  <c r="S166" i="1" s="1"/>
  <c r="P167" i="1"/>
  <c r="R167" i="1" s="1"/>
  <c r="S167" i="1" s="1"/>
  <c r="P162" i="1"/>
  <c r="R162" i="1" s="1"/>
  <c r="S162" i="1" s="1"/>
  <c r="P181" i="1"/>
  <c r="R181" i="1" s="1"/>
  <c r="S181" i="1" s="1"/>
  <c r="P46" i="1"/>
  <c r="R46" i="1" s="1"/>
  <c r="S46" i="1" s="1"/>
  <c r="P48" i="1"/>
  <c r="R48" i="1" s="1"/>
  <c r="S48" i="1" s="1"/>
  <c r="P28" i="1"/>
  <c r="R28" i="1" s="1"/>
  <c r="S28" i="1" s="1"/>
  <c r="P602" i="1"/>
  <c r="R602" i="1" s="1"/>
  <c r="S602" i="1" s="1"/>
  <c r="P665" i="1"/>
  <c r="R665" i="1" s="1"/>
  <c r="S665" i="1" s="1"/>
  <c r="P559" i="1"/>
  <c r="R559" i="1" s="1"/>
  <c r="S559" i="1" s="1"/>
  <c r="P421" i="1"/>
  <c r="R421" i="1" s="1"/>
  <c r="S421" i="1" s="1"/>
  <c r="P422" i="1"/>
  <c r="R422" i="1" s="1"/>
  <c r="S422" i="1" s="1"/>
  <c r="P397" i="1"/>
  <c r="R397" i="1" s="1"/>
  <c r="S397" i="1" s="1"/>
  <c r="P359" i="1"/>
  <c r="R359" i="1" s="1"/>
  <c r="S359" i="1" s="1"/>
  <c r="P384" i="1"/>
  <c r="R384" i="1" s="1"/>
  <c r="S384" i="1" s="1"/>
  <c r="P165" i="1"/>
  <c r="R165" i="1" s="1"/>
  <c r="S165" i="1" s="1"/>
  <c r="P199" i="1"/>
  <c r="R199" i="1" s="1"/>
  <c r="S199" i="1" s="1"/>
  <c r="P172" i="1"/>
  <c r="R172" i="1" s="1"/>
  <c r="S172" i="1" s="1"/>
  <c r="P209" i="1"/>
  <c r="R209" i="1" s="1"/>
  <c r="S209" i="1" s="1"/>
  <c r="P62" i="1"/>
  <c r="R62" i="1" s="1"/>
  <c r="S62" i="1" s="1"/>
  <c r="P601" i="1"/>
  <c r="R601" i="1" s="1"/>
  <c r="S601" i="1" s="1"/>
  <c r="P624" i="1"/>
  <c r="R624" i="1" s="1"/>
  <c r="S624" i="1" s="1"/>
  <c r="P677" i="1"/>
  <c r="R677" i="1" s="1"/>
  <c r="S677" i="1" s="1"/>
  <c r="P633" i="1"/>
  <c r="R633" i="1" s="1"/>
  <c r="S633" i="1" s="1"/>
  <c r="P655" i="1"/>
  <c r="R655" i="1" s="1"/>
  <c r="S655" i="1" s="1"/>
  <c r="P646" i="1"/>
  <c r="R646" i="1" s="1"/>
  <c r="S646" i="1" s="1"/>
  <c r="P657" i="1"/>
  <c r="R657" i="1" s="1"/>
  <c r="S657" i="1" s="1"/>
  <c r="P631" i="1"/>
  <c r="R631" i="1" s="1"/>
  <c r="S631" i="1" s="1"/>
  <c r="P682" i="1"/>
  <c r="R682" i="1" s="1"/>
  <c r="S682" i="1" s="1"/>
  <c r="P652" i="1"/>
  <c r="R652" i="1" s="1"/>
  <c r="S652" i="1" s="1"/>
  <c r="P603" i="1"/>
  <c r="R603" i="1" s="1"/>
  <c r="S603" i="1" s="1"/>
  <c r="P648" i="1"/>
  <c r="R648" i="1" s="1"/>
  <c r="S648" i="1" s="1"/>
  <c r="P543" i="1"/>
  <c r="R543" i="1" s="1"/>
  <c r="S543" i="1" s="1"/>
  <c r="P565" i="1"/>
  <c r="R565" i="1" s="1"/>
  <c r="S565" i="1" s="1"/>
  <c r="P498" i="1"/>
  <c r="R498" i="1" s="1"/>
  <c r="S498" i="1" s="1"/>
  <c r="P508" i="1"/>
  <c r="R508" i="1" s="1"/>
  <c r="S508" i="1" s="1"/>
  <c r="P537" i="1"/>
  <c r="R537" i="1" s="1"/>
  <c r="S537" i="1" s="1"/>
  <c r="P486" i="1"/>
  <c r="R486" i="1" s="1"/>
  <c r="S486" i="1" s="1"/>
  <c r="P468" i="1"/>
  <c r="R468" i="1" s="1"/>
  <c r="S468" i="1" s="1"/>
  <c r="P416" i="1"/>
  <c r="R416" i="1" s="1"/>
  <c r="S416" i="1" s="1"/>
  <c r="P423" i="1"/>
  <c r="R423" i="1" s="1"/>
  <c r="S423" i="1" s="1"/>
  <c r="P442" i="1"/>
  <c r="R442" i="1" s="1"/>
  <c r="S442" i="1" s="1"/>
  <c r="P415" i="1"/>
  <c r="R415" i="1" s="1"/>
  <c r="S415" i="1" s="1"/>
  <c r="P411" i="1"/>
  <c r="R411" i="1" s="1"/>
  <c r="S411" i="1" s="1"/>
  <c r="P328" i="1"/>
  <c r="R328" i="1" s="1"/>
  <c r="S328" i="1" s="1"/>
  <c r="P331" i="1"/>
  <c r="R331" i="1" s="1"/>
  <c r="S331" i="1" s="1"/>
  <c r="P372" i="1"/>
  <c r="R372" i="1" s="1"/>
  <c r="S372" i="1" s="1"/>
  <c r="P381" i="1"/>
  <c r="R381" i="1" s="1"/>
  <c r="S381" i="1" s="1"/>
  <c r="P314" i="1"/>
  <c r="R314" i="1" s="1"/>
  <c r="S314" i="1" s="1"/>
  <c r="P358" i="1"/>
  <c r="R358" i="1" s="1"/>
  <c r="S358" i="1" s="1"/>
  <c r="P366" i="1"/>
  <c r="R366" i="1" s="1"/>
  <c r="S366" i="1" s="1"/>
  <c r="P323" i="1"/>
  <c r="R323" i="1" s="1"/>
  <c r="S323" i="1" s="1"/>
  <c r="P249" i="1"/>
  <c r="R249" i="1" s="1"/>
  <c r="S249" i="1" s="1"/>
  <c r="P269" i="1"/>
  <c r="R269" i="1" s="1"/>
  <c r="S269" i="1" s="1"/>
  <c r="P212" i="1"/>
  <c r="R212" i="1" s="1"/>
  <c r="S212" i="1" s="1"/>
  <c r="P267" i="1"/>
  <c r="R267" i="1" s="1"/>
  <c r="S267" i="1" s="1"/>
  <c r="P236" i="1"/>
  <c r="R236" i="1" s="1"/>
  <c r="S236" i="1" s="1"/>
  <c r="P251" i="1"/>
  <c r="R251" i="1" s="1"/>
  <c r="S251" i="1" s="1"/>
  <c r="P259" i="1"/>
  <c r="R259" i="1" s="1"/>
  <c r="S259" i="1" s="1"/>
  <c r="P211" i="1"/>
  <c r="R211" i="1" s="1"/>
  <c r="S211" i="1" s="1"/>
  <c r="P250" i="1"/>
  <c r="R250" i="1" s="1"/>
  <c r="S250" i="1" s="1"/>
  <c r="P272" i="1"/>
  <c r="R272" i="1" s="1"/>
  <c r="S272" i="1" s="1"/>
  <c r="P286" i="1"/>
  <c r="R286" i="1" s="1"/>
  <c r="S286" i="1" s="1"/>
  <c r="P131" i="1"/>
  <c r="R131" i="1" s="1"/>
  <c r="S131" i="1" s="1"/>
  <c r="P177" i="1"/>
  <c r="R177" i="1" s="1"/>
  <c r="S177" i="1" s="1"/>
  <c r="P156" i="1"/>
  <c r="R156" i="1" s="1"/>
  <c r="S156" i="1" s="1"/>
  <c r="P88" i="1"/>
  <c r="R88" i="1" s="1"/>
  <c r="S88" i="1" s="1"/>
  <c r="P50" i="1"/>
  <c r="R50" i="1" s="1"/>
  <c r="S50" i="1" s="1"/>
  <c r="P54" i="1"/>
  <c r="R54" i="1" s="1"/>
  <c r="S54" i="1" s="1"/>
  <c r="P83" i="1"/>
  <c r="R83" i="1" s="1"/>
  <c r="S83" i="1" s="1"/>
  <c r="P71" i="1"/>
  <c r="R71" i="1" s="1"/>
  <c r="S71" i="1" s="1"/>
  <c r="P111" i="1"/>
  <c r="R111" i="1" s="1"/>
  <c r="S111" i="1" s="1"/>
  <c r="P26" i="1"/>
  <c r="R26" i="1" s="1"/>
  <c r="S26" i="1" s="1"/>
  <c r="P38" i="1"/>
  <c r="R38" i="1" s="1"/>
  <c r="S38" i="1" s="1"/>
  <c r="P33" i="1"/>
  <c r="R33" i="1" s="1"/>
  <c r="S33" i="1" s="1"/>
  <c r="P689" i="1"/>
  <c r="R689" i="1" s="1"/>
  <c r="S689" i="1" s="1"/>
  <c r="P614" i="1"/>
  <c r="R614" i="1" s="1"/>
  <c r="S614" i="1" s="1"/>
  <c r="P620" i="1"/>
  <c r="R620" i="1" s="1"/>
  <c r="S620" i="1" s="1"/>
  <c r="P622" i="1"/>
  <c r="R622" i="1" s="1"/>
  <c r="S622" i="1" s="1"/>
  <c r="P621" i="1"/>
  <c r="R621" i="1" s="1"/>
  <c r="S621" i="1" s="1"/>
  <c r="P643" i="1"/>
  <c r="R643" i="1" s="1"/>
  <c r="S643" i="1" s="1"/>
  <c r="P532" i="1"/>
  <c r="R532" i="1" s="1"/>
  <c r="S532" i="1" s="1"/>
  <c r="P490" i="1"/>
  <c r="R490" i="1" s="1"/>
  <c r="S490" i="1" s="1"/>
  <c r="P407" i="1"/>
  <c r="R407" i="1" s="1"/>
  <c r="S407" i="1" s="1"/>
  <c r="P428" i="1"/>
  <c r="R428" i="1" s="1"/>
  <c r="S428" i="1" s="1"/>
  <c r="P457" i="1"/>
  <c r="R457" i="1" s="1"/>
  <c r="S457" i="1" s="1"/>
  <c r="P473" i="1"/>
  <c r="R473" i="1" s="1"/>
  <c r="S473" i="1" s="1"/>
  <c r="P417" i="1"/>
  <c r="R417" i="1" s="1"/>
  <c r="S417" i="1" s="1"/>
  <c r="P488" i="1"/>
  <c r="R488" i="1" s="1"/>
  <c r="S488" i="1" s="1"/>
  <c r="P472" i="1"/>
  <c r="R472" i="1" s="1"/>
  <c r="S472" i="1" s="1"/>
  <c r="P380" i="1"/>
  <c r="R380" i="1" s="1"/>
  <c r="S380" i="1" s="1"/>
  <c r="P280" i="1"/>
  <c r="R280" i="1" s="1"/>
  <c r="S280" i="1" s="1"/>
  <c r="P290" i="1"/>
  <c r="R290" i="1" s="1"/>
  <c r="S290" i="1" s="1"/>
  <c r="P233" i="1"/>
  <c r="R233" i="1" s="1"/>
  <c r="S233" i="1" s="1"/>
  <c r="P178" i="1"/>
  <c r="R178" i="1" s="1"/>
  <c r="S178" i="1" s="1"/>
  <c r="P148" i="1"/>
  <c r="R148" i="1" s="1"/>
  <c r="S148" i="1" s="1"/>
  <c r="P103" i="1"/>
  <c r="R103" i="1" s="1"/>
  <c r="S103" i="1" s="1"/>
  <c r="P672" i="1"/>
  <c r="R672" i="1" s="1"/>
  <c r="S672" i="1" s="1"/>
  <c r="P613" i="1"/>
  <c r="R613" i="1" s="1"/>
  <c r="S613" i="1" s="1"/>
  <c r="P678" i="1"/>
  <c r="R678" i="1" s="1"/>
  <c r="S678" i="1" s="1"/>
  <c r="P598" i="1"/>
  <c r="R598" i="1" s="1"/>
  <c r="S598" i="1" s="1"/>
  <c r="P651" i="1"/>
  <c r="R651" i="1" s="1"/>
  <c r="S651" i="1" s="1"/>
  <c r="P671" i="1"/>
  <c r="R671" i="1" s="1"/>
  <c r="S671" i="1" s="1"/>
  <c r="P662" i="1"/>
  <c r="R662" i="1" s="1"/>
  <c r="S662" i="1" s="1"/>
  <c r="P637" i="1"/>
  <c r="R637" i="1" s="1"/>
  <c r="S637" i="1" s="1"/>
  <c r="P680" i="1"/>
  <c r="R680" i="1" s="1"/>
  <c r="S680" i="1" s="1"/>
  <c r="P661" i="1"/>
  <c r="R661" i="1" s="1"/>
  <c r="S661" i="1" s="1"/>
  <c r="P634" i="1"/>
  <c r="R634" i="1" s="1"/>
  <c r="S634" i="1" s="1"/>
  <c r="P644" i="1"/>
  <c r="R644" i="1" s="1"/>
  <c r="S644" i="1" s="1"/>
  <c r="P649" i="1"/>
  <c r="R649" i="1" s="1"/>
  <c r="S649" i="1" s="1"/>
  <c r="P669" i="1"/>
  <c r="R669" i="1" s="1"/>
  <c r="S669" i="1" s="1"/>
  <c r="P625" i="1"/>
  <c r="R625" i="1" s="1"/>
  <c r="S625" i="1" s="1"/>
  <c r="P615" i="1"/>
  <c r="R615" i="1" s="1"/>
  <c r="S615" i="1" s="1"/>
  <c r="P554" i="1"/>
  <c r="R554" i="1" s="1"/>
  <c r="S554" i="1" s="1"/>
  <c r="P550" i="1"/>
  <c r="R550" i="1" s="1"/>
  <c r="S550" i="1" s="1"/>
  <c r="P589" i="1"/>
  <c r="R589" i="1" s="1"/>
  <c r="S589" i="1" s="1"/>
  <c r="P542" i="1"/>
  <c r="R542" i="1" s="1"/>
  <c r="S542" i="1" s="1"/>
  <c r="P512" i="1"/>
  <c r="R512" i="1" s="1"/>
  <c r="S512" i="1" s="1"/>
  <c r="P562" i="1"/>
  <c r="R562" i="1" s="1"/>
  <c r="S562" i="1" s="1"/>
  <c r="P546" i="1"/>
  <c r="R546" i="1" s="1"/>
  <c r="S546" i="1" s="1"/>
  <c r="P582" i="1"/>
  <c r="R582" i="1" s="1"/>
  <c r="S582" i="1" s="1"/>
  <c r="P535" i="1"/>
  <c r="R535" i="1" s="1"/>
  <c r="S535" i="1" s="1"/>
  <c r="P579" i="1"/>
  <c r="R579" i="1" s="1"/>
  <c r="S579" i="1" s="1"/>
  <c r="P570" i="1"/>
  <c r="R570" i="1" s="1"/>
  <c r="S570" i="1" s="1"/>
  <c r="P583" i="1"/>
  <c r="R583" i="1" s="1"/>
  <c r="S583" i="1" s="1"/>
  <c r="P574" i="1"/>
  <c r="R574" i="1" s="1"/>
  <c r="S574" i="1" s="1"/>
  <c r="P564" i="1"/>
  <c r="R564" i="1" s="1"/>
  <c r="S564" i="1" s="1"/>
  <c r="P534" i="1"/>
  <c r="R534" i="1" s="1"/>
  <c r="S534" i="1" s="1"/>
  <c r="P557" i="1"/>
  <c r="R557" i="1" s="1"/>
  <c r="S557" i="1" s="1"/>
  <c r="P527" i="1"/>
  <c r="R527" i="1" s="1"/>
  <c r="S527" i="1" s="1"/>
  <c r="P477" i="1"/>
  <c r="R477" i="1" s="1"/>
  <c r="S477" i="1" s="1"/>
  <c r="P450" i="1"/>
  <c r="R450" i="1" s="1"/>
  <c r="S450" i="1" s="1"/>
  <c r="P435" i="1"/>
  <c r="R435" i="1" s="1"/>
  <c r="S435" i="1" s="1"/>
  <c r="P404" i="1"/>
  <c r="R404" i="1" s="1"/>
  <c r="S404" i="1" s="1"/>
  <c r="P479" i="1"/>
  <c r="R479" i="1" s="1"/>
  <c r="S479" i="1" s="1"/>
  <c r="P448" i="1"/>
  <c r="R448" i="1" s="1"/>
  <c r="S448" i="1" s="1"/>
  <c r="P402" i="1"/>
  <c r="R402" i="1" s="1"/>
  <c r="S402" i="1" s="1"/>
  <c r="P466" i="1"/>
  <c r="R466" i="1" s="1"/>
  <c r="S466" i="1" s="1"/>
  <c r="P471" i="1"/>
  <c r="R471" i="1" s="1"/>
  <c r="S471" i="1" s="1"/>
  <c r="P441" i="1"/>
  <c r="R441" i="1" s="1"/>
  <c r="S441" i="1" s="1"/>
  <c r="P491" i="1"/>
  <c r="R491" i="1" s="1"/>
  <c r="S491" i="1" s="1"/>
  <c r="P315" i="1"/>
  <c r="R315" i="1" s="1"/>
  <c r="S315" i="1" s="1"/>
  <c r="P377" i="1"/>
  <c r="R377" i="1" s="1"/>
  <c r="S377" i="1" s="1"/>
  <c r="P321" i="1"/>
  <c r="R321" i="1" s="1"/>
  <c r="S321" i="1" s="1"/>
  <c r="P356" i="1"/>
  <c r="R356" i="1" s="1"/>
  <c r="S356" i="1" s="1"/>
  <c r="P349" i="1"/>
  <c r="R349" i="1" s="1"/>
  <c r="S349" i="1" s="1"/>
  <c r="P325" i="1"/>
  <c r="R325" i="1" s="1"/>
  <c r="S325" i="1" s="1"/>
  <c r="P306" i="1"/>
  <c r="R306" i="1" s="1"/>
  <c r="S306" i="1" s="1"/>
  <c r="P367" i="1"/>
  <c r="R367" i="1" s="1"/>
  <c r="S367" i="1" s="1"/>
  <c r="P400" i="1"/>
  <c r="R400" i="1" s="1"/>
  <c r="S400" i="1" s="1"/>
  <c r="P368" i="1"/>
  <c r="R368" i="1" s="1"/>
  <c r="S368" i="1" s="1"/>
  <c r="P350" i="1"/>
  <c r="R350" i="1" s="1"/>
  <c r="S350" i="1" s="1"/>
  <c r="P332" i="1"/>
  <c r="R332" i="1" s="1"/>
  <c r="S332" i="1" s="1"/>
  <c r="P392" i="1"/>
  <c r="R392" i="1" s="1"/>
  <c r="S392" i="1" s="1"/>
  <c r="P351" i="1"/>
  <c r="R351" i="1" s="1"/>
  <c r="S351" i="1" s="1"/>
  <c r="P330" i="1"/>
  <c r="R330" i="1" s="1"/>
  <c r="S330" i="1" s="1"/>
  <c r="P316" i="1"/>
  <c r="R316" i="1" s="1"/>
  <c r="S316" i="1" s="1"/>
  <c r="P324" i="1"/>
  <c r="R324" i="1" s="1"/>
  <c r="S324" i="1" s="1"/>
  <c r="P277" i="1"/>
  <c r="R277" i="1" s="1"/>
  <c r="S277" i="1" s="1"/>
  <c r="P247" i="1"/>
  <c r="R247" i="1" s="1"/>
  <c r="S247" i="1" s="1"/>
  <c r="P258" i="1"/>
  <c r="R258" i="1" s="1"/>
  <c r="S258" i="1" s="1"/>
  <c r="P295" i="1"/>
  <c r="R295" i="1" s="1"/>
  <c r="S295" i="1" s="1"/>
  <c r="P297" i="1"/>
  <c r="R297" i="1" s="1"/>
  <c r="S297" i="1" s="1"/>
  <c r="P294" i="1"/>
  <c r="R294" i="1" s="1"/>
  <c r="S294" i="1" s="1"/>
  <c r="P296" i="1"/>
  <c r="R296" i="1" s="1"/>
  <c r="S296" i="1" s="1"/>
  <c r="P222" i="1"/>
  <c r="R222" i="1" s="1"/>
  <c r="S222" i="1" s="1"/>
  <c r="P271" i="1"/>
  <c r="R271" i="1" s="1"/>
  <c r="S271" i="1" s="1"/>
  <c r="P262" i="1"/>
  <c r="R262" i="1" s="1"/>
  <c r="S262" i="1" s="1"/>
  <c r="P252" i="1"/>
  <c r="R252" i="1" s="1"/>
  <c r="S252" i="1" s="1"/>
  <c r="P242" i="1"/>
  <c r="R242" i="1" s="1"/>
  <c r="S242" i="1" s="1"/>
  <c r="P237" i="1"/>
  <c r="R237" i="1" s="1"/>
  <c r="S237" i="1" s="1"/>
  <c r="P221" i="1"/>
  <c r="R221" i="1" s="1"/>
  <c r="S221" i="1" s="1"/>
  <c r="P264" i="1"/>
  <c r="R264" i="1" s="1"/>
  <c r="S264" i="1" s="1"/>
  <c r="P229" i="1"/>
  <c r="R229" i="1" s="1"/>
  <c r="S229" i="1" s="1"/>
  <c r="P225" i="1"/>
  <c r="R225" i="1" s="1"/>
  <c r="S225" i="1" s="1"/>
  <c r="P281" i="1"/>
  <c r="R281" i="1" s="1"/>
  <c r="S281" i="1" s="1"/>
  <c r="P124" i="1"/>
  <c r="R124" i="1" s="1"/>
  <c r="S124" i="1" s="1"/>
  <c r="P180" i="1"/>
  <c r="R180" i="1" s="1"/>
  <c r="S180" i="1" s="1"/>
  <c r="P173" i="1"/>
  <c r="R173" i="1" s="1"/>
  <c r="S173" i="1" s="1"/>
  <c r="P163" i="1"/>
  <c r="R163" i="1" s="1"/>
  <c r="S163" i="1" s="1"/>
  <c r="P19" i="1"/>
  <c r="R19" i="1" s="1"/>
  <c r="S19" i="1" s="1"/>
  <c r="P43" i="1"/>
  <c r="R43" i="1" s="1"/>
  <c r="S43" i="1" s="1"/>
  <c r="P21" i="1"/>
  <c r="P73" i="1"/>
  <c r="R73" i="1" s="1"/>
  <c r="S73" i="1" s="1"/>
  <c r="P39" i="1"/>
  <c r="R39" i="1" s="1"/>
  <c r="S39" i="1" s="1"/>
  <c r="P27" i="1"/>
  <c r="R27" i="1" s="1"/>
  <c r="S27" i="1" s="1"/>
  <c r="P108" i="1"/>
  <c r="R108" i="1" s="1"/>
  <c r="S108" i="1" s="1"/>
  <c r="P102" i="1"/>
  <c r="R102" i="1" s="1"/>
  <c r="S102" i="1" s="1"/>
  <c r="P23" i="1"/>
  <c r="R23" i="1" s="1"/>
  <c r="S23" i="1" s="1"/>
  <c r="P22" i="1"/>
  <c r="R22" i="1" s="1"/>
  <c r="S22" i="1" s="1"/>
  <c r="P616" i="1"/>
  <c r="R616" i="1" s="1"/>
  <c r="S616" i="1" s="1"/>
  <c r="P591" i="1"/>
  <c r="R591" i="1" s="1"/>
  <c r="S591" i="1" s="1"/>
  <c r="P522" i="1"/>
  <c r="R522" i="1" s="1"/>
  <c r="S522" i="1" s="1"/>
  <c r="P561" i="1"/>
  <c r="R561" i="1" s="1"/>
  <c r="S561" i="1" s="1"/>
  <c r="P584" i="1"/>
  <c r="R584" i="1" s="1"/>
  <c r="S584" i="1" s="1"/>
  <c r="P553" i="1"/>
  <c r="R553" i="1" s="1"/>
  <c r="S553" i="1" s="1"/>
  <c r="P504" i="1"/>
  <c r="R504" i="1" s="1"/>
  <c r="S504" i="1" s="1"/>
  <c r="P590" i="1"/>
  <c r="R590" i="1" s="1"/>
  <c r="S590" i="1" s="1"/>
  <c r="P503" i="1"/>
  <c r="R503" i="1" s="1"/>
  <c r="S503" i="1" s="1"/>
  <c r="P571" i="1"/>
  <c r="R571" i="1" s="1"/>
  <c r="S571" i="1" s="1"/>
  <c r="P496" i="1"/>
  <c r="R496" i="1" s="1"/>
  <c r="S496" i="1" s="1"/>
  <c r="P467" i="1"/>
  <c r="R467" i="1" s="1"/>
  <c r="S467" i="1" s="1"/>
  <c r="P474" i="1"/>
  <c r="R474" i="1" s="1"/>
  <c r="S474" i="1" s="1"/>
  <c r="P408" i="1"/>
  <c r="R408" i="1" s="1"/>
  <c r="S408" i="1" s="1"/>
  <c r="P481" i="1"/>
  <c r="R481" i="1" s="1"/>
  <c r="S481" i="1" s="1"/>
  <c r="P493" i="1"/>
  <c r="R493" i="1" s="1"/>
  <c r="S493" i="1" s="1"/>
  <c r="P447" i="1"/>
  <c r="R447" i="1" s="1"/>
  <c r="S447" i="1" s="1"/>
  <c r="P310" i="1"/>
  <c r="R310" i="1" s="1"/>
  <c r="S310" i="1" s="1"/>
  <c r="P347" i="1"/>
  <c r="R347" i="1" s="1"/>
  <c r="S347" i="1" s="1"/>
  <c r="P333" i="1"/>
  <c r="R333" i="1" s="1"/>
  <c r="S333" i="1" s="1"/>
  <c r="P393" i="1"/>
  <c r="R393" i="1" s="1"/>
  <c r="S393" i="1" s="1"/>
  <c r="P365" i="1"/>
  <c r="R365" i="1" s="1"/>
  <c r="S365" i="1" s="1"/>
  <c r="P361" i="1"/>
  <c r="R361" i="1" s="1"/>
  <c r="S361" i="1" s="1"/>
  <c r="P137" i="1"/>
  <c r="R137" i="1" s="1"/>
  <c r="S137" i="1" s="1"/>
  <c r="P49" i="1"/>
  <c r="R49" i="1" s="1"/>
  <c r="S49" i="1" s="1"/>
  <c r="P59" i="1"/>
  <c r="R59" i="1" s="1"/>
  <c r="S59" i="1" s="1"/>
  <c r="P55" i="1"/>
  <c r="R55" i="1" s="1"/>
  <c r="S55" i="1" s="1"/>
  <c r="P85" i="1"/>
  <c r="R85" i="1" s="1"/>
  <c r="S85" i="1" s="1"/>
  <c r="P627" i="1"/>
  <c r="R627" i="1" s="1"/>
  <c r="S627" i="1" s="1"/>
  <c r="P609" i="1"/>
  <c r="R609" i="1" s="1"/>
  <c r="S609" i="1" s="1"/>
  <c r="P617" i="1"/>
  <c r="R617" i="1" s="1"/>
  <c r="S617" i="1" s="1"/>
  <c r="P666" i="1"/>
  <c r="R666" i="1" s="1"/>
  <c r="S666" i="1" s="1"/>
  <c r="P642" i="1"/>
  <c r="R642" i="1" s="1"/>
  <c r="S642" i="1" s="1"/>
  <c r="P676" i="1"/>
  <c r="R676" i="1" s="1"/>
  <c r="S676" i="1" s="1"/>
  <c r="P681" i="1"/>
  <c r="R681" i="1" s="1"/>
  <c r="S681" i="1" s="1"/>
  <c r="P618" i="1"/>
  <c r="R618" i="1" s="1"/>
  <c r="S618" i="1" s="1"/>
  <c r="P611" i="1"/>
  <c r="R611" i="1" s="1"/>
  <c r="S611" i="1" s="1"/>
  <c r="P683" i="1"/>
  <c r="R683" i="1" s="1"/>
  <c r="S683" i="1" s="1"/>
  <c r="P626" i="1"/>
  <c r="R626" i="1" s="1"/>
  <c r="S626" i="1" s="1"/>
  <c r="P629" i="1"/>
  <c r="R629" i="1" s="1"/>
  <c r="S629" i="1" s="1"/>
  <c r="P607" i="1"/>
  <c r="R607" i="1" s="1"/>
  <c r="S607" i="1" s="1"/>
  <c r="P670" i="1"/>
  <c r="R670" i="1" s="1"/>
  <c r="S670" i="1" s="1"/>
  <c r="P623" i="1"/>
  <c r="R623" i="1" s="1"/>
  <c r="S623" i="1" s="1"/>
  <c r="P679" i="1"/>
  <c r="R679" i="1" s="1"/>
  <c r="S679" i="1" s="1"/>
  <c r="P658" i="1"/>
  <c r="R658" i="1" s="1"/>
  <c r="S658" i="1" s="1"/>
  <c r="P647" i="1"/>
  <c r="R647" i="1" s="1"/>
  <c r="S647" i="1" s="1"/>
  <c r="P636" i="1"/>
  <c r="R636" i="1" s="1"/>
  <c r="S636" i="1" s="1"/>
  <c r="P687" i="1"/>
  <c r="R687" i="1" s="1"/>
  <c r="S687" i="1" s="1"/>
  <c r="P513" i="1"/>
  <c r="R513" i="1" s="1"/>
  <c r="S513" i="1" s="1"/>
  <c r="P569" i="1"/>
  <c r="R569" i="1" s="1"/>
  <c r="S569" i="1" s="1"/>
  <c r="P567" i="1"/>
  <c r="R567" i="1" s="1"/>
  <c r="S567" i="1" s="1"/>
  <c r="P540" i="1"/>
  <c r="R540" i="1" s="1"/>
  <c r="S540" i="1" s="1"/>
  <c r="P556" i="1"/>
  <c r="R556" i="1" s="1"/>
  <c r="S556" i="1" s="1"/>
  <c r="P528" i="1"/>
  <c r="R528" i="1" s="1"/>
  <c r="S528" i="1" s="1"/>
  <c r="P507" i="1"/>
  <c r="R507" i="1" s="1"/>
  <c r="S507" i="1" s="1"/>
  <c r="P568" i="1"/>
  <c r="R568" i="1" s="1"/>
  <c r="S568" i="1" s="1"/>
  <c r="P506" i="1"/>
  <c r="R506" i="1" s="1"/>
  <c r="S506" i="1" s="1"/>
  <c r="P575" i="1"/>
  <c r="R575" i="1" s="1"/>
  <c r="S575" i="1" s="1"/>
  <c r="P573" i="1"/>
  <c r="R573" i="1" s="1"/>
  <c r="S573" i="1" s="1"/>
  <c r="P560" i="1"/>
  <c r="R560" i="1" s="1"/>
  <c r="S560" i="1" s="1"/>
  <c r="P578" i="1"/>
  <c r="R578" i="1" s="1"/>
  <c r="S578" i="1" s="1"/>
  <c r="P547" i="1"/>
  <c r="R547" i="1" s="1"/>
  <c r="S547" i="1" s="1"/>
  <c r="P529" i="1"/>
  <c r="R529" i="1" s="1"/>
  <c r="S529" i="1" s="1"/>
  <c r="P499" i="1"/>
  <c r="R499" i="1" s="1"/>
  <c r="S499" i="1" s="1"/>
  <c r="P523" i="1"/>
  <c r="R523" i="1" s="1"/>
  <c r="S523" i="1" s="1"/>
  <c r="P524" i="1"/>
  <c r="R524" i="1" s="1"/>
  <c r="S524" i="1" s="1"/>
  <c r="P585" i="1"/>
  <c r="R585" i="1" s="1"/>
  <c r="S585" i="1" s="1"/>
  <c r="P586" i="1"/>
  <c r="R586" i="1" s="1"/>
  <c r="S586" i="1" s="1"/>
  <c r="P544" i="1"/>
  <c r="R544" i="1" s="1"/>
  <c r="S544" i="1" s="1"/>
  <c r="P530" i="1"/>
  <c r="R530" i="1" s="1"/>
  <c r="S530" i="1" s="1"/>
  <c r="P509" i="1"/>
  <c r="R509" i="1" s="1"/>
  <c r="S509" i="1" s="1"/>
  <c r="P541" i="1"/>
  <c r="R541" i="1" s="1"/>
  <c r="S541" i="1" s="1"/>
  <c r="P551" i="1"/>
  <c r="R551" i="1" s="1"/>
  <c r="S551" i="1" s="1"/>
  <c r="P563" i="1"/>
  <c r="R563" i="1" s="1"/>
  <c r="S563" i="1" s="1"/>
  <c r="P581" i="1"/>
  <c r="R581" i="1" s="1"/>
  <c r="S581" i="1" s="1"/>
  <c r="P418" i="1"/>
  <c r="R418" i="1" s="1"/>
  <c r="S418" i="1" s="1"/>
  <c r="P430" i="1"/>
  <c r="R430" i="1" s="1"/>
  <c r="S430" i="1" s="1"/>
  <c r="P429" i="1"/>
  <c r="R429" i="1" s="1"/>
  <c r="S429" i="1" s="1"/>
  <c r="P410" i="1"/>
  <c r="R410" i="1" s="1"/>
  <c r="S410" i="1" s="1"/>
  <c r="P426" i="1"/>
  <c r="R426" i="1" s="1"/>
  <c r="S426" i="1" s="1"/>
  <c r="P451" i="1"/>
  <c r="R451" i="1" s="1"/>
  <c r="S451" i="1" s="1"/>
  <c r="P463" i="1"/>
  <c r="R463" i="1" s="1"/>
  <c r="S463" i="1" s="1"/>
  <c r="P443" i="1"/>
  <c r="R443" i="1" s="1"/>
  <c r="S443" i="1" s="1"/>
  <c r="P427" i="1"/>
  <c r="R427" i="1" s="1"/>
  <c r="S427" i="1" s="1"/>
  <c r="P419" i="1"/>
  <c r="R419" i="1" s="1"/>
  <c r="S419" i="1" s="1"/>
  <c r="P425" i="1"/>
  <c r="R425" i="1" s="1"/>
  <c r="S425" i="1" s="1"/>
  <c r="P420" i="1"/>
  <c r="R420" i="1" s="1"/>
  <c r="S420" i="1" s="1"/>
  <c r="P459" i="1"/>
  <c r="R459" i="1" s="1"/>
  <c r="S459" i="1" s="1"/>
  <c r="P409" i="1"/>
  <c r="R409" i="1" s="1"/>
  <c r="S409" i="1" s="1"/>
  <c r="P460" i="1"/>
  <c r="R460" i="1" s="1"/>
  <c r="S460" i="1" s="1"/>
  <c r="P439" i="1"/>
  <c r="R439" i="1" s="1"/>
  <c r="S439" i="1" s="1"/>
  <c r="P482" i="1"/>
  <c r="R482" i="1" s="1"/>
  <c r="S482" i="1" s="1"/>
  <c r="P453" i="1"/>
  <c r="R453" i="1" s="1"/>
  <c r="S453" i="1" s="1"/>
  <c r="P458" i="1"/>
  <c r="R458" i="1" s="1"/>
  <c r="S458" i="1" s="1"/>
  <c r="P494" i="1"/>
  <c r="R494" i="1" s="1"/>
  <c r="S494" i="1" s="1"/>
  <c r="P485" i="1"/>
  <c r="R485" i="1" s="1"/>
  <c r="S485" i="1" s="1"/>
  <c r="P497" i="1"/>
  <c r="R497" i="1" s="1"/>
  <c r="S497" i="1" s="1"/>
  <c r="P462" i="1"/>
  <c r="R462" i="1" s="1"/>
  <c r="S462" i="1" s="1"/>
  <c r="P438" i="1"/>
  <c r="R438" i="1" s="1"/>
  <c r="S438" i="1" s="1"/>
  <c r="P487" i="1"/>
  <c r="R487" i="1" s="1"/>
  <c r="S487" i="1" s="1"/>
  <c r="P373" i="1"/>
  <c r="R373" i="1" s="1"/>
  <c r="S373" i="1" s="1"/>
  <c r="P399" i="1"/>
  <c r="R399" i="1" s="1"/>
  <c r="S399" i="1" s="1"/>
  <c r="P355" i="1"/>
  <c r="R355" i="1" s="1"/>
  <c r="S355" i="1" s="1"/>
  <c r="P352" i="1"/>
  <c r="R352" i="1" s="1"/>
  <c r="S352" i="1" s="1"/>
  <c r="P353" i="1"/>
  <c r="R353" i="1" s="1"/>
  <c r="S353" i="1" s="1"/>
  <c r="P322" i="1"/>
  <c r="R322" i="1" s="1"/>
  <c r="S322" i="1" s="1"/>
  <c r="P345" i="1"/>
  <c r="R345" i="1" s="1"/>
  <c r="S345" i="1" s="1"/>
  <c r="P386" i="1"/>
  <c r="R386" i="1" s="1"/>
  <c r="S386" i="1" s="1"/>
  <c r="P364" i="1"/>
  <c r="R364" i="1" s="1"/>
  <c r="S364" i="1" s="1"/>
  <c r="P398" i="1"/>
  <c r="R398" i="1" s="1"/>
  <c r="S398" i="1" s="1"/>
  <c r="P320" i="1"/>
  <c r="R320" i="1" s="1"/>
  <c r="S320" i="1" s="1"/>
  <c r="P385" i="1"/>
  <c r="R385" i="1" s="1"/>
  <c r="S385" i="1" s="1"/>
  <c r="P339" i="1"/>
  <c r="R339" i="1" s="1"/>
  <c r="S339" i="1" s="1"/>
  <c r="P336" i="1"/>
  <c r="R336" i="1" s="1"/>
  <c r="S336" i="1" s="1"/>
  <c r="P362" i="1"/>
  <c r="R362" i="1" s="1"/>
  <c r="S362" i="1" s="1"/>
  <c r="P401" i="1"/>
  <c r="R401" i="1" s="1"/>
  <c r="S401" i="1" s="1"/>
  <c r="P312" i="1"/>
  <c r="R312" i="1" s="1"/>
  <c r="S312" i="1" s="1"/>
  <c r="P378" i="1"/>
  <c r="R378" i="1" s="1"/>
  <c r="S378" i="1" s="1"/>
  <c r="P313" i="1"/>
  <c r="R313" i="1" s="1"/>
  <c r="S313" i="1" s="1"/>
  <c r="P327" i="1"/>
  <c r="R327" i="1" s="1"/>
  <c r="S327" i="1" s="1"/>
  <c r="P396" i="1"/>
  <c r="R396" i="1" s="1"/>
  <c r="S396" i="1" s="1"/>
  <c r="P369" i="1"/>
  <c r="R369" i="1" s="1"/>
  <c r="S369" i="1" s="1"/>
  <c r="P379" i="1"/>
  <c r="R379" i="1" s="1"/>
  <c r="S379" i="1" s="1"/>
  <c r="P341" i="1"/>
  <c r="R341" i="1" s="1"/>
  <c r="S341" i="1" s="1"/>
  <c r="P248" i="1"/>
  <c r="R248" i="1" s="1"/>
  <c r="S248" i="1" s="1"/>
  <c r="P218" i="1"/>
  <c r="R218" i="1" s="1"/>
  <c r="S218" i="1" s="1"/>
  <c r="P270" i="1"/>
  <c r="R270" i="1" s="1"/>
  <c r="S270" i="1" s="1"/>
  <c r="P230" i="1"/>
  <c r="R230" i="1" s="1"/>
  <c r="S230" i="1" s="1"/>
  <c r="P216" i="1"/>
  <c r="R216" i="1" s="1"/>
  <c r="S216" i="1" s="1"/>
  <c r="P220" i="1"/>
  <c r="R220" i="1" s="1"/>
  <c r="S220" i="1" s="1"/>
  <c r="P246" i="1"/>
  <c r="R246" i="1" s="1"/>
  <c r="S246" i="1" s="1"/>
  <c r="P282" i="1"/>
  <c r="R282" i="1" s="1"/>
  <c r="S282" i="1" s="1"/>
  <c r="P213" i="1"/>
  <c r="R213" i="1" s="1"/>
  <c r="S213" i="1" s="1"/>
  <c r="P288" i="1"/>
  <c r="R288" i="1" s="1"/>
  <c r="S288" i="1" s="1"/>
  <c r="P234" i="1"/>
  <c r="R234" i="1" s="1"/>
  <c r="S234" i="1" s="1"/>
  <c r="P254" i="1"/>
  <c r="R254" i="1" s="1"/>
  <c r="S254" i="1" s="1"/>
  <c r="P299" i="1"/>
  <c r="R299" i="1" s="1"/>
  <c r="S299" i="1" s="1"/>
  <c r="P245" i="1"/>
  <c r="R245" i="1" s="1"/>
  <c r="S245" i="1" s="1"/>
  <c r="P235" i="1"/>
  <c r="R235" i="1" s="1"/>
  <c r="S235" i="1" s="1"/>
  <c r="P226" i="1"/>
  <c r="R226" i="1" s="1"/>
  <c r="S226" i="1" s="1"/>
  <c r="P215" i="1"/>
  <c r="R215" i="1" s="1"/>
  <c r="S215" i="1" s="1"/>
  <c r="P265" i="1"/>
  <c r="R265" i="1" s="1"/>
  <c r="S265" i="1" s="1"/>
  <c r="P243" i="1"/>
  <c r="R243" i="1" s="1"/>
  <c r="S243" i="1" s="1"/>
  <c r="P273" i="1"/>
  <c r="R273" i="1" s="1"/>
  <c r="S273" i="1" s="1"/>
  <c r="P274" i="1"/>
  <c r="R274" i="1" s="1"/>
  <c r="S274" i="1" s="1"/>
  <c r="P298" i="1"/>
  <c r="R298" i="1" s="1"/>
  <c r="S298" i="1" s="1"/>
  <c r="P257" i="1"/>
  <c r="R257" i="1" s="1"/>
  <c r="S257" i="1" s="1"/>
  <c r="P260" i="1"/>
  <c r="R260" i="1" s="1"/>
  <c r="S260" i="1" s="1"/>
  <c r="P304" i="1"/>
  <c r="R304" i="1" s="1"/>
  <c r="S304" i="1" s="1"/>
  <c r="P217" i="1"/>
  <c r="R217" i="1" s="1"/>
  <c r="S217" i="1" s="1"/>
  <c r="P292" i="1"/>
  <c r="R292" i="1" s="1"/>
  <c r="S292" i="1" s="1"/>
  <c r="P300" i="1"/>
  <c r="R300" i="1" s="1"/>
  <c r="S300" i="1" s="1"/>
  <c r="P305" i="1"/>
  <c r="R305" i="1" s="1"/>
  <c r="S305" i="1" s="1"/>
  <c r="P275" i="1"/>
  <c r="R275" i="1" s="1"/>
  <c r="S275" i="1" s="1"/>
  <c r="P214" i="1"/>
  <c r="R214" i="1" s="1"/>
  <c r="S214" i="1" s="1"/>
  <c r="P289" i="1"/>
  <c r="R289" i="1" s="1"/>
  <c r="S289" i="1" s="1"/>
  <c r="P301" i="1"/>
  <c r="R301" i="1" s="1"/>
  <c r="S301" i="1" s="1"/>
  <c r="P239" i="1"/>
  <c r="R239" i="1" s="1"/>
  <c r="S239" i="1" s="1"/>
  <c r="P240" i="1"/>
  <c r="R240" i="1" s="1"/>
  <c r="S240" i="1" s="1"/>
  <c r="P126" i="1"/>
  <c r="R126" i="1" s="1"/>
  <c r="S126" i="1" s="1"/>
  <c r="P189" i="1"/>
  <c r="R189" i="1" s="1"/>
  <c r="S189" i="1" s="1"/>
  <c r="P184" i="1"/>
  <c r="R184" i="1" s="1"/>
  <c r="S184" i="1" s="1"/>
  <c r="P193" i="1"/>
  <c r="R193" i="1" s="1"/>
  <c r="S193" i="1" s="1"/>
  <c r="P150" i="1"/>
  <c r="R150" i="1" s="1"/>
  <c r="S150" i="1" s="1"/>
  <c r="P157" i="1"/>
  <c r="R157" i="1" s="1"/>
  <c r="S157" i="1" s="1"/>
  <c r="P206" i="1"/>
  <c r="R206" i="1" s="1"/>
  <c r="S206" i="1" s="1"/>
  <c r="P176" i="1"/>
  <c r="R176" i="1" s="1"/>
  <c r="S176" i="1" s="1"/>
  <c r="P146" i="1"/>
  <c r="R146" i="1" s="1"/>
  <c r="S146" i="1" s="1"/>
  <c r="P122" i="1"/>
  <c r="R122" i="1" s="1"/>
  <c r="S122" i="1" s="1"/>
  <c r="P168" i="1"/>
  <c r="R168" i="1" s="1"/>
  <c r="S168" i="1" s="1"/>
  <c r="P142" i="1"/>
  <c r="R142" i="1" s="1"/>
  <c r="S142" i="1" s="1"/>
  <c r="P201" i="1"/>
  <c r="R201" i="1" s="1"/>
  <c r="S201" i="1" s="1"/>
  <c r="P182" i="1"/>
  <c r="R182" i="1" s="1"/>
  <c r="S182" i="1" s="1"/>
  <c r="P40" i="1"/>
  <c r="R40" i="1" s="1"/>
  <c r="S40" i="1" s="1"/>
  <c r="P44" i="1"/>
  <c r="R44" i="1" s="1"/>
  <c r="S44" i="1" s="1"/>
  <c r="P35" i="1"/>
  <c r="R35" i="1" s="1"/>
  <c r="S35" i="1" s="1"/>
  <c r="P52" i="1"/>
  <c r="R52" i="1" s="1"/>
  <c r="S52" i="1" s="1"/>
  <c r="P84" i="1"/>
  <c r="R84" i="1" s="1"/>
  <c r="S84" i="1" s="1"/>
  <c r="P99" i="1"/>
  <c r="R99" i="1" s="1"/>
  <c r="S99" i="1" s="1"/>
  <c r="P104" i="1"/>
  <c r="R104" i="1" s="1"/>
  <c r="S104" i="1" s="1"/>
  <c r="P37" i="1"/>
  <c r="R37" i="1" s="1"/>
  <c r="S37" i="1" s="1"/>
  <c r="P78" i="1"/>
  <c r="R78" i="1" s="1"/>
  <c r="S78" i="1" s="1"/>
  <c r="P110" i="1"/>
  <c r="R110" i="1" s="1"/>
  <c r="S110" i="1" s="1"/>
  <c r="P67" i="1"/>
  <c r="R67" i="1" s="1"/>
  <c r="S67" i="1" s="1"/>
  <c r="P113" i="1"/>
  <c r="R113" i="1" s="1"/>
  <c r="S113" i="1" s="1"/>
  <c r="P24" i="1"/>
  <c r="R24" i="1" s="1"/>
  <c r="S24" i="1" s="1"/>
  <c r="P98" i="1"/>
  <c r="R98" i="1" s="1"/>
  <c r="S98" i="1" s="1"/>
  <c r="P107" i="1"/>
  <c r="R107" i="1" s="1"/>
  <c r="S107" i="1" s="1"/>
  <c r="P74" i="1"/>
  <c r="R74" i="1" s="1"/>
  <c r="S74" i="1" s="1"/>
  <c r="P65" i="1"/>
  <c r="R65" i="1" s="1"/>
  <c r="S65" i="1" s="1"/>
  <c r="P36" i="1"/>
  <c r="R36" i="1" s="1"/>
  <c r="S36" i="1" s="1"/>
  <c r="P76" i="1"/>
  <c r="R76" i="1" s="1"/>
  <c r="S76" i="1" s="1"/>
  <c r="P96" i="1"/>
  <c r="R96" i="1" s="1"/>
  <c r="S96" i="1" s="1"/>
  <c r="P58" i="1"/>
  <c r="R58" i="1" s="1"/>
  <c r="S58" i="1" s="1"/>
  <c r="P31" i="1"/>
  <c r="R31" i="1" s="1"/>
  <c r="S31" i="1" s="1"/>
  <c r="P75" i="1"/>
  <c r="R75" i="1" s="1"/>
  <c r="S75" i="1" s="1"/>
  <c r="P92" i="1"/>
  <c r="R92" i="1" s="1"/>
  <c r="S92" i="1" s="1"/>
  <c r="P105" i="1"/>
  <c r="R105" i="1" s="1"/>
  <c r="S105" i="1" s="1"/>
  <c r="P90" i="1"/>
  <c r="R90" i="1" s="1"/>
  <c r="S90" i="1" s="1"/>
  <c r="P47" i="1"/>
  <c r="R47" i="1" s="1"/>
  <c r="S47" i="1" s="1"/>
  <c r="P97" i="1"/>
  <c r="R97" i="1" s="1"/>
  <c r="S97" i="1" s="1"/>
  <c r="P109" i="1"/>
  <c r="R109" i="1" s="1"/>
  <c r="S109" i="1" s="1"/>
  <c r="P650" i="1"/>
  <c r="R650" i="1" s="1"/>
  <c r="S650" i="1" s="1"/>
  <c r="P654" i="1"/>
  <c r="R654" i="1" s="1"/>
  <c r="S654" i="1" s="1"/>
  <c r="P605" i="1"/>
  <c r="R605" i="1" s="1"/>
  <c r="S605" i="1" s="1"/>
  <c r="P638" i="1"/>
  <c r="R638" i="1" s="1"/>
  <c r="S638" i="1" s="1"/>
  <c r="P595" i="1"/>
  <c r="R595" i="1" s="1"/>
  <c r="S595" i="1" s="1"/>
  <c r="P639" i="1"/>
  <c r="R639" i="1" s="1"/>
  <c r="S639" i="1" s="1"/>
  <c r="P594" i="1"/>
  <c r="R594" i="1" s="1"/>
  <c r="S594" i="1" s="1"/>
  <c r="P610" i="1"/>
  <c r="R610" i="1" s="1"/>
  <c r="S610" i="1" s="1"/>
  <c r="P664" i="1"/>
  <c r="R664" i="1" s="1"/>
  <c r="S664" i="1" s="1"/>
  <c r="P549" i="1"/>
  <c r="R549" i="1" s="1"/>
  <c r="S549" i="1" s="1"/>
  <c r="P518" i="1"/>
  <c r="R518" i="1" s="1"/>
  <c r="S518" i="1" s="1"/>
  <c r="P558" i="1"/>
  <c r="R558" i="1" s="1"/>
  <c r="S558" i="1" s="1"/>
  <c r="P552" i="1"/>
  <c r="R552" i="1" s="1"/>
  <c r="S552" i="1" s="1"/>
  <c r="P500" i="1"/>
  <c r="R500" i="1" s="1"/>
  <c r="S500" i="1" s="1"/>
  <c r="P587" i="1"/>
  <c r="R587" i="1" s="1"/>
  <c r="S587" i="1" s="1"/>
  <c r="P548" i="1"/>
  <c r="R548" i="1" s="1"/>
  <c r="S548" i="1" s="1"/>
  <c r="P593" i="1"/>
  <c r="R593" i="1" s="1"/>
  <c r="S593" i="1" s="1"/>
  <c r="P483" i="1"/>
  <c r="R483" i="1" s="1"/>
  <c r="S483" i="1" s="1"/>
  <c r="P413" i="1"/>
  <c r="R413" i="1" s="1"/>
  <c r="S413" i="1" s="1"/>
  <c r="P444" i="1"/>
  <c r="R444" i="1" s="1"/>
  <c r="S444" i="1" s="1"/>
  <c r="P475" i="1"/>
  <c r="R475" i="1" s="1"/>
  <c r="S475" i="1" s="1"/>
  <c r="P464" i="1"/>
  <c r="R464" i="1" s="1"/>
  <c r="S464" i="1" s="1"/>
  <c r="P403" i="1"/>
  <c r="R403" i="1" s="1"/>
  <c r="S403" i="1" s="1"/>
  <c r="P446" i="1"/>
  <c r="R446" i="1" s="1"/>
  <c r="S446" i="1" s="1"/>
  <c r="P374" i="1"/>
  <c r="R374" i="1" s="1"/>
  <c r="S374" i="1" s="1"/>
  <c r="P337" i="1"/>
  <c r="R337" i="1" s="1"/>
  <c r="S337" i="1" s="1"/>
  <c r="P317" i="1"/>
  <c r="R317" i="1" s="1"/>
  <c r="S317" i="1" s="1"/>
  <c r="P395" i="1"/>
  <c r="R395" i="1" s="1"/>
  <c r="S395" i="1" s="1"/>
  <c r="P391" i="1"/>
  <c r="R391" i="1" s="1"/>
  <c r="S391" i="1" s="1"/>
  <c r="P334" i="1"/>
  <c r="R334" i="1" s="1"/>
  <c r="S334" i="1" s="1"/>
  <c r="P340" i="1"/>
  <c r="R340" i="1" s="1"/>
  <c r="S340" i="1" s="1"/>
  <c r="P309" i="1"/>
  <c r="R309" i="1" s="1"/>
  <c r="S309" i="1" s="1"/>
  <c r="P360" i="1"/>
  <c r="R360" i="1" s="1"/>
  <c r="S360" i="1" s="1"/>
  <c r="P241" i="1"/>
  <c r="R241" i="1" s="1"/>
  <c r="S241" i="1" s="1"/>
  <c r="P266" i="1"/>
  <c r="R266" i="1" s="1"/>
  <c r="S266" i="1" s="1"/>
  <c r="P231" i="1"/>
  <c r="R231" i="1" s="1"/>
  <c r="S231" i="1" s="1"/>
  <c r="P276" i="1"/>
  <c r="R276" i="1" s="1"/>
  <c r="S276" i="1" s="1"/>
  <c r="P287" i="1"/>
  <c r="R287" i="1" s="1"/>
  <c r="S287" i="1" s="1"/>
  <c r="P285" i="1"/>
  <c r="R285" i="1" s="1"/>
  <c r="S285" i="1" s="1"/>
  <c r="P149" i="1"/>
  <c r="R149" i="1" s="1"/>
  <c r="S149" i="1" s="1"/>
  <c r="P196" i="1"/>
  <c r="R196" i="1" s="1"/>
  <c r="S196" i="1" s="1"/>
  <c r="P194" i="1"/>
  <c r="R194" i="1" s="1"/>
  <c r="S194" i="1" s="1"/>
  <c r="P135" i="1"/>
  <c r="R135" i="1" s="1"/>
  <c r="S135" i="1" s="1"/>
  <c r="P187" i="1"/>
  <c r="R187" i="1" s="1"/>
  <c r="S187" i="1" s="1"/>
  <c r="P144" i="1"/>
  <c r="R144" i="1" s="1"/>
  <c r="S144" i="1" s="1"/>
  <c r="P128" i="1"/>
  <c r="R128" i="1" s="1"/>
  <c r="S128" i="1" s="1"/>
  <c r="P138" i="1"/>
  <c r="R138" i="1" s="1"/>
  <c r="S138" i="1" s="1"/>
  <c r="P205" i="1"/>
  <c r="R205" i="1" s="1"/>
  <c r="S205" i="1" s="1"/>
  <c r="P175" i="1"/>
  <c r="R175" i="1" s="1"/>
  <c r="S175" i="1" s="1"/>
  <c r="P153" i="1"/>
  <c r="R153" i="1" s="1"/>
  <c r="S153" i="1" s="1"/>
  <c r="P185" i="1"/>
  <c r="R185" i="1" s="1"/>
  <c r="S185" i="1" s="1"/>
  <c r="P195" i="1"/>
  <c r="R195" i="1" s="1"/>
  <c r="S195" i="1" s="1"/>
  <c r="P208" i="1"/>
  <c r="R208" i="1" s="1"/>
  <c r="S208" i="1" s="1"/>
  <c r="P125" i="1"/>
  <c r="R125" i="1" s="1"/>
  <c r="S125" i="1" s="1"/>
  <c r="P158" i="1"/>
  <c r="R158" i="1" s="1"/>
  <c r="S158" i="1" s="1"/>
  <c r="P121" i="1"/>
  <c r="R121" i="1" s="1"/>
  <c r="S121" i="1" s="1"/>
  <c r="P130" i="1"/>
  <c r="R130" i="1" s="1"/>
  <c r="S130" i="1" s="1"/>
  <c r="P155" i="1"/>
  <c r="R155" i="1" s="1"/>
  <c r="S155" i="1" s="1"/>
  <c r="P192" i="1"/>
  <c r="R192" i="1" s="1"/>
  <c r="S192" i="1" s="1"/>
  <c r="P198" i="1"/>
  <c r="R198" i="1" s="1"/>
  <c r="S198" i="1" s="1"/>
  <c r="P190" i="1"/>
  <c r="R190" i="1" s="1"/>
  <c r="S190" i="1" s="1"/>
  <c r="P197" i="1"/>
  <c r="R197" i="1" s="1"/>
  <c r="S197" i="1" s="1"/>
  <c r="P147" i="1"/>
  <c r="R147" i="1" s="1"/>
  <c r="S147" i="1" s="1"/>
  <c r="P140" i="1"/>
  <c r="R140" i="1" s="1"/>
  <c r="S140" i="1" s="1"/>
  <c r="P200" i="1"/>
  <c r="R200" i="1" s="1"/>
  <c r="S200" i="1" s="1"/>
  <c r="P127" i="1"/>
  <c r="R127" i="1" s="1"/>
  <c r="S127" i="1" s="1"/>
  <c r="P141" i="1"/>
  <c r="R141" i="1" s="1"/>
  <c r="S141" i="1" s="1"/>
  <c r="P171" i="1"/>
  <c r="R171" i="1" s="1"/>
  <c r="S171" i="1" s="1"/>
  <c r="P161" i="1"/>
  <c r="R161" i="1" s="1"/>
  <c r="S161" i="1" s="1"/>
  <c r="P151" i="1"/>
  <c r="R151" i="1" s="1"/>
  <c r="S151" i="1" s="1"/>
  <c r="P114" i="1"/>
  <c r="R114" i="1" s="1"/>
  <c r="S114" i="1" s="1"/>
  <c r="P202" i="1"/>
  <c r="R202" i="1" s="1"/>
  <c r="S202" i="1" s="1"/>
  <c r="P139" i="1"/>
  <c r="R139" i="1" s="1"/>
  <c r="S139" i="1" s="1"/>
  <c r="P145" i="1"/>
  <c r="R145" i="1" s="1"/>
  <c r="S145" i="1" s="1"/>
  <c r="P154" i="1"/>
  <c r="R154" i="1" s="1"/>
  <c r="S154" i="1" s="1"/>
  <c r="P152" i="1"/>
  <c r="R152" i="1" s="1"/>
  <c r="S152" i="1" s="1"/>
  <c r="P64" i="1"/>
  <c r="R64" i="1" s="1"/>
  <c r="S64" i="1" s="1"/>
  <c r="P69" i="1"/>
  <c r="R69" i="1" s="1"/>
  <c r="S69" i="1" s="1"/>
  <c r="P20" i="1"/>
  <c r="R20" i="1" s="1"/>
  <c r="S20" i="1" s="1"/>
  <c r="P93" i="1"/>
  <c r="R93" i="1" s="1"/>
  <c r="S93" i="1" s="1"/>
  <c r="P112" i="1"/>
  <c r="R112" i="1" s="1"/>
  <c r="S112" i="1" s="1"/>
  <c r="P635" i="1"/>
  <c r="R635" i="1" s="1"/>
  <c r="S635" i="1" s="1"/>
  <c r="P645" i="1"/>
  <c r="R645" i="1" s="1"/>
  <c r="S645" i="1" s="1"/>
  <c r="P684" i="1"/>
  <c r="R684" i="1" s="1"/>
  <c r="S684" i="1" s="1"/>
  <c r="P686" i="1"/>
  <c r="R686" i="1" s="1"/>
  <c r="S686" i="1" s="1"/>
  <c r="P608" i="1"/>
  <c r="R608" i="1" s="1"/>
  <c r="S608" i="1" s="1"/>
  <c r="P685" i="1"/>
  <c r="R685" i="1" s="1"/>
  <c r="S685" i="1" s="1"/>
  <c r="P606" i="1"/>
  <c r="R606" i="1" s="1"/>
  <c r="S606" i="1" s="1"/>
  <c r="P597" i="1"/>
  <c r="R597" i="1" s="1"/>
  <c r="S597" i="1" s="1"/>
  <c r="P667" i="1"/>
  <c r="R667" i="1" s="1"/>
  <c r="S667" i="1" s="1"/>
  <c r="P612" i="1"/>
  <c r="R612" i="1" s="1"/>
  <c r="S612" i="1" s="1"/>
  <c r="P630" i="1"/>
  <c r="R630" i="1" s="1"/>
  <c r="S630" i="1" s="1"/>
  <c r="P641" i="1"/>
  <c r="R641" i="1" s="1"/>
  <c r="S641" i="1" s="1"/>
  <c r="P663" i="1"/>
  <c r="R663" i="1" s="1"/>
  <c r="S663" i="1" s="1"/>
  <c r="P673" i="1"/>
  <c r="R673" i="1" s="1"/>
  <c r="S673" i="1" s="1"/>
  <c r="P674" i="1"/>
  <c r="R674" i="1" s="1"/>
  <c r="S674" i="1" s="1"/>
  <c r="P640" i="1"/>
  <c r="R640" i="1" s="1"/>
  <c r="S640" i="1" s="1"/>
  <c r="P596" i="1"/>
  <c r="R596" i="1" s="1"/>
  <c r="S596" i="1" s="1"/>
  <c r="P628" i="1"/>
  <c r="R628" i="1" s="1"/>
  <c r="S628" i="1" s="1"/>
  <c r="P599" i="1"/>
  <c r="R599" i="1" s="1"/>
  <c r="S599" i="1" s="1"/>
  <c r="P660" i="1"/>
  <c r="R660" i="1" s="1"/>
  <c r="S660" i="1" s="1"/>
  <c r="P632" i="1"/>
  <c r="R632" i="1" s="1"/>
  <c r="S632" i="1" s="1"/>
  <c r="P656" i="1"/>
  <c r="R656" i="1" s="1"/>
  <c r="S656" i="1" s="1"/>
  <c r="P580" i="1"/>
  <c r="R580" i="1" s="1"/>
  <c r="S580" i="1" s="1"/>
  <c r="P588" i="1"/>
  <c r="R588" i="1" s="1"/>
  <c r="S588" i="1" s="1"/>
  <c r="P536" i="1"/>
  <c r="R536" i="1" s="1"/>
  <c r="S536" i="1" s="1"/>
  <c r="P515" i="1"/>
  <c r="R515" i="1" s="1"/>
  <c r="S515" i="1" s="1"/>
  <c r="P511" i="1"/>
  <c r="R511" i="1" s="1"/>
  <c r="S511" i="1" s="1"/>
  <c r="P526" i="1"/>
  <c r="R526" i="1" s="1"/>
  <c r="S526" i="1" s="1"/>
  <c r="P545" i="1"/>
  <c r="R545" i="1" s="1"/>
  <c r="S545" i="1" s="1"/>
  <c r="P505" i="1"/>
  <c r="R505" i="1" s="1"/>
  <c r="S505" i="1" s="1"/>
  <c r="P539" i="1"/>
  <c r="R539" i="1" s="1"/>
  <c r="S539" i="1" s="1"/>
  <c r="P510" i="1"/>
  <c r="R510" i="1" s="1"/>
  <c r="S510" i="1" s="1"/>
  <c r="P519" i="1"/>
  <c r="R519" i="1" s="1"/>
  <c r="S519" i="1" s="1"/>
  <c r="P501" i="1"/>
  <c r="R501" i="1" s="1"/>
  <c r="S501" i="1" s="1"/>
  <c r="P516" i="1"/>
  <c r="R516" i="1" s="1"/>
  <c r="S516" i="1" s="1"/>
  <c r="P576" i="1"/>
  <c r="R576" i="1" s="1"/>
  <c r="S576" i="1" s="1"/>
  <c r="P572" i="1"/>
  <c r="R572" i="1" s="1"/>
  <c r="S572" i="1" s="1"/>
  <c r="P514" i="1"/>
  <c r="R514" i="1" s="1"/>
  <c r="S514" i="1" s="1"/>
  <c r="P577" i="1"/>
  <c r="R577" i="1" s="1"/>
  <c r="S577" i="1" s="1"/>
  <c r="P566" i="1"/>
  <c r="R566" i="1" s="1"/>
  <c r="S566" i="1" s="1"/>
  <c r="P592" i="1"/>
  <c r="R592" i="1" s="1"/>
  <c r="S592" i="1" s="1"/>
  <c r="P470" i="1"/>
  <c r="R470" i="1" s="1"/>
  <c r="S470" i="1" s="1"/>
  <c r="P495" i="1"/>
  <c r="R495" i="1" s="1"/>
  <c r="S495" i="1" s="1"/>
  <c r="P492" i="1"/>
  <c r="R492" i="1" s="1"/>
  <c r="S492" i="1" s="1"/>
  <c r="P469" i="1"/>
  <c r="R469" i="1" s="1"/>
  <c r="S469" i="1" s="1"/>
  <c r="P480" i="1"/>
  <c r="R480" i="1" s="1"/>
  <c r="S480" i="1" s="1"/>
  <c r="P440" i="1"/>
  <c r="R440" i="1" s="1"/>
  <c r="S440" i="1" s="1"/>
  <c r="P424" i="1"/>
  <c r="R424" i="1" s="1"/>
  <c r="S424" i="1" s="1"/>
  <c r="P476" i="1"/>
  <c r="R476" i="1" s="1"/>
  <c r="S476" i="1" s="1"/>
  <c r="P414" i="1"/>
  <c r="R414" i="1" s="1"/>
  <c r="S414" i="1" s="1"/>
  <c r="P484" i="1"/>
  <c r="R484" i="1" s="1"/>
  <c r="S484" i="1" s="1"/>
  <c r="P432" i="1"/>
  <c r="R432" i="1" s="1"/>
  <c r="S432" i="1" s="1"/>
  <c r="P452" i="1"/>
  <c r="R452" i="1" s="1"/>
  <c r="S452" i="1" s="1"/>
  <c r="P437" i="1"/>
  <c r="R437" i="1" s="1"/>
  <c r="S437" i="1" s="1"/>
  <c r="P456" i="1"/>
  <c r="R456" i="1" s="1"/>
  <c r="S456" i="1" s="1"/>
  <c r="P405" i="1"/>
  <c r="R405" i="1" s="1"/>
  <c r="S405" i="1" s="1"/>
  <c r="P454" i="1"/>
  <c r="R454" i="1" s="1"/>
  <c r="S454" i="1" s="1"/>
  <c r="P465" i="1"/>
  <c r="R465" i="1" s="1"/>
  <c r="S465" i="1" s="1"/>
  <c r="P434" i="1"/>
  <c r="R434" i="1" s="1"/>
  <c r="S434" i="1" s="1"/>
  <c r="P436" i="1"/>
  <c r="R436" i="1" s="1"/>
  <c r="S436" i="1" s="1"/>
  <c r="P461" i="1"/>
  <c r="R461" i="1" s="1"/>
  <c r="S461" i="1" s="1"/>
  <c r="P489" i="1"/>
  <c r="R489" i="1" s="1"/>
  <c r="S489" i="1" s="1"/>
  <c r="P449" i="1"/>
  <c r="R449" i="1" s="1"/>
  <c r="S449" i="1" s="1"/>
  <c r="P412" i="1"/>
  <c r="R412" i="1" s="1"/>
  <c r="S412" i="1" s="1"/>
  <c r="P431" i="1"/>
  <c r="R431" i="1" s="1"/>
  <c r="S431" i="1" s="1"/>
  <c r="P348" i="1"/>
  <c r="R348" i="1" s="1"/>
  <c r="S348" i="1" s="1"/>
  <c r="P394" i="1"/>
  <c r="R394" i="1" s="1"/>
  <c r="S394" i="1" s="1"/>
  <c r="P390" i="1"/>
  <c r="R390" i="1" s="1"/>
  <c r="S390" i="1" s="1"/>
  <c r="P389" i="1"/>
  <c r="R389" i="1" s="1"/>
  <c r="S389" i="1" s="1"/>
  <c r="P329" i="1"/>
  <c r="R329" i="1" s="1"/>
  <c r="S329" i="1" s="1"/>
  <c r="P344" i="1"/>
  <c r="R344" i="1" s="1"/>
  <c r="S344" i="1" s="1"/>
  <c r="P346" i="1"/>
  <c r="R346" i="1" s="1"/>
  <c r="S346" i="1" s="1"/>
  <c r="P318" i="1"/>
  <c r="R318" i="1" s="1"/>
  <c r="S318" i="1" s="1"/>
  <c r="P338" i="1"/>
  <c r="R338" i="1" s="1"/>
  <c r="S338" i="1" s="1"/>
  <c r="P388" i="1"/>
  <c r="R388" i="1" s="1"/>
  <c r="S388" i="1" s="1"/>
  <c r="P354" i="1"/>
  <c r="R354" i="1" s="1"/>
  <c r="S354" i="1" s="1"/>
  <c r="P308" i="1"/>
  <c r="R308" i="1" s="1"/>
  <c r="S308" i="1" s="1"/>
  <c r="P357" i="1"/>
  <c r="R357" i="1" s="1"/>
  <c r="S357" i="1" s="1"/>
  <c r="P319" i="1"/>
  <c r="R319" i="1" s="1"/>
  <c r="S319" i="1" s="1"/>
  <c r="P307" i="1"/>
  <c r="R307" i="1" s="1"/>
  <c r="S307" i="1" s="1"/>
  <c r="P343" i="1"/>
  <c r="R343" i="1" s="1"/>
  <c r="S343" i="1" s="1"/>
  <c r="P326" i="1"/>
  <c r="R326" i="1" s="1"/>
  <c r="S326" i="1" s="1"/>
  <c r="P375" i="1"/>
  <c r="R375" i="1" s="1"/>
  <c r="S375" i="1" s="1"/>
  <c r="P311" i="1"/>
  <c r="R311" i="1" s="1"/>
  <c r="S311" i="1" s="1"/>
  <c r="P335" i="1"/>
  <c r="R335" i="1" s="1"/>
  <c r="S335" i="1" s="1"/>
  <c r="P383" i="1"/>
  <c r="R383" i="1" s="1"/>
  <c r="S383" i="1" s="1"/>
  <c r="P382" i="1"/>
  <c r="R382" i="1" s="1"/>
  <c r="S382" i="1" s="1"/>
  <c r="P363" i="1"/>
  <c r="R363" i="1" s="1"/>
  <c r="S363" i="1" s="1"/>
  <c r="P371" i="1"/>
  <c r="R371" i="1" s="1"/>
  <c r="S371" i="1" s="1"/>
  <c r="P263" i="1"/>
  <c r="R263" i="1" s="1"/>
  <c r="S263" i="1" s="1"/>
  <c r="P224" i="1"/>
  <c r="R224" i="1" s="1"/>
  <c r="S224" i="1" s="1"/>
  <c r="P210" i="1"/>
  <c r="R210" i="1" s="1"/>
  <c r="S210" i="1" s="1"/>
  <c r="P223" i="1"/>
  <c r="R223" i="1" s="1"/>
  <c r="S223" i="1" s="1"/>
  <c r="P279" i="1"/>
  <c r="R279" i="1" s="1"/>
  <c r="S279" i="1" s="1"/>
  <c r="P278" i="1"/>
  <c r="R278" i="1" s="1"/>
  <c r="S278" i="1" s="1"/>
  <c r="P228" i="1"/>
  <c r="R228" i="1" s="1"/>
  <c r="S228" i="1" s="1"/>
  <c r="P227" i="1"/>
  <c r="R227" i="1" s="1"/>
  <c r="S227" i="1" s="1"/>
  <c r="P302" i="1"/>
  <c r="R302" i="1" s="1"/>
  <c r="S302" i="1" s="1"/>
  <c r="P255" i="1"/>
  <c r="R255" i="1" s="1"/>
  <c r="S255" i="1" s="1"/>
  <c r="P244" i="1"/>
  <c r="R244" i="1" s="1"/>
  <c r="S244" i="1" s="1"/>
  <c r="P284" i="1"/>
  <c r="R284" i="1" s="1"/>
  <c r="S284" i="1" s="1"/>
  <c r="P303" i="1"/>
  <c r="R303" i="1" s="1"/>
  <c r="S303" i="1" s="1"/>
  <c r="P268" i="1"/>
  <c r="R268" i="1" s="1"/>
  <c r="S268" i="1" s="1"/>
  <c r="P253" i="1"/>
  <c r="R253" i="1" s="1"/>
  <c r="S253" i="1" s="1"/>
  <c r="P283" i="1"/>
  <c r="R283" i="1" s="1"/>
  <c r="S283" i="1" s="1"/>
  <c r="P291" i="1"/>
  <c r="R291" i="1" s="1"/>
  <c r="S291" i="1" s="1"/>
  <c r="P293" i="1"/>
  <c r="R293" i="1" s="1"/>
  <c r="S293" i="1" s="1"/>
  <c r="P219" i="1"/>
  <c r="R219" i="1" s="1"/>
  <c r="S219" i="1" s="1"/>
  <c r="P136" i="1"/>
  <c r="R136" i="1" s="1"/>
  <c r="S136" i="1" s="1"/>
  <c r="P115" i="1"/>
  <c r="R115" i="1" s="1"/>
  <c r="S115" i="1" s="1"/>
  <c r="P129" i="1"/>
  <c r="R129" i="1" s="1"/>
  <c r="S129" i="1" s="1"/>
  <c r="P119" i="1"/>
  <c r="R119" i="1" s="1"/>
  <c r="S119" i="1" s="1"/>
  <c r="P117" i="1"/>
  <c r="R117" i="1" s="1"/>
  <c r="S117" i="1" s="1"/>
  <c r="P174" i="1"/>
  <c r="R174" i="1" s="1"/>
  <c r="S174" i="1" s="1"/>
  <c r="P169" i="1"/>
  <c r="R169" i="1" s="1"/>
  <c r="S169" i="1" s="1"/>
  <c r="P203" i="1"/>
  <c r="R203" i="1" s="1"/>
  <c r="S203" i="1" s="1"/>
  <c r="P183" i="1"/>
  <c r="R183" i="1" s="1"/>
  <c r="S183" i="1" s="1"/>
  <c r="P164" i="1"/>
  <c r="R164" i="1" s="1"/>
  <c r="S164" i="1" s="1"/>
  <c r="P159" i="1"/>
  <c r="R159" i="1" s="1"/>
  <c r="S159" i="1" s="1"/>
  <c r="P179" i="1"/>
  <c r="R179" i="1" s="1"/>
  <c r="S179" i="1" s="1"/>
  <c r="P186" i="1"/>
  <c r="R186" i="1" s="1"/>
  <c r="S186" i="1" s="1"/>
  <c r="P188" i="1"/>
  <c r="R188" i="1" s="1"/>
  <c r="S188" i="1" s="1"/>
  <c r="P170" i="1"/>
  <c r="R170" i="1" s="1"/>
  <c r="S170" i="1" s="1"/>
  <c r="P207" i="1"/>
  <c r="R207" i="1" s="1"/>
  <c r="S207" i="1" s="1"/>
  <c r="P120" i="1"/>
  <c r="R120" i="1" s="1"/>
  <c r="S120" i="1" s="1"/>
  <c r="P191" i="1"/>
  <c r="R191" i="1" s="1"/>
  <c r="S191" i="1" s="1"/>
  <c r="P118" i="1"/>
  <c r="R118" i="1" s="1"/>
  <c r="S118" i="1" s="1"/>
  <c r="P143" i="1"/>
  <c r="R143" i="1" s="1"/>
  <c r="S143" i="1" s="1"/>
  <c r="P204" i="1"/>
  <c r="R204" i="1" s="1"/>
  <c r="S204" i="1" s="1"/>
  <c r="P134" i="1"/>
  <c r="R134" i="1" s="1"/>
  <c r="S134" i="1" s="1"/>
  <c r="P123" i="1"/>
  <c r="R123" i="1" s="1"/>
  <c r="S123" i="1" s="1"/>
  <c r="P61" i="1"/>
  <c r="R61" i="1" s="1"/>
  <c r="S61" i="1" s="1"/>
  <c r="P94" i="1"/>
  <c r="R94" i="1" s="1"/>
  <c r="S94" i="1" s="1"/>
  <c r="P91" i="1"/>
  <c r="R91" i="1" s="1"/>
  <c r="S91" i="1" s="1"/>
  <c r="P100" i="1"/>
  <c r="R100" i="1" s="1"/>
  <c r="S100" i="1" s="1"/>
  <c r="P45" i="1"/>
  <c r="R45" i="1" s="1"/>
  <c r="S45" i="1" s="1"/>
  <c r="P66" i="1"/>
  <c r="R66" i="1" s="1"/>
  <c r="S66" i="1" s="1"/>
  <c r="P106" i="1"/>
  <c r="R106" i="1" s="1"/>
  <c r="S106" i="1" s="1"/>
  <c r="P25" i="1"/>
  <c r="R25" i="1" s="1"/>
  <c r="S25" i="1" s="1"/>
  <c r="P60" i="1"/>
  <c r="R60" i="1" s="1"/>
  <c r="S60" i="1" s="1"/>
  <c r="P70" i="1"/>
  <c r="R70" i="1" s="1"/>
  <c r="S70" i="1" s="1"/>
  <c r="P82" i="1"/>
  <c r="R82" i="1" s="1"/>
  <c r="S82" i="1" s="1"/>
  <c r="P34" i="1"/>
  <c r="R34" i="1" s="1"/>
  <c r="S34" i="1" s="1"/>
  <c r="P101" i="1"/>
  <c r="R101" i="1" s="1"/>
  <c r="S101" i="1" s="1"/>
  <c r="P86" i="1"/>
  <c r="R86" i="1" s="1"/>
  <c r="S86" i="1" s="1"/>
  <c r="P72" i="1"/>
  <c r="R72" i="1" s="1"/>
  <c r="S72" i="1" s="1"/>
  <c r="P95" i="1"/>
  <c r="R95" i="1" s="1"/>
  <c r="S95" i="1" s="1"/>
  <c r="P80" i="1"/>
  <c r="R80" i="1" s="1"/>
  <c r="S80" i="1" s="1"/>
  <c r="P87" i="1"/>
  <c r="R87" i="1" s="1"/>
  <c r="S87" i="1" s="1"/>
  <c r="P79" i="1"/>
  <c r="R79" i="1" s="1"/>
  <c r="S79" i="1" s="1"/>
  <c r="P32" i="1"/>
  <c r="R32" i="1" s="1"/>
  <c r="S32" i="1" s="1"/>
  <c r="P77" i="1"/>
  <c r="R77" i="1" s="1"/>
  <c r="S77" i="1" s="1"/>
  <c r="P56" i="1"/>
  <c r="R56" i="1" s="1"/>
  <c r="S56" i="1" s="1"/>
  <c r="R21" i="1"/>
  <c r="S21" i="1" s="1"/>
  <c r="P41" i="1"/>
  <c r="R41" i="1" s="1"/>
  <c r="S41" i="1" s="1"/>
  <c r="P89" i="1"/>
  <c r="R89" i="1" s="1"/>
  <c r="S89" i="1" s="1"/>
  <c r="P81" i="1"/>
  <c r="R81" i="1" s="1"/>
  <c r="S81" i="1" s="1"/>
  <c r="P51" i="1"/>
  <c r="R51" i="1" s="1"/>
  <c r="S51" i="1" s="1"/>
  <c r="P30" i="1"/>
  <c r="R30" i="1" s="1"/>
  <c r="S30" i="1" s="1"/>
  <c r="P53" i="1"/>
  <c r="R53" i="1" s="1"/>
  <c r="S53" i="1" s="1"/>
  <c r="P18" i="1"/>
  <c r="R18" i="1" s="1"/>
  <c r="S18" i="1" s="1"/>
  <c r="C700" i="1"/>
  <c r="B700" i="1"/>
  <c r="F700" i="1"/>
  <c r="D700" i="1"/>
  <c r="P520" i="1"/>
  <c r="R520" i="1" s="1"/>
  <c r="S520" i="1" s="1"/>
  <c r="P619" i="1"/>
  <c r="R619" i="1" s="1"/>
  <c r="S619" i="1" s="1"/>
  <c r="P132" i="1"/>
  <c r="R132" i="1" s="1"/>
  <c r="S132" i="1" s="1"/>
  <c r="B707" i="1"/>
  <c r="D707" i="1" s="1"/>
  <c r="F707" i="1" s="1"/>
  <c r="P445" i="1"/>
  <c r="R445" i="1" s="1"/>
  <c r="S445" i="1" s="1"/>
  <c r="P133" i="1"/>
  <c r="R133" i="1" s="1"/>
  <c r="S133" i="1" s="1"/>
  <c r="P238" i="1"/>
  <c r="R238" i="1" s="1"/>
  <c r="S238" i="1" s="1"/>
  <c r="P525" i="1"/>
  <c r="R525" i="1" s="1"/>
  <c r="S525" i="1" s="1"/>
  <c r="E696" i="1" l="1"/>
  <c r="G696" i="1" s="1"/>
  <c r="H696" i="1" s="1"/>
  <c r="E693" i="1"/>
  <c r="G693" i="1" s="1"/>
  <c r="H693" i="1" s="1"/>
  <c r="E695" i="1"/>
  <c r="G695" i="1" s="1"/>
  <c r="H695" i="1" s="1"/>
  <c r="B704" i="1"/>
  <c r="D704" i="1" s="1"/>
  <c r="F704" i="1" s="1"/>
  <c r="F12" i="1"/>
  <c r="B705" i="1"/>
  <c r="D705" i="1" s="1"/>
  <c r="F705" i="1" s="1"/>
  <c r="E694" i="1"/>
  <c r="G694" i="1" s="1"/>
  <c r="H694" i="1" s="1"/>
  <c r="E699" i="1"/>
  <c r="G699" i="1" s="1"/>
  <c r="H699" i="1" s="1"/>
  <c r="E698" i="1"/>
  <c r="G698" i="1" s="1"/>
  <c r="H698" i="1" s="1"/>
  <c r="F9" i="1"/>
  <c r="F11" i="1" s="1"/>
  <c r="E697" i="1"/>
  <c r="G697" i="1" s="1"/>
  <c r="H697" i="1" s="1"/>
  <c r="A709" i="1" l="1"/>
  <c r="E700" i="1"/>
  <c r="G700" i="1" s="1"/>
  <c r="H700" i="1" s="1"/>
  <c r="F1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<sst xmlns="http://schemas.openxmlformats.org/spreadsheetml/2006/main" count="757" uniqueCount="175">
  <si>
    <t>Regulatory deviation + settlement deviation = zero</t>
  </si>
  <si>
    <t>Deviation sign bridge</t>
  </si>
  <si>
    <t>Schedule, actual and reference rate</t>
  </si>
  <si>
    <t>Required source inputs complete</t>
  </si>
  <si>
    <t>All 672 time blocks should reconcile</t>
  </si>
  <si>
    <t>Time-block mismatch count</t>
  </si>
  <si>
    <t>Calculated vs source amount</t>
  </si>
  <si>
    <t>DSM total reconciliation</t>
  </si>
  <si>
    <t>Notes</t>
  </si>
  <si>
    <t>Status</t>
  </si>
  <si>
    <t>Tolerance</t>
  </si>
  <si>
    <t>Difference</t>
  </si>
  <si>
    <t>Expected</t>
  </si>
  <si>
    <t>Actual</t>
  </si>
  <si>
    <t>Check</t>
  </si>
  <si>
    <t>Audit Checks</t>
  </si>
  <si>
    <t>TOTAL</t>
  </si>
  <si>
    <t>Regulatory Deviation MWh</t>
  </si>
  <si>
    <t>Actual MWh</t>
  </si>
  <si>
    <t>Scheduled MWh</t>
  </si>
  <si>
    <t>Date</t>
  </si>
  <si>
    <t>Daily Summary</t>
  </si>
  <si>
    <t>23:45–00:00</t>
  </si>
  <si>
    <t>23:30–23:45</t>
  </si>
  <si>
    <t>23:15–23:30</t>
  </si>
  <si>
    <t>23:00–23:15</t>
  </si>
  <si>
    <t>22:45–23:00</t>
  </si>
  <si>
    <t>22:30–22:45</t>
  </si>
  <si>
    <t>22:15–22:30</t>
  </si>
  <si>
    <t>22:00–22:15</t>
  </si>
  <si>
    <t>21:45–22:00</t>
  </si>
  <si>
    <t>21:30–21:45</t>
  </si>
  <si>
    <t>21:15–21:30</t>
  </si>
  <si>
    <t>21:00–21:15</t>
  </si>
  <si>
    <t>20:45–21:00</t>
  </si>
  <si>
    <t>20:30–20:45</t>
  </si>
  <si>
    <t>20:15–20:30</t>
  </si>
  <si>
    <t>20:00–20:15</t>
  </si>
  <si>
    <t>19:45–20:00</t>
  </si>
  <si>
    <t>19:30–19:45</t>
  </si>
  <si>
    <t>19:15–19:30</t>
  </si>
  <si>
    <t>19:00–19:15</t>
  </si>
  <si>
    <t>18:45–19:00</t>
  </si>
  <si>
    <t>18:30–18:45</t>
  </si>
  <si>
    <t>18:15–18:30</t>
  </si>
  <si>
    <t>18:00–18:15</t>
  </si>
  <si>
    <t>17:45–18:00</t>
  </si>
  <si>
    <t>17:30–17:45</t>
  </si>
  <si>
    <t>17:15–17:30</t>
  </si>
  <si>
    <t>17:00–17:15</t>
  </si>
  <si>
    <t>16:45–17:00</t>
  </si>
  <si>
    <t>16:30–16:45</t>
  </si>
  <si>
    <t>16:15–16:30</t>
  </si>
  <si>
    <t>16:00–16:15</t>
  </si>
  <si>
    <t>15:45–16:00</t>
  </si>
  <si>
    <t>15:30–15:45</t>
  </si>
  <si>
    <t>15:15–15:30</t>
  </si>
  <si>
    <t>15:00–15:15</t>
  </si>
  <si>
    <t>14:45–15:00</t>
  </si>
  <si>
    <t>14:30–14:45</t>
  </si>
  <si>
    <t>14:15–14:30</t>
  </si>
  <si>
    <t>14:00–14:15</t>
  </si>
  <si>
    <t>13:45–14:00</t>
  </si>
  <si>
    <t>13:30–13:45</t>
  </si>
  <si>
    <t>13:15–13:30</t>
  </si>
  <si>
    <t>13:00–13:15</t>
  </si>
  <si>
    <t>12:45–13:00</t>
  </si>
  <si>
    <t>12:30–12:45</t>
  </si>
  <si>
    <t>12:15–12:30</t>
  </si>
  <si>
    <t>12:00–12:15</t>
  </si>
  <si>
    <t>11:45–12:00</t>
  </si>
  <si>
    <t>11:30–11:45</t>
  </si>
  <si>
    <t>11:15–11:30</t>
  </si>
  <si>
    <t>11:00–11:15</t>
  </si>
  <si>
    <t>10:45–11:00</t>
  </si>
  <si>
    <t>10:30–10:45</t>
  </si>
  <si>
    <t>10:15–10:30</t>
  </si>
  <si>
    <t>10:00–10:15</t>
  </si>
  <si>
    <t>09:45–10:00</t>
  </si>
  <si>
    <t>09:30–09:45</t>
  </si>
  <si>
    <t>09:15–09:30</t>
  </si>
  <si>
    <t>09:00–09:15</t>
  </si>
  <si>
    <t>08:45–09:00</t>
  </si>
  <si>
    <t>08:30–08:45</t>
  </si>
  <si>
    <t>08:15–08:30</t>
  </si>
  <si>
    <t>08:00–08:15</t>
  </si>
  <si>
    <t>07:45–08:00</t>
  </si>
  <si>
    <t>07:30–07:45</t>
  </si>
  <si>
    <t>07:15–07:30</t>
  </si>
  <si>
    <t>07:00–07:15</t>
  </si>
  <si>
    <t>06:45–07:00</t>
  </si>
  <si>
    <t>06:30–06:45</t>
  </si>
  <si>
    <t>06:15–06:30</t>
  </si>
  <si>
    <t>06:00–06:15</t>
  </si>
  <si>
    <t>05:45–06:00</t>
  </si>
  <si>
    <t>05:30–05:45</t>
  </si>
  <si>
    <t>05:15–05:30</t>
  </si>
  <si>
    <t>05:00–05:15</t>
  </si>
  <si>
    <t>04:45–05:00</t>
  </si>
  <si>
    <t>04:30–04:45</t>
  </si>
  <si>
    <t>04:15–04:30</t>
  </si>
  <si>
    <t>04:00–04:15</t>
  </si>
  <si>
    <t>03:45–04:00</t>
  </si>
  <si>
    <t>03:30–03:45</t>
  </si>
  <si>
    <t>03:15–03:30</t>
  </si>
  <si>
    <t>03:00–03:15</t>
  </si>
  <si>
    <t>02:45–03:00</t>
  </si>
  <si>
    <t>02:30–02:45</t>
  </si>
  <si>
    <t>02:15–02:30</t>
  </si>
  <si>
    <t>02:00–02:15</t>
  </si>
  <si>
    <t>01:45–02:00</t>
  </si>
  <si>
    <t>01:30–01:45</t>
  </si>
  <si>
    <t>01:15–01:30</t>
  </si>
  <si>
    <t>01:00–01:15</t>
  </si>
  <si>
    <t>00:45–01:00</t>
  </si>
  <si>
    <t>00:30–00:45</t>
  </si>
  <si>
    <t>00:15–00:30</t>
  </si>
  <si>
    <t>00:00–00:15</t>
  </si>
  <si>
    <t>Band 3 Qty MW</t>
  </si>
  <si>
    <t>Band 2 Qty MW</t>
  </si>
  <si>
    <t>Band 1 Qty MW</t>
  </si>
  <si>
    <t>Band 2 Limit MW</t>
  </si>
  <si>
    <t>Band 1 Limit MW</t>
  </si>
  <si>
    <t>Settlement Deviation MW
(Schedule − Actual)</t>
  </si>
  <si>
    <t>Direction</t>
  </si>
  <si>
    <t>Regulatory Deviation %</t>
  </si>
  <si>
    <t>Regulatory Deviation MW
(Actual − Schedule)</t>
  </si>
  <si>
    <t>Actual MW</t>
  </si>
  <si>
    <t>Scheduled MW</t>
  </si>
  <si>
    <t>Time Block</t>
  </si>
  <si>
    <t>Block</t>
  </si>
  <si>
    <t>Detailed 15-Minute Time-Block Calculation</t>
  </si>
  <si>
    <t>Beyond Band 2</t>
  </si>
  <si>
    <t>Under-injection Band 3 multiplier</t>
  </si>
  <si>
    <t>Model status</t>
  </si>
  <si>
    <t>Band 1 to Band 2</t>
  </si>
  <si>
    <t>Under-injection Band 2 multiplier</t>
  </si>
  <si>
    <t>Mismatch blocks</t>
  </si>
  <si>
    <t>Up to Band 1</t>
  </si>
  <si>
    <t>Under-injection Band 1 multiplier</t>
  </si>
  <si>
    <t>Eligible quantity up to Band 1; beyond = zero</t>
  </si>
  <si>
    <t>Over-injection multiplier</t>
  </si>
  <si>
    <t>Band 2 limit (MW cap)</t>
  </si>
  <si>
    <t>Lower of 20% DGS or 40 MW</t>
  </si>
  <si>
    <t>Band 2 limit (% of schedule)</t>
  </si>
  <si>
    <t>Regulatory deviation (MWh)</t>
  </si>
  <si>
    <t>Band 1 limit (MW cap)</t>
  </si>
  <si>
    <t>Actual energy (MWh)</t>
  </si>
  <si>
    <t>Lower of 15% DGS or 30 MW</t>
  </si>
  <si>
    <t>Band 1 limit (% of schedule)</t>
  </si>
  <si>
    <t>Scheduled energy (MWh)</t>
  </si>
  <si>
    <t>15-minute blocks</t>
  </si>
  <si>
    <t>Time-block duration (hours)</t>
  </si>
  <si>
    <t>Time blocks</t>
  </si>
  <si>
    <t>HPERC Regulation 7(2)</t>
  </si>
  <si>
    <t>RoR generating station</t>
  </si>
  <si>
    <t>Entity classification</t>
  </si>
  <si>
    <t>Reconciliation Summary</t>
  </si>
  <si>
    <t>Regulatory Inputs</t>
  </si>
  <si>
    <t>Kundan Green Energy - DSM Calculation &amp; Regulatory Reconciliation</t>
  </si>
  <si>
    <t xml:space="preserve"> HPERC DSM Regulations, 2024 read with Second Amendment Regulations, 2025 | RoR seller methodology</t>
  </si>
  <si>
    <t xml:space="preserve">Source DSM </t>
  </si>
  <si>
    <t xml:space="preserve">Variance </t>
  </si>
  <si>
    <t xml:space="preserve">Calculated DSM </t>
  </si>
  <si>
    <t>Reference Rate Rs/kWh</t>
  </si>
  <si>
    <t>Calculated DSM amount (Rs)</t>
  </si>
  <si>
    <t>Source DSM amount (Rs)</t>
  </si>
  <si>
    <t>Difference (Rs)</t>
  </si>
  <si>
    <t>04.05.2026</t>
  </si>
  <si>
    <t>05.05.2026</t>
  </si>
  <si>
    <t>06.05.2026</t>
  </si>
  <si>
    <t>07.05.2026</t>
  </si>
  <si>
    <t>08.05.2026</t>
  </si>
  <si>
    <t>09.05.2026</t>
  </si>
  <si>
    <t>10.05.2026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</si>
</sst>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00000;[Red]\(#,##0.000000\);\-"/>
    <numFmt numFmtId="165" formatCode="#,##0.00;[Red]\(#,##0.00\);\-"/>
    <numFmt numFmtId="166" formatCode="#,##0.000"/>
    <numFmt numFmtId="167" formatCode="0.0%"/>
  </numFmts>
  <fonts count="15" x14ac:knownFonts="1">
    <font>
      <sz val="11"/>
      <color theme="1"/>
      <name val="Calibri"/>
      <family val="2"/>
    </font>
    <font>
      <b/>
      <sz val="12"/>
      <color rgb="FF006100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sz val="9"/>
      <color rgb="FF1F1F1F"/>
      <name val="Calibri"/>
      <family val="2"/>
    </font>
    <font>
      <i/>
      <sz val="11"/>
      <color rgb="FF666666"/>
      <name val="Calibri"/>
      <family val="2"/>
    </font>
    <font>
      <sz val="11"/>
      <color rgb="FF0000FF"/>
      <name val="Calibri"/>
      <family val="2"/>
    </font>
    <font>
      <b/>
      <sz val="11"/>
      <color rgb="FF006100"/>
      <name val="Calibri"/>
      <family val="2"/>
    </font>
    <font>
      <b/>
      <sz val="11"/>
      <color rgb="FF000000"/>
      <name val="Calibri"/>
      <family val="2"/>
    </font>
    <font>
      <sz val="9"/>
      <color rgb="FF0563C1"/>
      <name val="Calibri"/>
      <family val="2"/>
    </font>
    <font>
      <i/>
      <sz val="10"/>
      <color rgb="FF17365D"/>
      <name val="Calibri"/>
      <family val="2"/>
    </font>
    <font>
      <b/>
      <sz val="16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29">
    <border>
      <left/>
      <right/>
      <top/>
      <bottom/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double">
        <color rgb="FF4472C4"/>
      </top>
      <bottom/>
      <diagonal/>
    </border>
    <border>
      <left/>
      <right style="thin">
        <color rgb="FFD9E2F3"/>
      </right>
      <top style="double">
        <color rgb="FF4472C4"/>
      </top>
      <bottom/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/>
      <right/>
      <top/>
      <bottom style="thin">
        <color rgb="FF9EADBA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9EADBA"/>
      </right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/>
      <right/>
      <top style="thin">
        <color rgb="FF9EADBA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43" fontId="6" fillId="0" borderId="0" xfId="0" applyNumberFormat="1" applyFont="1" applyAlignment="1" applyProtection="1">
      <alignment horizontal="center" vertical="center"/>
      <protection locked="0"/>
    </xf>
    <xf numFmtId="43" fontId="6" fillId="0" borderId="28" xfId="0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2" borderId="26" xfId="0" applyFill="1" applyBorder="1" applyAlignment="1">
      <alignment horizontal="center" vertical="center" wrapText="1"/>
    </xf>
    <xf numFmtId="0" fontId="9" fillId="7" borderId="27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2" fontId="9" fillId="7" borderId="0" xfId="0" applyNumberFormat="1" applyFont="1" applyFill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166" fontId="11" fillId="0" borderId="21" xfId="0" applyNumberFormat="1" applyFont="1" applyBorder="1" applyAlignment="1">
      <alignment horizontal="center" vertical="center" wrapText="1"/>
    </xf>
    <xf numFmtId="167" fontId="9" fillId="7" borderId="0" xfId="0" applyNumberFormat="1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165" fontId="11" fillId="0" borderId="21" xfId="0" applyNumberFormat="1" applyFont="1" applyBorder="1" applyAlignment="1">
      <alignment horizontal="center" vertical="center" wrapText="1"/>
    </xf>
    <xf numFmtId="3" fontId="11" fillId="0" borderId="21" xfId="0" applyNumberFormat="1" applyFont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167" fontId="9" fillId="7" borderId="18" xfId="0" applyNumberFormat="1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166" fontId="4" fillId="6" borderId="13" xfId="0" applyNumberFormat="1" applyFont="1" applyFill="1" applyBorder="1" applyAlignment="1">
      <alignment horizontal="center" vertical="center"/>
    </xf>
    <xf numFmtId="165" fontId="4" fillId="6" borderId="13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14" fillId="8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5" borderId="18" xfId="0" applyFont="1" applyFill="1" applyBorder="1" applyAlignment="1">
      <alignment horizontal="center" vertical="center"/>
    </xf>
  </cellXfs>
  <cellStyles count="1">
    <cellStyle name="Normal" xfId="0" builtinId="0"/>
  </cellStyles>
  <dxfs count="29"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vertic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protection locked="1" hidden="0"/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SMDetailTable" displayName="DSMDetailTable" ref="A17:S689" totalsRowShown="0" headerRowDxfId="20" dataDxfId="19">
  <autoFilter ref="A17:S689"/>
  <tableColumns count="19">
    <tableColumn id="1" name="Date" dataDxfId="18"/>
    <tableColumn id="2" name="Block" dataDxfId="17"/>
    <tableColumn id="3" name="Time Block" dataDxfId="16"/>
    <tableColumn id="4" name="Scheduled MW" dataDxfId="15"/>
    <tableColumn id="5" name="Actual MW" dataDxfId="14"/>
    <tableColumn id="6" name="Regulatory Deviation MW_x000a_(Actual − Schedule)" dataDxfId="13">
      <calculatedColumnFormula>E18-D18</calculatedColumnFormula>
    </tableColumn>
    <tableColumn id="7" name="Regulatory Deviation %" dataDxfId="12">
      <calculatedColumnFormula>IF(D18=0,0,F18/D18)</calculatedColumnFormula>
    </tableColumn>
    <tableColumn id="8" name="Direction" dataDxfId="11">
      <calculatedColumnFormula>IF(E18&gt;D18,"🟢 Over-injection",IF(E18&lt;D18,"🔴 Under-injection","⚪ Nil"))</calculatedColumnFormula>
    </tableColumn>
    <tableColumn id="9" name="Settlement Deviation MW_x000a_(Schedule − Actual)" dataDxfId="10">
      <calculatedColumnFormula>-F18</calculatedColumnFormula>
    </tableColumn>
    <tableColumn id="12" name="Reference Rate Rs/kWh" dataDxfId="9"/>
    <tableColumn id="13" name="Band 1 Limit MW" dataDxfId="8">
      <calculatedColumnFormula>MIN(ABS(D18)*$B$7,$B$8)</calculatedColumnFormula>
    </tableColumn>
    <tableColumn id="14" name="Band 2 Limit MW" dataDxfId="7">
      <calculatedColumnFormula>MIN(ABS(D18)*$B$9,$B$10)</calculatedColumnFormula>
    </tableColumn>
    <tableColumn id="15" name="Band 1 Qty MW" dataDxfId="6">
      <calculatedColumnFormula>MIN(ABS(F18),K18)</calculatedColumnFormula>
    </tableColumn>
    <tableColumn id="16" name="Band 2 Qty MW" dataDxfId="5">
      <calculatedColumnFormula>IF(F18&lt;0,MIN(MAX(ABS(F18)-K18,0),MAX(L18-K18,0)),0)</calculatedColumnFormula>
    </tableColumn>
    <tableColumn id="17" name="Band 3 Qty MW" dataDxfId="4">
      <calculatedColumnFormula>IF(F18&lt;0,MAX(ABS(F18)-L18,0),0)</calculatedColumnFormula>
    </tableColumn>
    <tableColumn id="18" name="Calculated DSM " dataDxfId="3">
      <calculatedColumnFormula>IF(F18&gt;0,-M18*$B$11*J18*$B$6*1000,IF(F18&lt;0,(M18*$B$12+N18*$B$13+O18*$B$14)*J18*$B$6*1000,0))</calculatedColumnFormula>
    </tableColumn>
    <tableColumn id="19" name="Source DSM " dataDxfId="2"/>
    <tableColumn id="20" name="Variance " dataDxfId="1">
      <calculatedColumnFormula>P18-Q18</calculatedColumnFormula>
    </tableColumn>
    <tableColumn id="21" name="Check" dataDxfId="0">
      <calculatedColumnFormula>IF(ABS(R18)&lt;=0.01,"OK","REVIEW")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9"/>
  <sheetViews>
    <sheetView showGridLines="0" tabSelected="1" topLeftCell="A686" workbookViewId="0">
      <selection activeCell="C713" sqref="C713"/>
    </sheetView>
  </sheetViews>
  <sheetFormatPr defaultColWidth="8.85546875" defaultRowHeight="15" x14ac:dyDescent="0.25"/>
  <cols>
    <col min="1" max="1" width="28" style="1" customWidth="1"/>
    <col min="2" max="2" width="17.140625" style="1" customWidth="1"/>
    <col min="3" max="3" width="30" style="1" customWidth="1"/>
    <col min="4" max="4" width="17" style="1" customWidth="1"/>
    <col min="5" max="5" width="26" style="1" customWidth="1"/>
    <col min="6" max="6" width="22" style="1" customWidth="1"/>
    <col min="7" max="7" width="18" style="1" customWidth="1"/>
    <col min="8" max="8" width="19" style="1" customWidth="1"/>
    <col min="9" max="9" width="21" style="1" customWidth="1"/>
    <col min="10" max="10" width="17" style="1" customWidth="1"/>
    <col min="11" max="12" width="15" style="1" customWidth="1"/>
    <col min="13" max="15" width="14" style="1" customWidth="1"/>
    <col min="16" max="17" width="18" style="1" customWidth="1"/>
    <col min="18" max="18" width="16" style="1" customWidth="1"/>
    <col min="19" max="19" width="12" style="1" customWidth="1"/>
    <col min="20" max="16384" width="8.85546875" style="1"/>
  </cols>
  <sheetData>
    <row r="1" spans="1:19" ht="27.95" customHeight="1" x14ac:dyDescent="0.25">
      <c r="A1" s="66" t="s">
        <v>159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</row>
    <row r="2" spans="1:19" ht="21.95" customHeight="1" x14ac:dyDescent="0.25">
      <c r="A2" s="67" t="s">
        <v>160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</row>
    <row r="3" spans="1:19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21.95" customHeight="1" x14ac:dyDescent="0.25">
      <c r="A4" s="54" t="s">
        <v>158</v>
      </c>
      <c r="B4" s="54"/>
      <c r="C4" s="54"/>
      <c r="D4" s="9"/>
      <c r="E4" s="69" t="s">
        <v>157</v>
      </c>
      <c r="F4" s="69"/>
      <c r="G4" s="10"/>
      <c r="H4" s="10"/>
      <c r="I4" s="9"/>
      <c r="J4" s="68"/>
      <c r="K4" s="68"/>
      <c r="L4" s="68"/>
      <c r="M4" s="68"/>
      <c r="N4" s="68"/>
      <c r="O4" s="68"/>
      <c r="P4" s="68"/>
      <c r="Q4" s="68"/>
      <c r="R4" s="68"/>
      <c r="S4" s="68"/>
    </row>
    <row r="5" spans="1:19" ht="36" customHeight="1" x14ac:dyDescent="0.25">
      <c r="A5" s="11" t="s">
        <v>156</v>
      </c>
      <c r="B5" s="12" t="s">
        <v>155</v>
      </c>
      <c r="C5" s="13" t="s">
        <v>154</v>
      </c>
      <c r="D5" s="9"/>
      <c r="E5" s="11" t="s">
        <v>153</v>
      </c>
      <c r="F5" s="14">
        <f>COUNTA(B18:B689)</f>
        <v>672</v>
      </c>
      <c r="G5" s="9"/>
      <c r="H5" s="9"/>
      <c r="I5" s="9"/>
      <c r="J5" s="64"/>
      <c r="K5" s="64"/>
      <c r="L5" s="64"/>
      <c r="M5" s="64"/>
      <c r="N5" s="64"/>
      <c r="O5" s="64"/>
      <c r="P5" s="64"/>
      <c r="Q5" s="64"/>
      <c r="R5" s="64"/>
      <c r="S5" s="65"/>
    </row>
    <row r="6" spans="1:19" ht="36" customHeight="1" x14ac:dyDescent="0.25">
      <c r="A6" s="15" t="s">
        <v>152</v>
      </c>
      <c r="B6" s="16">
        <v>0.25</v>
      </c>
      <c r="C6" s="17" t="s">
        <v>151</v>
      </c>
      <c r="D6" s="9"/>
      <c r="E6" s="15" t="s">
        <v>150</v>
      </c>
      <c r="F6" s="18">
        <f>SUM(D18:D689)*$B$6</f>
        <v>1482.4419000000071</v>
      </c>
      <c r="G6" s="9"/>
      <c r="H6" s="9"/>
      <c r="I6" s="9"/>
      <c r="J6" s="60"/>
      <c r="K6" s="60"/>
      <c r="L6" s="60"/>
      <c r="M6" s="60"/>
      <c r="N6" s="60"/>
      <c r="O6" s="60"/>
      <c r="P6" s="60"/>
      <c r="Q6" s="60"/>
      <c r="R6" s="60"/>
      <c r="S6" s="61"/>
    </row>
    <row r="7" spans="1:19" ht="24" customHeight="1" x14ac:dyDescent="0.25">
      <c r="A7" s="15" t="s">
        <v>149</v>
      </c>
      <c r="B7" s="19">
        <v>0.15</v>
      </c>
      <c r="C7" s="17" t="s">
        <v>148</v>
      </c>
      <c r="D7" s="9"/>
      <c r="E7" s="15" t="s">
        <v>147</v>
      </c>
      <c r="F7" s="18">
        <f>SUM(E18:E689)*$B$6</f>
        <v>1453.9821474999999</v>
      </c>
      <c r="G7" s="9"/>
      <c r="H7" s="9"/>
      <c r="I7" s="9"/>
      <c r="J7" s="58"/>
      <c r="K7" s="58"/>
      <c r="L7" s="58"/>
      <c r="M7" s="58"/>
      <c r="N7" s="58"/>
      <c r="O7" s="58"/>
      <c r="P7" s="58"/>
      <c r="Q7" s="58"/>
      <c r="R7" s="58"/>
      <c r="S7" s="59"/>
    </row>
    <row r="8" spans="1:19" ht="24" customHeight="1" x14ac:dyDescent="0.25">
      <c r="A8" s="15" t="s">
        <v>146</v>
      </c>
      <c r="B8" s="20">
        <v>30</v>
      </c>
      <c r="C8" s="17"/>
      <c r="D8" s="9"/>
      <c r="E8" s="15" t="s">
        <v>145</v>
      </c>
      <c r="F8" s="18">
        <f>SUM(F18:F689)*$B$6</f>
        <v>-28.459752499999961</v>
      </c>
      <c r="G8" s="9"/>
      <c r="H8" s="9"/>
      <c r="I8" s="9"/>
      <c r="J8" s="58"/>
      <c r="K8" s="58"/>
      <c r="L8" s="58"/>
      <c r="M8" s="58"/>
      <c r="N8" s="58"/>
      <c r="O8" s="58"/>
      <c r="P8" s="58"/>
      <c r="Q8" s="58"/>
      <c r="R8" s="58"/>
      <c r="S8" s="59"/>
    </row>
    <row r="9" spans="1:19" ht="24" customHeight="1" x14ac:dyDescent="0.25">
      <c r="A9" s="15" t="s">
        <v>144</v>
      </c>
      <c r="B9" s="19">
        <v>0.2</v>
      </c>
      <c r="C9" s="17" t="s">
        <v>143</v>
      </c>
      <c r="D9" s="9"/>
      <c r="E9" s="15" t="s">
        <v>165</v>
      </c>
      <c r="F9" s="21">
        <f>SUM(P18:P689)</f>
        <v>136575.04691466241</v>
      </c>
      <c r="G9" s="9"/>
      <c r="H9" s="9"/>
      <c r="I9" s="9"/>
      <c r="J9" s="58"/>
      <c r="K9" s="58"/>
      <c r="L9" s="58"/>
      <c r="M9" s="58"/>
      <c r="N9" s="58"/>
      <c r="O9" s="58"/>
      <c r="P9" s="58"/>
      <c r="Q9" s="58"/>
      <c r="R9" s="58"/>
      <c r="S9" s="59"/>
    </row>
    <row r="10" spans="1:19" ht="36" customHeight="1" x14ac:dyDescent="0.25">
      <c r="A10" s="15" t="s">
        <v>142</v>
      </c>
      <c r="B10" s="20">
        <v>40</v>
      </c>
      <c r="C10" s="17"/>
      <c r="D10" s="9"/>
      <c r="E10" s="15" t="s">
        <v>166</v>
      </c>
      <c r="F10" s="21">
        <f>SUM(Q18:Q689)</f>
        <v>136575.04691466253</v>
      </c>
      <c r="G10" s="9"/>
      <c r="H10" s="9"/>
      <c r="I10" s="9"/>
      <c r="J10" s="60"/>
      <c r="K10" s="60"/>
      <c r="L10" s="60"/>
      <c r="M10" s="60"/>
      <c r="N10" s="60"/>
      <c r="O10" s="60"/>
      <c r="P10" s="60"/>
      <c r="Q10" s="60"/>
      <c r="R10" s="60"/>
      <c r="S10" s="61"/>
    </row>
    <row r="11" spans="1:19" ht="36" customHeight="1" x14ac:dyDescent="0.25">
      <c r="A11" s="15" t="s">
        <v>141</v>
      </c>
      <c r="B11" s="19">
        <v>0.8</v>
      </c>
      <c r="C11" s="17" t="s">
        <v>140</v>
      </c>
      <c r="D11" s="9"/>
      <c r="E11" s="15" t="s">
        <v>167</v>
      </c>
      <c r="F11" s="21">
        <f>F9-F10</f>
        <v>0</v>
      </c>
      <c r="G11" s="9"/>
      <c r="H11" s="9"/>
      <c r="I11" s="9"/>
      <c r="J11" s="60"/>
      <c r="K11" s="60"/>
      <c r="L11" s="60"/>
      <c r="M11" s="60"/>
      <c r="N11" s="60"/>
      <c r="O11" s="60"/>
      <c r="P11" s="60"/>
      <c r="Q11" s="60"/>
      <c r="R11" s="60"/>
      <c r="S11" s="61"/>
    </row>
    <row r="12" spans="1:19" ht="44.1" customHeight="1" x14ac:dyDescent="0.25">
      <c r="A12" s="15" t="s">
        <v>139</v>
      </c>
      <c r="B12" s="19">
        <v>1.05</v>
      </c>
      <c r="C12" s="17" t="s">
        <v>138</v>
      </c>
      <c r="D12" s="9"/>
      <c r="E12" s="15" t="s">
        <v>137</v>
      </c>
      <c r="F12" s="22">
        <f>COUNTIF(S18:S689,"REVIEW")</f>
        <v>0</v>
      </c>
      <c r="G12" s="9"/>
      <c r="H12" s="9"/>
      <c r="I12" s="9"/>
      <c r="J12" s="60"/>
      <c r="K12" s="60"/>
      <c r="L12" s="60"/>
      <c r="M12" s="60"/>
      <c r="N12" s="60"/>
      <c r="O12" s="60"/>
      <c r="P12" s="60"/>
      <c r="Q12" s="60"/>
      <c r="R12" s="60"/>
      <c r="S12" s="61"/>
    </row>
    <row r="13" spans="1:19" ht="44.1" customHeight="1" x14ac:dyDescent="0.25">
      <c r="A13" s="15" t="s">
        <v>136</v>
      </c>
      <c r="B13" s="19">
        <v>1.1000000000000001</v>
      </c>
      <c r="C13" s="17" t="s">
        <v>135</v>
      </c>
      <c r="D13" s="9"/>
      <c r="E13" s="23" t="s">
        <v>134</v>
      </c>
      <c r="F13" s="24" t="str">
        <f>IF(AND(ABS(F11)&lt;=0.01,F12=0),"CORRECT – RECONCILED","REVIEW REQUIRED")</f>
        <v>CORRECT – RECONCILED</v>
      </c>
      <c r="G13" s="9"/>
      <c r="H13" s="9"/>
      <c r="I13" s="9"/>
      <c r="J13" s="60"/>
      <c r="K13" s="60"/>
      <c r="L13" s="60"/>
      <c r="M13" s="60"/>
      <c r="N13" s="60"/>
      <c r="O13" s="60"/>
      <c r="P13" s="60"/>
      <c r="Q13" s="60"/>
      <c r="R13" s="60"/>
      <c r="S13" s="61"/>
    </row>
    <row r="14" spans="1:19" ht="44.1" customHeight="1" x14ac:dyDescent="0.25">
      <c r="A14" s="23" t="s">
        <v>133</v>
      </c>
      <c r="B14" s="25">
        <v>1.2</v>
      </c>
      <c r="C14" s="26" t="s">
        <v>132</v>
      </c>
      <c r="D14" s="9"/>
      <c r="E14" s="9"/>
      <c r="F14" s="9"/>
      <c r="G14" s="9"/>
      <c r="H14" s="9"/>
      <c r="I14" s="9"/>
      <c r="J14" s="62"/>
      <c r="K14" s="62"/>
      <c r="L14" s="62"/>
      <c r="M14" s="62"/>
      <c r="N14" s="62"/>
      <c r="O14" s="62"/>
      <c r="P14" s="62"/>
      <c r="Q14" s="62"/>
      <c r="R14" s="62"/>
      <c r="S14" s="63"/>
    </row>
    <row r="15" spans="1:19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5">
      <c r="A16" s="53" t="s">
        <v>131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</row>
    <row r="17" spans="1:19" ht="42" customHeight="1" x14ac:dyDescent="0.25">
      <c r="A17" s="8" t="s">
        <v>20</v>
      </c>
      <c r="B17" s="8" t="s">
        <v>130</v>
      </c>
      <c r="C17" s="8" t="s">
        <v>129</v>
      </c>
      <c r="D17" s="8" t="s">
        <v>128</v>
      </c>
      <c r="E17" s="8" t="s">
        <v>127</v>
      </c>
      <c r="F17" s="8" t="s">
        <v>126</v>
      </c>
      <c r="G17" s="8" t="s">
        <v>125</v>
      </c>
      <c r="H17" s="8" t="s">
        <v>124</v>
      </c>
      <c r="I17" s="8" t="s">
        <v>123</v>
      </c>
      <c r="J17" s="8" t="s">
        <v>164</v>
      </c>
      <c r="K17" s="8" t="s">
        <v>122</v>
      </c>
      <c r="L17" s="8" t="s">
        <v>121</v>
      </c>
      <c r="M17" s="8" t="s">
        <v>120</v>
      </c>
      <c r="N17" s="8" t="s">
        <v>119</v>
      </c>
      <c r="O17" s="8" t="s">
        <v>118</v>
      </c>
      <c r="P17" s="8" t="s">
        <v>163</v>
      </c>
      <c r="Q17" s="8" t="s">
        <v>161</v>
      </c>
      <c r="R17" s="8" t="s">
        <v>162</v>
      </c>
      <c r="S17" s="8" t="s">
        <v>14</v>
      </c>
    </row>
    <row r="18" spans="1:19" x14ac:dyDescent="0.25">
      <c r="A18" s="3" t="s">
        <v>168</v>
      </c>
      <c r="B18" s="5">
        <v>1</v>
      </c>
      <c r="C18" s="5" t="s">
        <v>117</v>
      </c>
      <c r="D18" s="3">
        <v>8.7670499999999993</v>
      </c>
      <c r="E18" s="3">
        <v>8.5108300000000003</v>
      </c>
      <c r="F18" s="6">
        <f t="shared" ref="F18:F81" si="0">E18-D18</f>
        <v>-0.256219999999999</v>
      </c>
      <c r="G18" s="6">
        <f t="shared" ref="G18:G81" si="1">IF(D18=0,0,F18/D18)</f>
        <v>-2.9225338055560195E-2</v>
      </c>
      <c r="H18" s="7" t="str">
        <f t="shared" ref="H18:H81" si="2">IF(E18&gt;D18,"🟢 Over-injection",IF(E18&lt;D18,"🔴 Under-injection","⚪ Nil"))</f>
        <v>🔴 Under-injection</v>
      </c>
      <c r="I18" s="6">
        <f t="shared" ref="I18:I81" si="3">-F18</f>
        <v>0.256219999999999</v>
      </c>
      <c r="J18" s="3">
        <v>4.8866000000000005</v>
      </c>
      <c r="K18" s="6">
        <f t="shared" ref="K18:K81" si="4">MIN(ABS(D18)*$B$7,$B$8)</f>
        <v>1.3150574999999998</v>
      </c>
      <c r="L18" s="6">
        <f t="shared" ref="L18:L81" si="5">MIN(ABS(D18)*$B$9,$B$10)</f>
        <v>1.7534099999999999</v>
      </c>
      <c r="M18" s="6">
        <f t="shared" ref="M18:M81" si="6">MIN(ABS(F18),K18)</f>
        <v>0.256219999999999</v>
      </c>
      <c r="N18" s="6">
        <f t="shared" ref="N18:N81" si="7">IF(F18&lt;0,MIN(MAX(ABS(F18)-K18,0),MAX(L18-K18,0)),0)</f>
        <v>0</v>
      </c>
      <c r="O18" s="6">
        <f t="shared" ref="O18:O81" si="8">IF(F18&lt;0,MAX(ABS(F18)-L18,0),0)</f>
        <v>0</v>
      </c>
      <c r="P18" s="6">
        <f t="shared" ref="P18:P81" si="9">IF(F18&gt;0,-M18*$B$11*J18*$B$6*1000,IF(F18&lt;0,(M18*$B$12+N18*$B$13+O18*$B$14)*J18*$B$6*1000,0))</f>
        <v>328.66172114999875</v>
      </c>
      <c r="Q18" s="3">
        <v>328.66172115000006</v>
      </c>
      <c r="R18" s="6">
        <f t="shared" ref="R18:R81" si="10">P18-Q18</f>
        <v>-1.3073986337985843E-12</v>
      </c>
      <c r="S18" s="6" t="str">
        <f t="shared" ref="S18:S81" si="11">IF(ABS(R18)&lt;=0.01,"OK","REVIEW")</f>
        <v>OK</v>
      </c>
    </row>
    <row r="19" spans="1:19" x14ac:dyDescent="0.25">
      <c r="A19" s="3" t="str">
        <f>A18</f>
        <v>04.05.2026</v>
      </c>
      <c r="B19" s="5">
        <v>2</v>
      </c>
      <c r="C19" s="5" t="s">
        <v>116</v>
      </c>
      <c r="D19" s="3">
        <v>8.7670499999999993</v>
      </c>
      <c r="E19" s="3">
        <v>8.5108300000000003</v>
      </c>
      <c r="F19" s="6">
        <f t="shared" si="0"/>
        <v>-0.256219999999999</v>
      </c>
      <c r="G19" s="6">
        <f t="shared" si="1"/>
        <v>-2.9225338055560195E-2</v>
      </c>
      <c r="H19" s="6" t="str">
        <f t="shared" si="2"/>
        <v>🔴 Under-injection</v>
      </c>
      <c r="I19" s="6">
        <f t="shared" si="3"/>
        <v>0.256219999999999</v>
      </c>
      <c r="J19" s="3">
        <v>4.5251000000000001</v>
      </c>
      <c r="K19" s="6">
        <f t="shared" si="4"/>
        <v>1.3150574999999998</v>
      </c>
      <c r="L19" s="6">
        <f t="shared" si="5"/>
        <v>1.7534099999999999</v>
      </c>
      <c r="M19" s="6">
        <f t="shared" si="6"/>
        <v>0.256219999999999</v>
      </c>
      <c r="N19" s="6">
        <f t="shared" si="7"/>
        <v>0</v>
      </c>
      <c r="O19" s="6">
        <f t="shared" si="8"/>
        <v>0</v>
      </c>
      <c r="P19" s="6">
        <f t="shared" si="9"/>
        <v>304.34804452499884</v>
      </c>
      <c r="Q19" s="3">
        <v>304.34804452500003</v>
      </c>
      <c r="R19" s="6">
        <f t="shared" si="10"/>
        <v>-1.1937117960769683E-12</v>
      </c>
      <c r="S19" s="6" t="str">
        <f t="shared" si="11"/>
        <v>OK</v>
      </c>
    </row>
    <row r="20" spans="1:19" x14ac:dyDescent="0.25">
      <c r="A20" s="3" t="str">
        <f t="shared" ref="A20:A83" si="12">A19</f>
        <v>04.05.2026</v>
      </c>
      <c r="B20" s="5">
        <v>3</v>
      </c>
      <c r="C20" s="5" t="s">
        <v>115</v>
      </c>
      <c r="D20" s="3">
        <v>8.7670499999999993</v>
      </c>
      <c r="E20" s="3">
        <v>8.4994899999999998</v>
      </c>
      <c r="F20" s="6">
        <f t="shared" si="0"/>
        <v>-0.26755999999999958</v>
      </c>
      <c r="G20" s="6">
        <f t="shared" si="1"/>
        <v>-3.0518817618240983E-2</v>
      </c>
      <c r="H20" s="6" t="str">
        <f t="shared" si="2"/>
        <v>🔴 Under-injection</v>
      </c>
      <c r="I20" s="6">
        <f t="shared" si="3"/>
        <v>0.26755999999999958</v>
      </c>
      <c r="J20" s="3">
        <v>4.3811</v>
      </c>
      <c r="K20" s="6">
        <f t="shared" si="4"/>
        <v>1.3150574999999998</v>
      </c>
      <c r="L20" s="6">
        <f t="shared" si="5"/>
        <v>1.7534099999999999</v>
      </c>
      <c r="M20" s="6">
        <f t="shared" si="6"/>
        <v>0.26755999999999958</v>
      </c>
      <c r="N20" s="6">
        <f t="shared" si="7"/>
        <v>0</v>
      </c>
      <c r="O20" s="6">
        <f t="shared" si="8"/>
        <v>0</v>
      </c>
      <c r="P20" s="6">
        <f t="shared" si="9"/>
        <v>307.70436794999955</v>
      </c>
      <c r="Q20" s="3">
        <v>307.70436795000001</v>
      </c>
      <c r="R20" s="6">
        <f t="shared" si="10"/>
        <v>-4.5474735088646412E-13</v>
      </c>
      <c r="S20" s="6" t="str">
        <f t="shared" si="11"/>
        <v>OK</v>
      </c>
    </row>
    <row r="21" spans="1:19" x14ac:dyDescent="0.25">
      <c r="A21" s="3" t="str">
        <f t="shared" si="12"/>
        <v>04.05.2026</v>
      </c>
      <c r="B21" s="5">
        <v>4</v>
      </c>
      <c r="C21" s="5" t="s">
        <v>114</v>
      </c>
      <c r="D21" s="3">
        <v>8.7670499999999993</v>
      </c>
      <c r="E21" s="3">
        <v>8.4994899999999998</v>
      </c>
      <c r="F21" s="6">
        <f t="shared" si="0"/>
        <v>-0.26755999999999958</v>
      </c>
      <c r="G21" s="6">
        <f t="shared" si="1"/>
        <v>-3.0518817618240983E-2</v>
      </c>
      <c r="H21" s="6" t="str">
        <f t="shared" si="2"/>
        <v>🔴 Under-injection</v>
      </c>
      <c r="I21" s="6">
        <f t="shared" si="3"/>
        <v>0.26755999999999958</v>
      </c>
      <c r="J21" s="3">
        <v>4.4437999999999995</v>
      </c>
      <c r="K21" s="6">
        <f t="shared" si="4"/>
        <v>1.3150574999999998</v>
      </c>
      <c r="L21" s="6">
        <f t="shared" si="5"/>
        <v>1.7534099999999999</v>
      </c>
      <c r="M21" s="6">
        <f t="shared" si="6"/>
        <v>0.26755999999999958</v>
      </c>
      <c r="N21" s="6">
        <f t="shared" si="7"/>
        <v>0</v>
      </c>
      <c r="O21" s="6">
        <f t="shared" si="8"/>
        <v>0</v>
      </c>
      <c r="P21" s="6">
        <f t="shared" si="9"/>
        <v>312.10807109999951</v>
      </c>
      <c r="Q21" s="3">
        <v>312.10807110000002</v>
      </c>
      <c r="R21" s="6">
        <f t="shared" si="10"/>
        <v>-5.1159076974727213E-13</v>
      </c>
      <c r="S21" s="6" t="str">
        <f t="shared" si="11"/>
        <v>OK</v>
      </c>
    </row>
    <row r="22" spans="1:19" x14ac:dyDescent="0.25">
      <c r="A22" s="3" t="str">
        <f t="shared" si="12"/>
        <v>04.05.2026</v>
      </c>
      <c r="B22" s="5">
        <v>5</v>
      </c>
      <c r="C22" s="5" t="s">
        <v>113</v>
      </c>
      <c r="D22" s="3">
        <v>8.7670499999999993</v>
      </c>
      <c r="E22" s="3">
        <v>8.5902600000000007</v>
      </c>
      <c r="F22" s="6">
        <f t="shared" si="0"/>
        <v>-0.17678999999999867</v>
      </c>
      <c r="G22" s="6">
        <f t="shared" si="1"/>
        <v>-2.0165277944120163E-2</v>
      </c>
      <c r="H22" s="6" t="str">
        <f t="shared" si="2"/>
        <v>🔴 Under-injection</v>
      </c>
      <c r="I22" s="6">
        <f t="shared" si="3"/>
        <v>0.17678999999999867</v>
      </c>
      <c r="J22" s="3">
        <v>4.2846000000000002</v>
      </c>
      <c r="K22" s="6">
        <f t="shared" si="4"/>
        <v>1.3150574999999998</v>
      </c>
      <c r="L22" s="6">
        <f t="shared" si="5"/>
        <v>1.7534099999999999</v>
      </c>
      <c r="M22" s="6">
        <f t="shared" si="6"/>
        <v>0.17678999999999867</v>
      </c>
      <c r="N22" s="6">
        <f t="shared" si="7"/>
        <v>0</v>
      </c>
      <c r="O22" s="6">
        <f t="shared" si="8"/>
        <v>0</v>
      </c>
      <c r="P22" s="6">
        <f t="shared" si="9"/>
        <v>198.83703892499852</v>
      </c>
      <c r="Q22" s="3">
        <v>198.83703892500003</v>
      </c>
      <c r="R22" s="6">
        <f t="shared" si="10"/>
        <v>-1.5063505998114124E-12</v>
      </c>
      <c r="S22" s="6" t="str">
        <f t="shared" si="11"/>
        <v>OK</v>
      </c>
    </row>
    <row r="23" spans="1:19" x14ac:dyDescent="0.25">
      <c r="A23" s="3" t="str">
        <f t="shared" si="12"/>
        <v>04.05.2026</v>
      </c>
      <c r="B23" s="5">
        <v>6</v>
      </c>
      <c r="C23" s="5" t="s">
        <v>112</v>
      </c>
      <c r="D23" s="3">
        <v>8.7670499999999993</v>
      </c>
      <c r="E23" s="3">
        <v>8.6016200000000005</v>
      </c>
      <c r="F23" s="6">
        <f t="shared" si="0"/>
        <v>-0.16542999999999886</v>
      </c>
      <c r="G23" s="6">
        <f t="shared" si="1"/>
        <v>-1.8869517112369481E-2</v>
      </c>
      <c r="H23" s="6" t="str">
        <f t="shared" si="2"/>
        <v>🔴 Under-injection</v>
      </c>
      <c r="I23" s="6">
        <f t="shared" si="3"/>
        <v>0.16542999999999886</v>
      </c>
      <c r="J23" s="3">
        <v>4.2793999999999999</v>
      </c>
      <c r="K23" s="6">
        <f t="shared" si="4"/>
        <v>1.3150574999999998</v>
      </c>
      <c r="L23" s="6">
        <f t="shared" si="5"/>
        <v>1.7534099999999999</v>
      </c>
      <c r="M23" s="6">
        <f t="shared" si="6"/>
        <v>0.16542999999999886</v>
      </c>
      <c r="N23" s="6">
        <f t="shared" si="7"/>
        <v>0</v>
      </c>
      <c r="O23" s="6">
        <f t="shared" si="8"/>
        <v>0</v>
      </c>
      <c r="P23" s="6">
        <f t="shared" si="9"/>
        <v>185.83454977499872</v>
      </c>
      <c r="Q23" s="3">
        <v>185.83454977499997</v>
      </c>
      <c r="R23" s="6">
        <f t="shared" si="10"/>
        <v>-1.2505552149377763E-12</v>
      </c>
      <c r="S23" s="6" t="str">
        <f t="shared" si="11"/>
        <v>OK</v>
      </c>
    </row>
    <row r="24" spans="1:19" x14ac:dyDescent="0.25">
      <c r="A24" s="3" t="str">
        <f t="shared" si="12"/>
        <v>04.05.2026</v>
      </c>
      <c r="B24" s="5">
        <v>7</v>
      </c>
      <c r="C24" s="5" t="s">
        <v>111</v>
      </c>
      <c r="D24" s="3">
        <v>8.7670499999999993</v>
      </c>
      <c r="E24" s="3">
        <v>8.5902600000000007</v>
      </c>
      <c r="F24" s="6">
        <f t="shared" si="0"/>
        <v>-0.17678999999999867</v>
      </c>
      <c r="G24" s="6">
        <f t="shared" si="1"/>
        <v>-2.0165277944120163E-2</v>
      </c>
      <c r="H24" s="6" t="str">
        <f t="shared" si="2"/>
        <v>🔴 Under-injection</v>
      </c>
      <c r="I24" s="6">
        <f t="shared" si="3"/>
        <v>0.17678999999999867</v>
      </c>
      <c r="J24" s="3">
        <v>4.2107999999999999</v>
      </c>
      <c r="K24" s="6">
        <f t="shared" si="4"/>
        <v>1.3150574999999998</v>
      </c>
      <c r="L24" s="6">
        <f t="shared" si="5"/>
        <v>1.7534099999999999</v>
      </c>
      <c r="M24" s="6">
        <f t="shared" si="6"/>
        <v>0.17678999999999867</v>
      </c>
      <c r="N24" s="6">
        <f t="shared" si="7"/>
        <v>0</v>
      </c>
      <c r="O24" s="6">
        <f t="shared" si="8"/>
        <v>0</v>
      </c>
      <c r="P24" s="6">
        <f t="shared" si="9"/>
        <v>195.41217464999855</v>
      </c>
      <c r="Q24" s="3">
        <v>195.41217465</v>
      </c>
      <c r="R24" s="6">
        <f t="shared" si="10"/>
        <v>-1.4495071809506044E-12</v>
      </c>
      <c r="S24" s="6" t="str">
        <f t="shared" si="11"/>
        <v>OK</v>
      </c>
    </row>
    <row r="25" spans="1:19" x14ac:dyDescent="0.25">
      <c r="A25" s="3" t="str">
        <f t="shared" si="12"/>
        <v>04.05.2026</v>
      </c>
      <c r="B25" s="5">
        <v>8</v>
      </c>
      <c r="C25" s="5" t="s">
        <v>110</v>
      </c>
      <c r="D25" s="3">
        <v>8.7670499999999993</v>
      </c>
      <c r="E25" s="3">
        <v>8.5902600000000007</v>
      </c>
      <c r="F25" s="6">
        <f t="shared" si="0"/>
        <v>-0.17678999999999867</v>
      </c>
      <c r="G25" s="6">
        <f t="shared" si="1"/>
        <v>-2.0165277944120163E-2</v>
      </c>
      <c r="H25" s="6" t="str">
        <f t="shared" si="2"/>
        <v>🔴 Under-injection</v>
      </c>
      <c r="I25" s="6">
        <f t="shared" si="3"/>
        <v>0.17678999999999867</v>
      </c>
      <c r="J25" s="3">
        <v>3.9726999999999997</v>
      </c>
      <c r="K25" s="6">
        <f t="shared" si="4"/>
        <v>1.3150574999999998</v>
      </c>
      <c r="L25" s="6">
        <f t="shared" si="5"/>
        <v>1.7534099999999999</v>
      </c>
      <c r="M25" s="6">
        <f t="shared" si="6"/>
        <v>0.17678999999999867</v>
      </c>
      <c r="N25" s="6">
        <f t="shared" si="7"/>
        <v>0</v>
      </c>
      <c r="O25" s="6">
        <f t="shared" si="8"/>
        <v>0</v>
      </c>
      <c r="P25" s="6">
        <f t="shared" si="9"/>
        <v>184.36257866249861</v>
      </c>
      <c r="Q25" s="3">
        <v>184.3625786625</v>
      </c>
      <c r="R25" s="6">
        <f t="shared" si="10"/>
        <v>-1.3926637620897964E-12</v>
      </c>
      <c r="S25" s="6" t="str">
        <f t="shared" si="11"/>
        <v>OK</v>
      </c>
    </row>
    <row r="26" spans="1:19" x14ac:dyDescent="0.25">
      <c r="A26" s="3" t="str">
        <f t="shared" si="12"/>
        <v>04.05.2026</v>
      </c>
      <c r="B26" s="5">
        <v>9</v>
      </c>
      <c r="C26" s="5" t="s">
        <v>109</v>
      </c>
      <c r="D26" s="3">
        <v>9.2470499999999998</v>
      </c>
      <c r="E26" s="3">
        <v>9.07822</v>
      </c>
      <c r="F26" s="6">
        <f t="shared" si="0"/>
        <v>-0.16882999999999981</v>
      </c>
      <c r="G26" s="6">
        <f t="shared" si="1"/>
        <v>-1.8257714622501212E-2</v>
      </c>
      <c r="H26" s="6" t="str">
        <f t="shared" si="2"/>
        <v>🔴 Under-injection</v>
      </c>
      <c r="I26" s="6">
        <f t="shared" si="3"/>
        <v>0.16882999999999981</v>
      </c>
      <c r="J26" s="3">
        <v>3.7862999999999998</v>
      </c>
      <c r="K26" s="6">
        <f t="shared" si="4"/>
        <v>1.3870574999999998</v>
      </c>
      <c r="L26" s="6">
        <f t="shared" si="5"/>
        <v>1.84941</v>
      </c>
      <c r="M26" s="6">
        <f t="shared" si="6"/>
        <v>0.16882999999999981</v>
      </c>
      <c r="N26" s="6">
        <f t="shared" si="7"/>
        <v>0</v>
      </c>
      <c r="O26" s="6">
        <f t="shared" si="8"/>
        <v>0</v>
      </c>
      <c r="P26" s="6">
        <f t="shared" si="9"/>
        <v>167.80077011249981</v>
      </c>
      <c r="Q26" s="3">
        <v>167.8007701125</v>
      </c>
      <c r="R26" s="6">
        <f t="shared" si="10"/>
        <v>0</v>
      </c>
      <c r="S26" s="6" t="str">
        <f t="shared" si="11"/>
        <v>OK</v>
      </c>
    </row>
    <row r="27" spans="1:19" x14ac:dyDescent="0.25">
      <c r="A27" s="3" t="str">
        <f t="shared" si="12"/>
        <v>04.05.2026</v>
      </c>
      <c r="B27" s="5">
        <v>10</v>
      </c>
      <c r="C27" s="5" t="s">
        <v>108</v>
      </c>
      <c r="D27" s="3">
        <v>9.2470499999999998</v>
      </c>
      <c r="E27" s="3">
        <v>9.1122599999999991</v>
      </c>
      <c r="F27" s="6">
        <f t="shared" si="0"/>
        <v>-0.13479000000000063</v>
      </c>
      <c r="G27" s="6">
        <f t="shared" si="1"/>
        <v>-1.4576540626470132E-2</v>
      </c>
      <c r="H27" s="6" t="str">
        <f t="shared" si="2"/>
        <v>🔴 Under-injection</v>
      </c>
      <c r="I27" s="6">
        <f t="shared" si="3"/>
        <v>0.13479000000000063</v>
      </c>
      <c r="J27" s="3">
        <v>3.8194999999999997</v>
      </c>
      <c r="K27" s="6">
        <f t="shared" si="4"/>
        <v>1.3870574999999998</v>
      </c>
      <c r="L27" s="6">
        <f t="shared" si="5"/>
        <v>1.84941</v>
      </c>
      <c r="M27" s="6">
        <f t="shared" si="6"/>
        <v>0.13479000000000063</v>
      </c>
      <c r="N27" s="6">
        <f t="shared" si="7"/>
        <v>0</v>
      </c>
      <c r="O27" s="6">
        <f t="shared" si="8"/>
        <v>0</v>
      </c>
      <c r="P27" s="6">
        <f t="shared" si="9"/>
        <v>135.14298131250064</v>
      </c>
      <c r="Q27" s="3">
        <v>135.14298131249996</v>
      </c>
      <c r="R27" s="6">
        <f t="shared" si="10"/>
        <v>6.8212102632969618E-13</v>
      </c>
      <c r="S27" s="6" t="str">
        <f t="shared" si="11"/>
        <v>OK</v>
      </c>
    </row>
    <row r="28" spans="1:19" x14ac:dyDescent="0.25">
      <c r="A28" s="3" t="str">
        <f t="shared" si="12"/>
        <v>04.05.2026</v>
      </c>
      <c r="B28" s="5">
        <v>11</v>
      </c>
      <c r="C28" s="5" t="s">
        <v>107</v>
      </c>
      <c r="D28" s="3">
        <v>9.2470499999999998</v>
      </c>
      <c r="E28" s="3">
        <v>9.1122599999999991</v>
      </c>
      <c r="F28" s="6">
        <f t="shared" si="0"/>
        <v>-0.13479000000000063</v>
      </c>
      <c r="G28" s="6">
        <f t="shared" si="1"/>
        <v>-1.4576540626470132E-2</v>
      </c>
      <c r="H28" s="6" t="str">
        <f t="shared" si="2"/>
        <v>🔴 Under-injection</v>
      </c>
      <c r="I28" s="6">
        <f t="shared" si="3"/>
        <v>0.13479000000000063</v>
      </c>
      <c r="J28" s="3">
        <v>3.7569999999999997</v>
      </c>
      <c r="K28" s="6">
        <f t="shared" si="4"/>
        <v>1.3870574999999998</v>
      </c>
      <c r="L28" s="6">
        <f t="shared" si="5"/>
        <v>1.84941</v>
      </c>
      <c r="M28" s="6">
        <f t="shared" si="6"/>
        <v>0.13479000000000063</v>
      </c>
      <c r="N28" s="6">
        <f t="shared" si="7"/>
        <v>0</v>
      </c>
      <c r="O28" s="6">
        <f t="shared" si="8"/>
        <v>0</v>
      </c>
      <c r="P28" s="6">
        <f t="shared" si="9"/>
        <v>132.93158287500063</v>
      </c>
      <c r="Q28" s="3">
        <v>132.93158287499998</v>
      </c>
      <c r="R28" s="6">
        <f t="shared" si="10"/>
        <v>6.5369931689929217E-13</v>
      </c>
      <c r="S28" s="6" t="str">
        <f t="shared" si="11"/>
        <v>OK</v>
      </c>
    </row>
    <row r="29" spans="1:19" x14ac:dyDescent="0.25">
      <c r="A29" s="3" t="str">
        <f t="shared" si="12"/>
        <v>04.05.2026</v>
      </c>
      <c r="B29" s="5">
        <v>12</v>
      </c>
      <c r="C29" s="5" t="s">
        <v>106</v>
      </c>
      <c r="D29" s="3">
        <v>9.2470499999999998</v>
      </c>
      <c r="E29" s="3">
        <v>9.1122599999999991</v>
      </c>
      <c r="F29" s="6">
        <f t="shared" si="0"/>
        <v>-0.13479000000000063</v>
      </c>
      <c r="G29" s="6">
        <f t="shared" si="1"/>
        <v>-1.4576540626470132E-2</v>
      </c>
      <c r="H29" s="6" t="str">
        <f t="shared" si="2"/>
        <v>🔴 Under-injection</v>
      </c>
      <c r="I29" s="6">
        <f t="shared" si="3"/>
        <v>0.13479000000000063</v>
      </c>
      <c r="J29" s="3">
        <v>3.7207999999999997</v>
      </c>
      <c r="K29" s="6">
        <f t="shared" si="4"/>
        <v>1.3870574999999998</v>
      </c>
      <c r="L29" s="6">
        <f t="shared" si="5"/>
        <v>1.84941</v>
      </c>
      <c r="M29" s="6">
        <f t="shared" si="6"/>
        <v>0.13479000000000063</v>
      </c>
      <c r="N29" s="6">
        <f t="shared" si="7"/>
        <v>0</v>
      </c>
      <c r="O29" s="6">
        <f t="shared" si="8"/>
        <v>0</v>
      </c>
      <c r="P29" s="6">
        <f t="shared" si="9"/>
        <v>131.65074090000061</v>
      </c>
      <c r="Q29" s="3">
        <v>131.65074089999999</v>
      </c>
      <c r="R29" s="6">
        <f t="shared" si="10"/>
        <v>6.2527760746888816E-13</v>
      </c>
      <c r="S29" s="6" t="str">
        <f t="shared" si="11"/>
        <v>OK</v>
      </c>
    </row>
    <row r="30" spans="1:19" x14ac:dyDescent="0.25">
      <c r="A30" s="3" t="str">
        <f t="shared" si="12"/>
        <v>04.05.2026</v>
      </c>
      <c r="B30" s="5">
        <v>13</v>
      </c>
      <c r="C30" s="5" t="s">
        <v>105</v>
      </c>
      <c r="D30" s="3">
        <v>9.2470499999999998</v>
      </c>
      <c r="E30" s="3">
        <v>9.1122599999999991</v>
      </c>
      <c r="F30" s="6">
        <f t="shared" si="0"/>
        <v>-0.13479000000000063</v>
      </c>
      <c r="G30" s="6">
        <f t="shared" si="1"/>
        <v>-1.4576540626470132E-2</v>
      </c>
      <c r="H30" s="6" t="str">
        <f t="shared" si="2"/>
        <v>🔴 Under-injection</v>
      </c>
      <c r="I30" s="6">
        <f t="shared" si="3"/>
        <v>0.13479000000000063</v>
      </c>
      <c r="J30" s="3">
        <v>3.6183999999999998</v>
      </c>
      <c r="K30" s="6">
        <f t="shared" si="4"/>
        <v>1.3870574999999998</v>
      </c>
      <c r="L30" s="6">
        <f t="shared" si="5"/>
        <v>1.84941</v>
      </c>
      <c r="M30" s="6">
        <f t="shared" si="6"/>
        <v>0.13479000000000063</v>
      </c>
      <c r="N30" s="6">
        <f t="shared" si="7"/>
        <v>0</v>
      </c>
      <c r="O30" s="6">
        <f t="shared" si="8"/>
        <v>0</v>
      </c>
      <c r="P30" s="6">
        <f t="shared" si="9"/>
        <v>128.0275857000006</v>
      </c>
      <c r="Q30" s="3">
        <v>128.02758569999997</v>
      </c>
      <c r="R30" s="6">
        <f t="shared" si="10"/>
        <v>6.2527760746888816E-13</v>
      </c>
      <c r="S30" s="6" t="str">
        <f t="shared" si="11"/>
        <v>OK</v>
      </c>
    </row>
    <row r="31" spans="1:19" x14ac:dyDescent="0.25">
      <c r="A31" s="3" t="str">
        <f t="shared" si="12"/>
        <v>04.05.2026</v>
      </c>
      <c r="B31" s="5">
        <v>14</v>
      </c>
      <c r="C31" s="5" t="s">
        <v>104</v>
      </c>
      <c r="D31" s="3">
        <v>9.2470499999999998</v>
      </c>
      <c r="E31" s="3">
        <v>9.1009200000000003</v>
      </c>
      <c r="F31" s="6">
        <f t="shared" si="0"/>
        <v>-0.14612999999999943</v>
      </c>
      <c r="G31" s="6">
        <f t="shared" si="1"/>
        <v>-1.5802877674501538E-2</v>
      </c>
      <c r="H31" s="6" t="str">
        <f t="shared" si="2"/>
        <v>🔴 Under-injection</v>
      </c>
      <c r="I31" s="6">
        <f t="shared" si="3"/>
        <v>0.14612999999999943</v>
      </c>
      <c r="J31" s="3">
        <v>3.6180000000000003</v>
      </c>
      <c r="K31" s="6">
        <f t="shared" si="4"/>
        <v>1.3870574999999998</v>
      </c>
      <c r="L31" s="6">
        <f t="shared" si="5"/>
        <v>1.84941</v>
      </c>
      <c r="M31" s="6">
        <f t="shared" si="6"/>
        <v>0.14612999999999943</v>
      </c>
      <c r="N31" s="6">
        <f t="shared" si="7"/>
        <v>0</v>
      </c>
      <c r="O31" s="6">
        <f t="shared" si="8"/>
        <v>0</v>
      </c>
      <c r="P31" s="6">
        <f t="shared" si="9"/>
        <v>138.78331424999945</v>
      </c>
      <c r="Q31" s="3">
        <v>138.78331425000005</v>
      </c>
      <c r="R31" s="6">
        <f t="shared" si="10"/>
        <v>-5.9685589803848416E-13</v>
      </c>
      <c r="S31" s="6" t="str">
        <f t="shared" si="11"/>
        <v>OK</v>
      </c>
    </row>
    <row r="32" spans="1:19" x14ac:dyDescent="0.25">
      <c r="A32" s="3" t="str">
        <f t="shared" si="12"/>
        <v>04.05.2026</v>
      </c>
      <c r="B32" s="5">
        <v>15</v>
      </c>
      <c r="C32" s="5" t="s">
        <v>103</v>
      </c>
      <c r="D32" s="3">
        <v>9.2470499999999998</v>
      </c>
      <c r="E32" s="3">
        <v>9.1009200000000003</v>
      </c>
      <c r="F32" s="6">
        <f t="shared" si="0"/>
        <v>-0.14612999999999943</v>
      </c>
      <c r="G32" s="6">
        <f t="shared" si="1"/>
        <v>-1.5802877674501538E-2</v>
      </c>
      <c r="H32" s="6" t="str">
        <f t="shared" si="2"/>
        <v>🔴 Under-injection</v>
      </c>
      <c r="I32" s="6">
        <f t="shared" si="3"/>
        <v>0.14612999999999943</v>
      </c>
      <c r="J32" s="3">
        <v>3.5849000000000002</v>
      </c>
      <c r="K32" s="6">
        <f t="shared" si="4"/>
        <v>1.3870574999999998</v>
      </c>
      <c r="L32" s="6">
        <f t="shared" si="5"/>
        <v>1.84941</v>
      </c>
      <c r="M32" s="6">
        <f t="shared" si="6"/>
        <v>0.14612999999999943</v>
      </c>
      <c r="N32" s="6">
        <f t="shared" si="7"/>
        <v>0</v>
      </c>
      <c r="O32" s="6">
        <f t="shared" si="8"/>
        <v>0</v>
      </c>
      <c r="P32" s="6">
        <f t="shared" si="9"/>
        <v>137.51362721249947</v>
      </c>
      <c r="Q32" s="3">
        <v>137.51362721250001</v>
      </c>
      <c r="R32" s="6">
        <f t="shared" si="10"/>
        <v>-5.4001247917767614E-13</v>
      </c>
      <c r="S32" s="6" t="str">
        <f t="shared" si="11"/>
        <v>OK</v>
      </c>
    </row>
    <row r="33" spans="1:19" x14ac:dyDescent="0.25">
      <c r="A33" s="3" t="str">
        <f t="shared" si="12"/>
        <v>04.05.2026</v>
      </c>
      <c r="B33" s="5">
        <v>16</v>
      </c>
      <c r="C33" s="5" t="s">
        <v>102</v>
      </c>
      <c r="D33" s="3">
        <v>9.2470499999999998</v>
      </c>
      <c r="E33" s="3">
        <v>9.1009200000000003</v>
      </c>
      <c r="F33" s="6">
        <f t="shared" si="0"/>
        <v>-0.14612999999999943</v>
      </c>
      <c r="G33" s="6">
        <f t="shared" si="1"/>
        <v>-1.5802877674501538E-2</v>
      </c>
      <c r="H33" s="6" t="str">
        <f t="shared" si="2"/>
        <v>🔴 Under-injection</v>
      </c>
      <c r="I33" s="6">
        <f t="shared" si="3"/>
        <v>0.14612999999999943</v>
      </c>
      <c r="J33" s="3">
        <v>3.4476999999999998</v>
      </c>
      <c r="K33" s="6">
        <f t="shared" si="4"/>
        <v>1.3870574999999998</v>
      </c>
      <c r="L33" s="6">
        <f t="shared" si="5"/>
        <v>1.84941</v>
      </c>
      <c r="M33" s="6">
        <f t="shared" si="6"/>
        <v>0.14612999999999943</v>
      </c>
      <c r="N33" s="6">
        <f t="shared" si="7"/>
        <v>0</v>
      </c>
      <c r="O33" s="6">
        <f t="shared" si="8"/>
        <v>0</v>
      </c>
      <c r="P33" s="6">
        <f t="shared" si="9"/>
        <v>132.25075526249947</v>
      </c>
      <c r="Q33" s="3">
        <v>132.25075526250001</v>
      </c>
      <c r="R33" s="6">
        <f t="shared" si="10"/>
        <v>-5.4001247917767614E-13</v>
      </c>
      <c r="S33" s="6" t="str">
        <f t="shared" si="11"/>
        <v>OK</v>
      </c>
    </row>
    <row r="34" spans="1:19" x14ac:dyDescent="0.25">
      <c r="A34" s="3" t="str">
        <f t="shared" si="12"/>
        <v>04.05.2026</v>
      </c>
      <c r="B34" s="5">
        <v>17</v>
      </c>
      <c r="C34" s="5" t="s">
        <v>101</v>
      </c>
      <c r="D34" s="3">
        <v>9.2470499999999998</v>
      </c>
      <c r="E34" s="3">
        <v>9.1122599999999991</v>
      </c>
      <c r="F34" s="6">
        <f t="shared" si="0"/>
        <v>-0.13479000000000063</v>
      </c>
      <c r="G34" s="6">
        <f t="shared" si="1"/>
        <v>-1.4576540626470132E-2</v>
      </c>
      <c r="H34" s="6" t="str">
        <f t="shared" si="2"/>
        <v>🔴 Under-injection</v>
      </c>
      <c r="I34" s="6">
        <f t="shared" si="3"/>
        <v>0.13479000000000063</v>
      </c>
      <c r="J34" s="3">
        <v>3.4316000000000004</v>
      </c>
      <c r="K34" s="6">
        <f t="shared" si="4"/>
        <v>1.3870574999999998</v>
      </c>
      <c r="L34" s="6">
        <f t="shared" si="5"/>
        <v>1.84941</v>
      </c>
      <c r="M34" s="6">
        <f t="shared" si="6"/>
        <v>0.13479000000000063</v>
      </c>
      <c r="N34" s="6">
        <f t="shared" si="7"/>
        <v>0</v>
      </c>
      <c r="O34" s="6">
        <f t="shared" si="8"/>
        <v>0</v>
      </c>
      <c r="P34" s="6">
        <f t="shared" si="9"/>
        <v>121.41815805000059</v>
      </c>
      <c r="Q34" s="3">
        <v>121.41815805000002</v>
      </c>
      <c r="R34" s="6">
        <f t="shared" si="10"/>
        <v>5.6843418860808015E-13</v>
      </c>
      <c r="S34" s="6" t="str">
        <f t="shared" si="11"/>
        <v>OK</v>
      </c>
    </row>
    <row r="35" spans="1:19" x14ac:dyDescent="0.25">
      <c r="A35" s="3" t="str">
        <f t="shared" si="12"/>
        <v>04.05.2026</v>
      </c>
      <c r="B35" s="5">
        <v>18</v>
      </c>
      <c r="C35" s="5" t="s">
        <v>100</v>
      </c>
      <c r="D35" s="3">
        <v>9.2470499999999998</v>
      </c>
      <c r="E35" s="3">
        <v>9.1122599999999991</v>
      </c>
      <c r="F35" s="6">
        <f t="shared" si="0"/>
        <v>-0.13479000000000063</v>
      </c>
      <c r="G35" s="6">
        <f t="shared" si="1"/>
        <v>-1.4576540626470132E-2</v>
      </c>
      <c r="H35" s="6" t="str">
        <f t="shared" si="2"/>
        <v>🔴 Under-injection</v>
      </c>
      <c r="I35" s="6">
        <f t="shared" si="3"/>
        <v>0.13479000000000063</v>
      </c>
      <c r="J35" s="3">
        <v>3.5055000000000001</v>
      </c>
      <c r="K35" s="6">
        <f t="shared" si="4"/>
        <v>1.3870574999999998</v>
      </c>
      <c r="L35" s="6">
        <f t="shared" si="5"/>
        <v>1.84941</v>
      </c>
      <c r="M35" s="6">
        <f t="shared" si="6"/>
        <v>0.13479000000000063</v>
      </c>
      <c r="N35" s="6">
        <f t="shared" si="7"/>
        <v>0</v>
      </c>
      <c r="O35" s="6">
        <f t="shared" si="8"/>
        <v>0</v>
      </c>
      <c r="P35" s="6">
        <f t="shared" si="9"/>
        <v>124.03291556250058</v>
      </c>
      <c r="Q35" s="3">
        <v>124.03291556249999</v>
      </c>
      <c r="R35" s="6">
        <f t="shared" si="10"/>
        <v>5.8264504332328215E-13</v>
      </c>
      <c r="S35" s="6" t="str">
        <f t="shared" si="11"/>
        <v>OK</v>
      </c>
    </row>
    <row r="36" spans="1:19" x14ac:dyDescent="0.25">
      <c r="A36" s="3" t="str">
        <f t="shared" si="12"/>
        <v>04.05.2026</v>
      </c>
      <c r="B36" s="5">
        <v>19</v>
      </c>
      <c r="C36" s="5" t="s">
        <v>99</v>
      </c>
      <c r="D36" s="3">
        <v>9.2470499999999998</v>
      </c>
      <c r="E36" s="3">
        <v>9.1009200000000003</v>
      </c>
      <c r="F36" s="6">
        <f t="shared" si="0"/>
        <v>-0.14612999999999943</v>
      </c>
      <c r="G36" s="6">
        <f t="shared" si="1"/>
        <v>-1.5802877674501538E-2</v>
      </c>
      <c r="H36" s="6" t="str">
        <f t="shared" si="2"/>
        <v>🔴 Under-injection</v>
      </c>
      <c r="I36" s="6">
        <f t="shared" si="3"/>
        <v>0.14612999999999943</v>
      </c>
      <c r="J36" s="3">
        <v>3.6045999999999996</v>
      </c>
      <c r="K36" s="6">
        <f t="shared" si="4"/>
        <v>1.3870574999999998</v>
      </c>
      <c r="L36" s="6">
        <f t="shared" si="5"/>
        <v>1.84941</v>
      </c>
      <c r="M36" s="6">
        <f t="shared" si="6"/>
        <v>0.14612999999999943</v>
      </c>
      <c r="N36" s="6">
        <f t="shared" si="7"/>
        <v>0</v>
      </c>
      <c r="O36" s="6">
        <f t="shared" si="8"/>
        <v>0</v>
      </c>
      <c r="P36" s="6">
        <f t="shared" si="9"/>
        <v>138.26930197499942</v>
      </c>
      <c r="Q36" s="3">
        <v>138.26930197500002</v>
      </c>
      <c r="R36" s="6">
        <f t="shared" si="10"/>
        <v>-5.9685589803848416E-13</v>
      </c>
      <c r="S36" s="6" t="str">
        <f t="shared" si="11"/>
        <v>OK</v>
      </c>
    </row>
    <row r="37" spans="1:19" x14ac:dyDescent="0.25">
      <c r="A37" s="3" t="str">
        <f t="shared" si="12"/>
        <v>04.05.2026</v>
      </c>
      <c r="B37" s="5">
        <v>20</v>
      </c>
      <c r="C37" s="5" t="s">
        <v>98</v>
      </c>
      <c r="D37" s="3">
        <v>9.2470499999999998</v>
      </c>
      <c r="E37" s="3">
        <v>9.0895600000000005</v>
      </c>
      <c r="F37" s="6">
        <f t="shared" si="0"/>
        <v>-0.15748999999999924</v>
      </c>
      <c r="G37" s="6">
        <f t="shared" si="1"/>
        <v>-1.7031377574469615E-2</v>
      </c>
      <c r="H37" s="6" t="str">
        <f t="shared" si="2"/>
        <v>🔴 Under-injection</v>
      </c>
      <c r="I37" s="6">
        <f t="shared" si="3"/>
        <v>0.15748999999999924</v>
      </c>
      <c r="J37" s="3">
        <v>3.6054000000000004</v>
      </c>
      <c r="K37" s="6">
        <f t="shared" si="4"/>
        <v>1.3870574999999998</v>
      </c>
      <c r="L37" s="6">
        <f t="shared" si="5"/>
        <v>1.84941</v>
      </c>
      <c r="M37" s="6">
        <f t="shared" si="6"/>
        <v>0.15748999999999924</v>
      </c>
      <c r="N37" s="6">
        <f t="shared" si="7"/>
        <v>0</v>
      </c>
      <c r="O37" s="6">
        <f t="shared" si="8"/>
        <v>0</v>
      </c>
      <c r="P37" s="6">
        <f t="shared" si="9"/>
        <v>149.05129207499931</v>
      </c>
      <c r="Q37" s="3">
        <v>149.05129207500002</v>
      </c>
      <c r="R37" s="6">
        <f t="shared" si="10"/>
        <v>-7.1054273576010019E-13</v>
      </c>
      <c r="S37" s="6" t="str">
        <f t="shared" si="11"/>
        <v>OK</v>
      </c>
    </row>
    <row r="38" spans="1:19" x14ac:dyDescent="0.25">
      <c r="A38" s="3" t="str">
        <f t="shared" si="12"/>
        <v>04.05.2026</v>
      </c>
      <c r="B38" s="5">
        <v>21</v>
      </c>
      <c r="C38" s="5" t="s">
        <v>97</v>
      </c>
      <c r="D38" s="3">
        <v>9.2470499999999998</v>
      </c>
      <c r="E38" s="3">
        <v>9.1009200000000003</v>
      </c>
      <c r="F38" s="6">
        <f t="shared" si="0"/>
        <v>-0.14612999999999943</v>
      </c>
      <c r="G38" s="6">
        <f t="shared" si="1"/>
        <v>-1.5802877674501538E-2</v>
      </c>
      <c r="H38" s="6" t="str">
        <f t="shared" si="2"/>
        <v>🔴 Under-injection</v>
      </c>
      <c r="I38" s="6">
        <f t="shared" si="3"/>
        <v>0.14612999999999943</v>
      </c>
      <c r="J38" s="3">
        <v>3.8380000000000001</v>
      </c>
      <c r="K38" s="6">
        <f t="shared" si="4"/>
        <v>1.3870574999999998</v>
      </c>
      <c r="L38" s="6">
        <f t="shared" si="5"/>
        <v>1.84941</v>
      </c>
      <c r="M38" s="6">
        <f t="shared" si="6"/>
        <v>0.14612999999999943</v>
      </c>
      <c r="N38" s="6">
        <f t="shared" si="7"/>
        <v>0</v>
      </c>
      <c r="O38" s="6">
        <f t="shared" si="8"/>
        <v>0</v>
      </c>
      <c r="P38" s="6">
        <f t="shared" si="9"/>
        <v>147.22232174999942</v>
      </c>
      <c r="Q38" s="3">
        <v>147.22232175000002</v>
      </c>
      <c r="R38" s="6">
        <f t="shared" si="10"/>
        <v>-5.9685589803848416E-13</v>
      </c>
      <c r="S38" s="6" t="str">
        <f t="shared" si="11"/>
        <v>OK</v>
      </c>
    </row>
    <row r="39" spans="1:19" x14ac:dyDescent="0.25">
      <c r="A39" s="3" t="str">
        <f t="shared" si="12"/>
        <v>04.05.2026</v>
      </c>
      <c r="B39" s="5">
        <v>22</v>
      </c>
      <c r="C39" s="5" t="s">
        <v>96</v>
      </c>
      <c r="D39" s="3">
        <v>9.2470499999999998</v>
      </c>
      <c r="E39" s="3">
        <v>9.0895600000000005</v>
      </c>
      <c r="F39" s="6">
        <f t="shared" si="0"/>
        <v>-0.15748999999999924</v>
      </c>
      <c r="G39" s="6">
        <f t="shared" si="1"/>
        <v>-1.7031377574469615E-2</v>
      </c>
      <c r="H39" s="6" t="str">
        <f t="shared" si="2"/>
        <v>🔴 Under-injection</v>
      </c>
      <c r="I39" s="6">
        <f t="shared" si="3"/>
        <v>0.15748999999999924</v>
      </c>
      <c r="J39" s="3">
        <v>3.8986999999999998</v>
      </c>
      <c r="K39" s="6">
        <f t="shared" si="4"/>
        <v>1.3870574999999998</v>
      </c>
      <c r="L39" s="6">
        <f t="shared" si="5"/>
        <v>1.84941</v>
      </c>
      <c r="M39" s="6">
        <f t="shared" si="6"/>
        <v>0.15748999999999924</v>
      </c>
      <c r="N39" s="6">
        <f t="shared" si="7"/>
        <v>0</v>
      </c>
      <c r="O39" s="6">
        <f t="shared" si="8"/>
        <v>0</v>
      </c>
      <c r="P39" s="6">
        <f t="shared" si="9"/>
        <v>161.17664403749924</v>
      </c>
      <c r="Q39" s="3">
        <v>161.17664403749998</v>
      </c>
      <c r="R39" s="6">
        <f t="shared" si="10"/>
        <v>-7.3896444519050419E-13</v>
      </c>
      <c r="S39" s="6" t="str">
        <f t="shared" si="11"/>
        <v>OK</v>
      </c>
    </row>
    <row r="40" spans="1:19" x14ac:dyDescent="0.25">
      <c r="A40" s="3" t="str">
        <f t="shared" si="12"/>
        <v>04.05.2026</v>
      </c>
      <c r="B40" s="5">
        <v>23</v>
      </c>
      <c r="C40" s="5" t="s">
        <v>95</v>
      </c>
      <c r="D40" s="3">
        <v>9.2470499999999998</v>
      </c>
      <c r="E40" s="3">
        <v>9.1009200000000003</v>
      </c>
      <c r="F40" s="6">
        <f t="shared" si="0"/>
        <v>-0.14612999999999943</v>
      </c>
      <c r="G40" s="6">
        <f t="shared" si="1"/>
        <v>-1.5802877674501538E-2</v>
      </c>
      <c r="H40" s="6" t="str">
        <f t="shared" si="2"/>
        <v>🔴 Under-injection</v>
      </c>
      <c r="I40" s="6">
        <f t="shared" si="3"/>
        <v>0.14612999999999943</v>
      </c>
      <c r="J40" s="3">
        <v>3.7081</v>
      </c>
      <c r="K40" s="6">
        <f t="shared" si="4"/>
        <v>1.3870574999999998</v>
      </c>
      <c r="L40" s="6">
        <f t="shared" si="5"/>
        <v>1.84941</v>
      </c>
      <c r="M40" s="6">
        <f t="shared" si="6"/>
        <v>0.14612999999999943</v>
      </c>
      <c r="N40" s="6">
        <f t="shared" si="7"/>
        <v>0</v>
      </c>
      <c r="O40" s="6">
        <f t="shared" si="8"/>
        <v>0</v>
      </c>
      <c r="P40" s="6">
        <f t="shared" si="9"/>
        <v>142.23947141249943</v>
      </c>
      <c r="Q40" s="3">
        <v>142.23947141250002</v>
      </c>
      <c r="R40" s="6">
        <f t="shared" si="10"/>
        <v>-5.9685589803848416E-13</v>
      </c>
      <c r="S40" s="6" t="str">
        <f t="shared" si="11"/>
        <v>OK</v>
      </c>
    </row>
    <row r="41" spans="1:19" x14ac:dyDescent="0.25">
      <c r="A41" s="3" t="str">
        <f t="shared" si="12"/>
        <v>04.05.2026</v>
      </c>
      <c r="B41" s="5">
        <v>24</v>
      </c>
      <c r="C41" s="5" t="s">
        <v>94</v>
      </c>
      <c r="D41" s="3">
        <v>9.2470499999999998</v>
      </c>
      <c r="E41" s="3">
        <v>9.1122599999999991</v>
      </c>
      <c r="F41" s="6">
        <f t="shared" si="0"/>
        <v>-0.13479000000000063</v>
      </c>
      <c r="G41" s="6">
        <f t="shared" si="1"/>
        <v>-1.4576540626470132E-2</v>
      </c>
      <c r="H41" s="6" t="str">
        <f t="shared" si="2"/>
        <v>🔴 Under-injection</v>
      </c>
      <c r="I41" s="6">
        <f t="shared" si="3"/>
        <v>0.13479000000000063</v>
      </c>
      <c r="J41" s="3">
        <v>3.4899</v>
      </c>
      <c r="K41" s="6">
        <f t="shared" si="4"/>
        <v>1.3870574999999998</v>
      </c>
      <c r="L41" s="6">
        <f t="shared" si="5"/>
        <v>1.84941</v>
      </c>
      <c r="M41" s="6">
        <f t="shared" si="6"/>
        <v>0.13479000000000063</v>
      </c>
      <c r="N41" s="6">
        <f t="shared" si="7"/>
        <v>0</v>
      </c>
      <c r="O41" s="6">
        <f t="shared" si="8"/>
        <v>0</v>
      </c>
      <c r="P41" s="6">
        <f t="shared" si="9"/>
        <v>123.48095051250058</v>
      </c>
      <c r="Q41" s="3">
        <v>123.4809505125</v>
      </c>
      <c r="R41" s="6">
        <f t="shared" si="10"/>
        <v>5.8264504332328215E-13</v>
      </c>
      <c r="S41" s="6" t="str">
        <f t="shared" si="11"/>
        <v>OK</v>
      </c>
    </row>
    <row r="42" spans="1:19" x14ac:dyDescent="0.25">
      <c r="A42" s="3" t="str">
        <f t="shared" si="12"/>
        <v>04.05.2026</v>
      </c>
      <c r="B42" s="5">
        <v>25</v>
      </c>
      <c r="C42" s="5" t="s">
        <v>93</v>
      </c>
      <c r="D42" s="3">
        <v>9.2470499999999998</v>
      </c>
      <c r="E42" s="3">
        <v>9.1009200000000003</v>
      </c>
      <c r="F42" s="6">
        <f t="shared" si="0"/>
        <v>-0.14612999999999943</v>
      </c>
      <c r="G42" s="6">
        <f t="shared" si="1"/>
        <v>-1.5802877674501538E-2</v>
      </c>
      <c r="H42" s="6" t="str">
        <f t="shared" si="2"/>
        <v>🔴 Under-injection</v>
      </c>
      <c r="I42" s="6">
        <f t="shared" si="3"/>
        <v>0.14612999999999943</v>
      </c>
      <c r="J42" s="3">
        <v>3.5204000000000004</v>
      </c>
      <c r="K42" s="6">
        <f t="shared" si="4"/>
        <v>1.3870574999999998</v>
      </c>
      <c r="L42" s="6">
        <f t="shared" si="5"/>
        <v>1.84941</v>
      </c>
      <c r="M42" s="6">
        <f t="shared" si="6"/>
        <v>0.14612999999999943</v>
      </c>
      <c r="N42" s="6">
        <f t="shared" si="7"/>
        <v>0</v>
      </c>
      <c r="O42" s="6">
        <f t="shared" si="8"/>
        <v>0</v>
      </c>
      <c r="P42" s="6">
        <f t="shared" si="9"/>
        <v>135.03946364999948</v>
      </c>
      <c r="Q42" s="3">
        <v>135.03946365000002</v>
      </c>
      <c r="R42" s="6">
        <f t="shared" si="10"/>
        <v>-5.4001247917767614E-13</v>
      </c>
      <c r="S42" s="6" t="str">
        <f t="shared" si="11"/>
        <v>OK</v>
      </c>
    </row>
    <row r="43" spans="1:19" x14ac:dyDescent="0.25">
      <c r="A43" s="3" t="str">
        <f t="shared" si="12"/>
        <v>04.05.2026</v>
      </c>
      <c r="B43" s="5">
        <v>26</v>
      </c>
      <c r="C43" s="5" t="s">
        <v>92</v>
      </c>
      <c r="D43" s="3">
        <v>9.2470499999999998</v>
      </c>
      <c r="E43" s="3">
        <v>9.1009200000000003</v>
      </c>
      <c r="F43" s="6">
        <f t="shared" si="0"/>
        <v>-0.14612999999999943</v>
      </c>
      <c r="G43" s="6">
        <f t="shared" si="1"/>
        <v>-1.5802877674501538E-2</v>
      </c>
      <c r="H43" s="6" t="str">
        <f t="shared" si="2"/>
        <v>🔴 Under-injection</v>
      </c>
      <c r="I43" s="6">
        <f t="shared" si="3"/>
        <v>0.14612999999999943</v>
      </c>
      <c r="J43" s="3">
        <v>3.3736000000000002</v>
      </c>
      <c r="K43" s="6">
        <f t="shared" si="4"/>
        <v>1.3870574999999998</v>
      </c>
      <c r="L43" s="6">
        <f t="shared" si="5"/>
        <v>1.84941</v>
      </c>
      <c r="M43" s="6">
        <f t="shared" si="6"/>
        <v>0.14612999999999943</v>
      </c>
      <c r="N43" s="6">
        <f t="shared" si="7"/>
        <v>0</v>
      </c>
      <c r="O43" s="6">
        <f t="shared" si="8"/>
        <v>0</v>
      </c>
      <c r="P43" s="6">
        <f t="shared" si="9"/>
        <v>129.40834409999948</v>
      </c>
      <c r="Q43" s="3">
        <v>129.40834410000002</v>
      </c>
      <c r="R43" s="6">
        <f t="shared" si="10"/>
        <v>-5.4001247917767614E-13</v>
      </c>
      <c r="S43" s="6" t="str">
        <f t="shared" si="11"/>
        <v>OK</v>
      </c>
    </row>
    <row r="44" spans="1:19" x14ac:dyDescent="0.25">
      <c r="A44" s="3" t="str">
        <f t="shared" si="12"/>
        <v>04.05.2026</v>
      </c>
      <c r="B44" s="5">
        <v>27</v>
      </c>
      <c r="C44" s="5" t="s">
        <v>91</v>
      </c>
      <c r="D44" s="3">
        <v>9.2470499999999998</v>
      </c>
      <c r="E44" s="3">
        <v>9.0895600000000005</v>
      </c>
      <c r="F44" s="6">
        <f t="shared" si="0"/>
        <v>-0.15748999999999924</v>
      </c>
      <c r="G44" s="6">
        <f t="shared" si="1"/>
        <v>-1.7031377574469615E-2</v>
      </c>
      <c r="H44" s="6" t="str">
        <f t="shared" si="2"/>
        <v>🔴 Under-injection</v>
      </c>
      <c r="I44" s="6">
        <f t="shared" si="3"/>
        <v>0.15748999999999924</v>
      </c>
      <c r="J44" s="3">
        <v>3.2894000000000001</v>
      </c>
      <c r="K44" s="6">
        <f t="shared" si="4"/>
        <v>1.3870574999999998</v>
      </c>
      <c r="L44" s="6">
        <f t="shared" si="5"/>
        <v>1.84941</v>
      </c>
      <c r="M44" s="6">
        <f t="shared" si="6"/>
        <v>0.15748999999999924</v>
      </c>
      <c r="N44" s="6">
        <f t="shared" si="7"/>
        <v>0</v>
      </c>
      <c r="O44" s="6">
        <f t="shared" si="8"/>
        <v>0</v>
      </c>
      <c r="P44" s="6">
        <f t="shared" si="9"/>
        <v>135.98749657499937</v>
      </c>
      <c r="Q44" s="3">
        <v>135.98749657499999</v>
      </c>
      <c r="R44" s="6">
        <f t="shared" si="10"/>
        <v>-6.2527760746888816E-13</v>
      </c>
      <c r="S44" s="6" t="str">
        <f t="shared" si="11"/>
        <v>OK</v>
      </c>
    </row>
    <row r="45" spans="1:19" x14ac:dyDescent="0.25">
      <c r="A45" s="3" t="str">
        <f t="shared" si="12"/>
        <v>04.05.2026</v>
      </c>
      <c r="B45" s="5">
        <v>28</v>
      </c>
      <c r="C45" s="5" t="s">
        <v>90</v>
      </c>
      <c r="D45" s="3">
        <v>9.2470499999999998</v>
      </c>
      <c r="E45" s="3">
        <v>9.1122599999999991</v>
      </c>
      <c r="F45" s="6">
        <f t="shared" si="0"/>
        <v>-0.13479000000000063</v>
      </c>
      <c r="G45" s="6">
        <f t="shared" si="1"/>
        <v>-1.4576540626470132E-2</v>
      </c>
      <c r="H45" s="6" t="str">
        <f t="shared" si="2"/>
        <v>🔴 Under-injection</v>
      </c>
      <c r="I45" s="6">
        <f t="shared" si="3"/>
        <v>0.13479000000000063</v>
      </c>
      <c r="J45" s="3">
        <v>2.9920999999999998</v>
      </c>
      <c r="K45" s="6">
        <f t="shared" si="4"/>
        <v>1.3870574999999998</v>
      </c>
      <c r="L45" s="6">
        <f t="shared" si="5"/>
        <v>1.84941</v>
      </c>
      <c r="M45" s="6">
        <f t="shared" si="6"/>
        <v>0.13479000000000063</v>
      </c>
      <c r="N45" s="6">
        <f t="shared" si="7"/>
        <v>0</v>
      </c>
      <c r="O45" s="6">
        <f t="shared" si="8"/>
        <v>0</v>
      </c>
      <c r="P45" s="6">
        <f t="shared" si="9"/>
        <v>105.8676042375005</v>
      </c>
      <c r="Q45" s="3">
        <v>105.86760423749999</v>
      </c>
      <c r="R45" s="6">
        <f t="shared" si="10"/>
        <v>5.1159076974727213E-13</v>
      </c>
      <c r="S45" s="6" t="str">
        <f t="shared" si="11"/>
        <v>OK</v>
      </c>
    </row>
    <row r="46" spans="1:19" x14ac:dyDescent="0.25">
      <c r="A46" s="3" t="str">
        <f t="shared" si="12"/>
        <v>04.05.2026</v>
      </c>
      <c r="B46" s="5">
        <v>29</v>
      </c>
      <c r="C46" s="5" t="s">
        <v>89</v>
      </c>
      <c r="D46" s="3">
        <v>9.2470499999999998</v>
      </c>
      <c r="E46" s="3">
        <v>9.1122599999999991</v>
      </c>
      <c r="F46" s="6">
        <f t="shared" si="0"/>
        <v>-0.13479000000000063</v>
      </c>
      <c r="G46" s="6">
        <f t="shared" si="1"/>
        <v>-1.4576540626470132E-2</v>
      </c>
      <c r="H46" s="6" t="str">
        <f t="shared" si="2"/>
        <v>🔴 Under-injection</v>
      </c>
      <c r="I46" s="6">
        <f t="shared" si="3"/>
        <v>0.13479000000000063</v>
      </c>
      <c r="J46" s="3">
        <v>2.8475000000000001</v>
      </c>
      <c r="K46" s="6">
        <f t="shared" si="4"/>
        <v>1.3870574999999998</v>
      </c>
      <c r="L46" s="6">
        <f t="shared" si="5"/>
        <v>1.84941</v>
      </c>
      <c r="M46" s="6">
        <f t="shared" si="6"/>
        <v>0.13479000000000063</v>
      </c>
      <c r="N46" s="6">
        <f t="shared" si="7"/>
        <v>0</v>
      </c>
      <c r="O46" s="6">
        <f t="shared" si="8"/>
        <v>0</v>
      </c>
      <c r="P46" s="6">
        <f t="shared" si="9"/>
        <v>100.75131281250047</v>
      </c>
      <c r="Q46" s="3">
        <v>100.75131281249999</v>
      </c>
      <c r="R46" s="6">
        <f t="shared" si="10"/>
        <v>4.8316906031686813E-13</v>
      </c>
      <c r="S46" s="6" t="str">
        <f t="shared" si="11"/>
        <v>OK</v>
      </c>
    </row>
    <row r="47" spans="1:19" x14ac:dyDescent="0.25">
      <c r="A47" s="3" t="str">
        <f t="shared" si="12"/>
        <v>04.05.2026</v>
      </c>
      <c r="B47" s="5">
        <v>30</v>
      </c>
      <c r="C47" s="5" t="s">
        <v>88</v>
      </c>
      <c r="D47" s="3">
        <v>9.2470499999999998</v>
      </c>
      <c r="E47" s="3">
        <v>9.1122599999999991</v>
      </c>
      <c r="F47" s="6">
        <f t="shared" si="0"/>
        <v>-0.13479000000000063</v>
      </c>
      <c r="G47" s="6">
        <f t="shared" si="1"/>
        <v>-1.4576540626470132E-2</v>
      </c>
      <c r="H47" s="6" t="str">
        <f t="shared" si="2"/>
        <v>🔴 Under-injection</v>
      </c>
      <c r="I47" s="6">
        <f t="shared" si="3"/>
        <v>0.13479000000000063</v>
      </c>
      <c r="J47" s="3">
        <v>2.1898</v>
      </c>
      <c r="K47" s="6">
        <f t="shared" si="4"/>
        <v>1.3870574999999998</v>
      </c>
      <c r="L47" s="6">
        <f t="shared" si="5"/>
        <v>1.84941</v>
      </c>
      <c r="M47" s="6">
        <f t="shared" si="6"/>
        <v>0.13479000000000063</v>
      </c>
      <c r="N47" s="6">
        <f t="shared" si="7"/>
        <v>0</v>
      </c>
      <c r="O47" s="6">
        <f t="shared" si="8"/>
        <v>0</v>
      </c>
      <c r="P47" s="6">
        <f t="shared" si="9"/>
        <v>77.480324775000355</v>
      </c>
      <c r="Q47" s="3">
        <v>77.480324775</v>
      </c>
      <c r="R47" s="6">
        <f t="shared" si="10"/>
        <v>3.5527136788005009E-13</v>
      </c>
      <c r="S47" s="6" t="str">
        <f t="shared" si="11"/>
        <v>OK</v>
      </c>
    </row>
    <row r="48" spans="1:19" x14ac:dyDescent="0.25">
      <c r="A48" s="3" t="str">
        <f t="shared" si="12"/>
        <v>04.05.2026</v>
      </c>
      <c r="B48" s="5">
        <v>31</v>
      </c>
      <c r="C48" s="5" t="s">
        <v>87</v>
      </c>
      <c r="D48" s="3">
        <v>9.2470499999999998</v>
      </c>
      <c r="E48" s="3">
        <v>9.1009200000000003</v>
      </c>
      <c r="F48" s="6">
        <f t="shared" si="0"/>
        <v>-0.14612999999999943</v>
      </c>
      <c r="G48" s="6">
        <f t="shared" si="1"/>
        <v>-1.5802877674501538E-2</v>
      </c>
      <c r="H48" s="6" t="str">
        <f t="shared" si="2"/>
        <v>🔴 Under-injection</v>
      </c>
      <c r="I48" s="6">
        <f t="shared" si="3"/>
        <v>0.14612999999999943</v>
      </c>
      <c r="J48" s="3">
        <v>1.8096000000000001</v>
      </c>
      <c r="K48" s="6">
        <f t="shared" si="4"/>
        <v>1.3870574999999998</v>
      </c>
      <c r="L48" s="6">
        <f t="shared" si="5"/>
        <v>1.84941</v>
      </c>
      <c r="M48" s="6">
        <f t="shared" si="6"/>
        <v>0.14612999999999943</v>
      </c>
      <c r="N48" s="6">
        <f t="shared" si="7"/>
        <v>0</v>
      </c>
      <c r="O48" s="6">
        <f t="shared" si="8"/>
        <v>0</v>
      </c>
      <c r="P48" s="6">
        <f t="shared" si="9"/>
        <v>69.414672599999733</v>
      </c>
      <c r="Q48" s="3">
        <v>69.414672600000017</v>
      </c>
      <c r="R48" s="6">
        <f t="shared" si="10"/>
        <v>-2.8421709430404007E-13</v>
      </c>
      <c r="S48" s="6" t="str">
        <f t="shared" si="11"/>
        <v>OK</v>
      </c>
    </row>
    <row r="49" spans="1:19" x14ac:dyDescent="0.25">
      <c r="A49" s="3" t="str">
        <f t="shared" si="12"/>
        <v>04.05.2026</v>
      </c>
      <c r="B49" s="5">
        <v>32</v>
      </c>
      <c r="C49" s="5" t="s">
        <v>86</v>
      </c>
      <c r="D49" s="3">
        <v>9.2470499999999998</v>
      </c>
      <c r="E49" s="3">
        <v>9.0895600000000005</v>
      </c>
      <c r="F49" s="6">
        <f t="shared" si="0"/>
        <v>-0.15748999999999924</v>
      </c>
      <c r="G49" s="6">
        <f t="shared" si="1"/>
        <v>-1.7031377574469615E-2</v>
      </c>
      <c r="H49" s="6" t="str">
        <f t="shared" si="2"/>
        <v>🔴 Under-injection</v>
      </c>
      <c r="I49" s="6">
        <f t="shared" si="3"/>
        <v>0.15748999999999924</v>
      </c>
      <c r="J49" s="3">
        <v>1.2803</v>
      </c>
      <c r="K49" s="6">
        <f t="shared" si="4"/>
        <v>1.3870574999999998</v>
      </c>
      <c r="L49" s="6">
        <f t="shared" si="5"/>
        <v>1.84941</v>
      </c>
      <c r="M49" s="6">
        <f t="shared" si="6"/>
        <v>0.15748999999999924</v>
      </c>
      <c r="N49" s="6">
        <f t="shared" si="7"/>
        <v>0</v>
      </c>
      <c r="O49" s="6">
        <f t="shared" si="8"/>
        <v>0</v>
      </c>
      <c r="P49" s="6">
        <f t="shared" si="9"/>
        <v>52.929042337499752</v>
      </c>
      <c r="Q49" s="3">
        <v>52.9290423375</v>
      </c>
      <c r="R49" s="6">
        <f t="shared" si="10"/>
        <v>-2.4868995751603507E-13</v>
      </c>
      <c r="S49" s="6" t="str">
        <f t="shared" si="11"/>
        <v>OK</v>
      </c>
    </row>
    <row r="50" spans="1:19" x14ac:dyDescent="0.25">
      <c r="A50" s="3" t="str">
        <f t="shared" si="12"/>
        <v>04.05.2026</v>
      </c>
      <c r="B50" s="5">
        <v>33</v>
      </c>
      <c r="C50" s="5" t="s">
        <v>85</v>
      </c>
      <c r="D50" s="3">
        <v>9.2470499999999998</v>
      </c>
      <c r="E50" s="3">
        <v>9.0895600000000005</v>
      </c>
      <c r="F50" s="6">
        <f t="shared" si="0"/>
        <v>-0.15748999999999924</v>
      </c>
      <c r="G50" s="6">
        <f t="shared" si="1"/>
        <v>-1.7031377574469615E-2</v>
      </c>
      <c r="H50" s="6" t="str">
        <f t="shared" si="2"/>
        <v>🔴 Under-injection</v>
      </c>
      <c r="I50" s="6">
        <f t="shared" si="3"/>
        <v>0.15748999999999924</v>
      </c>
      <c r="J50" s="3">
        <v>0.72329999999999994</v>
      </c>
      <c r="K50" s="6">
        <f t="shared" si="4"/>
        <v>1.3870574999999998</v>
      </c>
      <c r="L50" s="6">
        <f t="shared" si="5"/>
        <v>1.84941</v>
      </c>
      <c r="M50" s="6">
        <f t="shared" si="6"/>
        <v>0.15748999999999924</v>
      </c>
      <c r="N50" s="6">
        <f t="shared" si="7"/>
        <v>0</v>
      </c>
      <c r="O50" s="6">
        <f t="shared" si="8"/>
        <v>0</v>
      </c>
      <c r="P50" s="6">
        <f t="shared" si="9"/>
        <v>29.90203571249986</v>
      </c>
      <c r="Q50" s="3">
        <v>29.902035712499998</v>
      </c>
      <c r="R50" s="6">
        <f t="shared" si="10"/>
        <v>-1.3855583347321954E-13</v>
      </c>
      <c r="S50" s="6" t="str">
        <f t="shared" si="11"/>
        <v>OK</v>
      </c>
    </row>
    <row r="51" spans="1:19" x14ac:dyDescent="0.25">
      <c r="A51" s="3" t="str">
        <f t="shared" si="12"/>
        <v>04.05.2026</v>
      </c>
      <c r="B51" s="5">
        <v>34</v>
      </c>
      <c r="C51" s="5" t="s">
        <v>84</v>
      </c>
      <c r="D51" s="3">
        <v>9.2470499999999998</v>
      </c>
      <c r="E51" s="3">
        <v>9.1009200000000003</v>
      </c>
      <c r="F51" s="6">
        <f t="shared" si="0"/>
        <v>-0.14612999999999943</v>
      </c>
      <c r="G51" s="6">
        <f t="shared" si="1"/>
        <v>-1.5802877674501538E-2</v>
      </c>
      <c r="H51" s="6" t="str">
        <f t="shared" si="2"/>
        <v>🔴 Under-injection</v>
      </c>
      <c r="I51" s="6">
        <f t="shared" si="3"/>
        <v>0.14612999999999943</v>
      </c>
      <c r="J51" s="3">
        <v>0.73459999999999992</v>
      </c>
      <c r="K51" s="6">
        <f t="shared" si="4"/>
        <v>1.3870574999999998</v>
      </c>
      <c r="L51" s="6">
        <f t="shared" si="5"/>
        <v>1.84941</v>
      </c>
      <c r="M51" s="6">
        <f t="shared" si="6"/>
        <v>0.14612999999999943</v>
      </c>
      <c r="N51" s="6">
        <f t="shared" si="7"/>
        <v>0</v>
      </c>
      <c r="O51" s="6">
        <f t="shared" si="8"/>
        <v>0</v>
      </c>
      <c r="P51" s="6">
        <f t="shared" si="9"/>
        <v>28.178613224999886</v>
      </c>
      <c r="Q51" s="3">
        <v>28.178613224999999</v>
      </c>
      <c r="R51" s="6">
        <f t="shared" si="10"/>
        <v>-1.1368683772161603E-13</v>
      </c>
      <c r="S51" s="6" t="str">
        <f t="shared" si="11"/>
        <v>OK</v>
      </c>
    </row>
    <row r="52" spans="1:19" x14ac:dyDescent="0.25">
      <c r="A52" s="3" t="str">
        <f t="shared" si="12"/>
        <v>04.05.2026</v>
      </c>
      <c r="B52" s="5">
        <v>35</v>
      </c>
      <c r="C52" s="5" t="s">
        <v>83</v>
      </c>
      <c r="D52" s="3">
        <v>9.2470499999999998</v>
      </c>
      <c r="E52" s="3">
        <v>9.1009200000000003</v>
      </c>
      <c r="F52" s="6">
        <f t="shared" si="0"/>
        <v>-0.14612999999999943</v>
      </c>
      <c r="G52" s="6">
        <f t="shared" si="1"/>
        <v>-1.5802877674501538E-2</v>
      </c>
      <c r="H52" s="6" t="str">
        <f t="shared" si="2"/>
        <v>🔴 Under-injection</v>
      </c>
      <c r="I52" s="6">
        <f t="shared" si="3"/>
        <v>0.14612999999999943</v>
      </c>
      <c r="J52" s="3">
        <v>0.74370000000000003</v>
      </c>
      <c r="K52" s="6">
        <f t="shared" si="4"/>
        <v>1.3870574999999998</v>
      </c>
      <c r="L52" s="6">
        <f t="shared" si="5"/>
        <v>1.84941</v>
      </c>
      <c r="M52" s="6">
        <f t="shared" si="6"/>
        <v>0.14612999999999943</v>
      </c>
      <c r="N52" s="6">
        <f t="shared" si="7"/>
        <v>0</v>
      </c>
      <c r="O52" s="6">
        <f t="shared" si="8"/>
        <v>0</v>
      </c>
      <c r="P52" s="6">
        <f t="shared" si="9"/>
        <v>28.52768126249989</v>
      </c>
      <c r="Q52" s="3">
        <v>28.527681262500003</v>
      </c>
      <c r="R52" s="6">
        <f t="shared" si="10"/>
        <v>-1.1368683772161603E-13</v>
      </c>
      <c r="S52" s="6" t="str">
        <f t="shared" si="11"/>
        <v>OK</v>
      </c>
    </row>
    <row r="53" spans="1:19" x14ac:dyDescent="0.25">
      <c r="A53" s="3" t="str">
        <f t="shared" si="12"/>
        <v>04.05.2026</v>
      </c>
      <c r="B53" s="5">
        <v>36</v>
      </c>
      <c r="C53" s="5" t="s">
        <v>82</v>
      </c>
      <c r="D53" s="3">
        <v>9.2470499999999998</v>
      </c>
      <c r="E53" s="3">
        <v>8.9534000000000002</v>
      </c>
      <c r="F53" s="6">
        <f t="shared" si="0"/>
        <v>-0.29364999999999952</v>
      </c>
      <c r="G53" s="6">
        <f t="shared" si="1"/>
        <v>-3.1756073558594312E-2</v>
      </c>
      <c r="H53" s="6" t="str">
        <f t="shared" si="2"/>
        <v>🔴 Under-injection</v>
      </c>
      <c r="I53" s="6">
        <f t="shared" si="3"/>
        <v>0.29364999999999952</v>
      </c>
      <c r="J53" s="3">
        <v>0.45909999999999995</v>
      </c>
      <c r="K53" s="6">
        <f t="shared" si="4"/>
        <v>1.3870574999999998</v>
      </c>
      <c r="L53" s="6">
        <f t="shared" si="5"/>
        <v>1.84941</v>
      </c>
      <c r="M53" s="6">
        <f t="shared" si="6"/>
        <v>0.29364999999999952</v>
      </c>
      <c r="N53" s="6">
        <f t="shared" si="7"/>
        <v>0</v>
      </c>
      <c r="O53" s="6">
        <f t="shared" si="8"/>
        <v>0</v>
      </c>
      <c r="P53" s="6">
        <f t="shared" si="9"/>
        <v>35.388862687499937</v>
      </c>
      <c r="Q53" s="3">
        <v>35.388862687500001</v>
      </c>
      <c r="R53" s="6">
        <f t="shared" si="10"/>
        <v>-6.3948846218409017E-14</v>
      </c>
      <c r="S53" s="6" t="str">
        <f t="shared" si="11"/>
        <v>OK</v>
      </c>
    </row>
    <row r="54" spans="1:19" x14ac:dyDescent="0.25">
      <c r="A54" s="3" t="str">
        <f t="shared" si="12"/>
        <v>04.05.2026</v>
      </c>
      <c r="B54" s="5">
        <v>37</v>
      </c>
      <c r="C54" s="5" t="s">
        <v>81</v>
      </c>
      <c r="D54" s="3">
        <v>9.2470499999999998</v>
      </c>
      <c r="E54" s="3">
        <v>9.0441800000000008</v>
      </c>
      <c r="F54" s="6">
        <f t="shared" si="0"/>
        <v>-0.202869999999999</v>
      </c>
      <c r="G54" s="6">
        <f t="shared" si="1"/>
        <v>-2.1938888618532288E-2</v>
      </c>
      <c r="H54" s="6" t="str">
        <f t="shared" si="2"/>
        <v>🔴 Under-injection</v>
      </c>
      <c r="I54" s="6">
        <f t="shared" si="3"/>
        <v>0.202869999999999</v>
      </c>
      <c r="J54" s="3">
        <v>0.46060000000000001</v>
      </c>
      <c r="K54" s="6">
        <f t="shared" si="4"/>
        <v>1.3870574999999998</v>
      </c>
      <c r="L54" s="6">
        <f t="shared" si="5"/>
        <v>1.84941</v>
      </c>
      <c r="M54" s="6">
        <f t="shared" si="6"/>
        <v>0.202869999999999</v>
      </c>
      <c r="N54" s="6">
        <f t="shared" si="7"/>
        <v>0</v>
      </c>
      <c r="O54" s="6">
        <f t="shared" si="8"/>
        <v>0</v>
      </c>
      <c r="P54" s="6">
        <f t="shared" si="9"/>
        <v>24.528504524999882</v>
      </c>
      <c r="Q54" s="3">
        <v>24.528504524999999</v>
      </c>
      <c r="R54" s="6">
        <f t="shared" si="10"/>
        <v>-1.1723955140041653E-13</v>
      </c>
      <c r="S54" s="6" t="str">
        <f t="shared" si="11"/>
        <v>OK</v>
      </c>
    </row>
    <row r="55" spans="1:19" x14ac:dyDescent="0.25">
      <c r="A55" s="3" t="str">
        <f t="shared" si="12"/>
        <v>04.05.2026</v>
      </c>
      <c r="B55" s="5">
        <v>38</v>
      </c>
      <c r="C55" s="5" t="s">
        <v>80</v>
      </c>
      <c r="D55" s="3">
        <v>9.2470499999999998</v>
      </c>
      <c r="E55" s="3">
        <v>9.1236099999999993</v>
      </c>
      <c r="F55" s="6">
        <f t="shared" si="0"/>
        <v>-0.12344000000000044</v>
      </c>
      <c r="G55" s="6">
        <f t="shared" si="1"/>
        <v>-1.3349122152470295E-2</v>
      </c>
      <c r="H55" s="6" t="str">
        <f t="shared" si="2"/>
        <v>🔴 Under-injection</v>
      </c>
      <c r="I55" s="6">
        <f t="shared" si="3"/>
        <v>0.12344000000000044</v>
      </c>
      <c r="J55" s="3">
        <v>0.46</v>
      </c>
      <c r="K55" s="6">
        <f t="shared" si="4"/>
        <v>1.3870574999999998</v>
      </c>
      <c r="L55" s="6">
        <f t="shared" si="5"/>
        <v>1.84941</v>
      </c>
      <c r="M55" s="6">
        <f t="shared" si="6"/>
        <v>0.12344000000000044</v>
      </c>
      <c r="N55" s="6">
        <f t="shared" si="7"/>
        <v>0</v>
      </c>
      <c r="O55" s="6">
        <f t="shared" si="8"/>
        <v>0</v>
      </c>
      <c r="P55" s="6">
        <f t="shared" si="9"/>
        <v>14.905380000000054</v>
      </c>
      <c r="Q55" s="3">
        <v>14.905380000000001</v>
      </c>
      <c r="R55" s="6">
        <f t="shared" si="10"/>
        <v>5.3290705182007514E-14</v>
      </c>
      <c r="S55" s="6" t="str">
        <f t="shared" si="11"/>
        <v>OK</v>
      </c>
    </row>
    <row r="56" spans="1:19" x14ac:dyDescent="0.25">
      <c r="A56" s="3" t="str">
        <f t="shared" si="12"/>
        <v>04.05.2026</v>
      </c>
      <c r="B56" s="5">
        <v>39</v>
      </c>
      <c r="C56" s="5" t="s">
        <v>79</v>
      </c>
      <c r="D56" s="3">
        <v>9.2470499999999998</v>
      </c>
      <c r="E56" s="3">
        <v>9.1236099999999993</v>
      </c>
      <c r="F56" s="6">
        <f t="shared" si="0"/>
        <v>-0.12344000000000044</v>
      </c>
      <c r="G56" s="6">
        <f t="shared" si="1"/>
        <v>-1.3349122152470295E-2</v>
      </c>
      <c r="H56" s="6" t="str">
        <f t="shared" si="2"/>
        <v>🔴 Under-injection</v>
      </c>
      <c r="I56" s="6">
        <f t="shared" si="3"/>
        <v>0.12344000000000044</v>
      </c>
      <c r="J56" s="3">
        <v>0.5413</v>
      </c>
      <c r="K56" s="6">
        <f t="shared" si="4"/>
        <v>1.3870574999999998</v>
      </c>
      <c r="L56" s="6">
        <f t="shared" si="5"/>
        <v>1.84941</v>
      </c>
      <c r="M56" s="6">
        <f t="shared" si="6"/>
        <v>0.12344000000000044</v>
      </c>
      <c r="N56" s="6">
        <f t="shared" si="7"/>
        <v>0</v>
      </c>
      <c r="O56" s="6">
        <f t="shared" si="8"/>
        <v>0</v>
      </c>
      <c r="P56" s="6">
        <f t="shared" si="9"/>
        <v>17.539743900000065</v>
      </c>
      <c r="Q56" s="3">
        <v>17.539743899999998</v>
      </c>
      <c r="R56" s="6">
        <f t="shared" si="10"/>
        <v>6.7501559897209518E-14</v>
      </c>
      <c r="S56" s="6" t="str">
        <f t="shared" si="11"/>
        <v>OK</v>
      </c>
    </row>
    <row r="57" spans="1:19" x14ac:dyDescent="0.25">
      <c r="A57" s="3" t="str">
        <f t="shared" si="12"/>
        <v>04.05.2026</v>
      </c>
      <c r="B57" s="5">
        <v>40</v>
      </c>
      <c r="C57" s="5" t="s">
        <v>78</v>
      </c>
      <c r="D57" s="3">
        <v>9.2470499999999998</v>
      </c>
      <c r="E57" s="3">
        <v>9.1236099999999993</v>
      </c>
      <c r="F57" s="6">
        <f t="shared" si="0"/>
        <v>-0.12344000000000044</v>
      </c>
      <c r="G57" s="6">
        <f t="shared" si="1"/>
        <v>-1.3349122152470295E-2</v>
      </c>
      <c r="H57" s="6" t="str">
        <f t="shared" si="2"/>
        <v>🔴 Under-injection</v>
      </c>
      <c r="I57" s="6">
        <f t="shared" si="3"/>
        <v>0.12344000000000044</v>
      </c>
      <c r="J57" s="3">
        <v>0.4204</v>
      </c>
      <c r="K57" s="6">
        <f t="shared" si="4"/>
        <v>1.3870574999999998</v>
      </c>
      <c r="L57" s="6">
        <f t="shared" si="5"/>
        <v>1.84941</v>
      </c>
      <c r="M57" s="6">
        <f t="shared" si="6"/>
        <v>0.12344000000000044</v>
      </c>
      <c r="N57" s="6">
        <f t="shared" si="7"/>
        <v>0</v>
      </c>
      <c r="O57" s="6">
        <f t="shared" si="8"/>
        <v>0</v>
      </c>
      <c r="P57" s="6">
        <f t="shared" si="9"/>
        <v>13.62222120000005</v>
      </c>
      <c r="Q57" s="3">
        <v>13.622221200000002</v>
      </c>
      <c r="R57" s="6">
        <f t="shared" si="10"/>
        <v>4.7961634663806763E-14</v>
      </c>
      <c r="S57" s="6" t="str">
        <f t="shared" si="11"/>
        <v>OK</v>
      </c>
    </row>
    <row r="58" spans="1:19" x14ac:dyDescent="0.25">
      <c r="A58" s="3" t="str">
        <f t="shared" si="12"/>
        <v>04.05.2026</v>
      </c>
      <c r="B58" s="5">
        <v>41</v>
      </c>
      <c r="C58" s="5" t="s">
        <v>77</v>
      </c>
      <c r="D58" s="3">
        <v>9.2470499999999998</v>
      </c>
      <c r="E58" s="3">
        <v>9.1236099999999993</v>
      </c>
      <c r="F58" s="6">
        <f t="shared" si="0"/>
        <v>-0.12344000000000044</v>
      </c>
      <c r="G58" s="6">
        <f t="shared" si="1"/>
        <v>-1.3349122152470295E-2</v>
      </c>
      <c r="H58" s="6" t="str">
        <f t="shared" si="2"/>
        <v>🔴 Under-injection</v>
      </c>
      <c r="I58" s="6">
        <f t="shared" si="3"/>
        <v>0.12344000000000044</v>
      </c>
      <c r="J58" s="3">
        <v>0.42270000000000002</v>
      </c>
      <c r="K58" s="6">
        <f t="shared" si="4"/>
        <v>1.3870574999999998</v>
      </c>
      <c r="L58" s="6">
        <f t="shared" si="5"/>
        <v>1.84941</v>
      </c>
      <c r="M58" s="6">
        <f t="shared" si="6"/>
        <v>0.12344000000000044</v>
      </c>
      <c r="N58" s="6">
        <f t="shared" si="7"/>
        <v>0</v>
      </c>
      <c r="O58" s="6">
        <f t="shared" si="8"/>
        <v>0</v>
      </c>
      <c r="P58" s="6">
        <f t="shared" si="9"/>
        <v>13.696748100000052</v>
      </c>
      <c r="Q58" s="3">
        <v>13.696748100000001</v>
      </c>
      <c r="R58" s="6">
        <f t="shared" si="10"/>
        <v>5.1514348342607263E-14</v>
      </c>
      <c r="S58" s="6" t="str">
        <f t="shared" si="11"/>
        <v>OK</v>
      </c>
    </row>
    <row r="59" spans="1:19" x14ac:dyDescent="0.25">
      <c r="A59" s="3" t="str">
        <f t="shared" si="12"/>
        <v>04.05.2026</v>
      </c>
      <c r="B59" s="5">
        <v>42</v>
      </c>
      <c r="C59" s="5" t="s">
        <v>76</v>
      </c>
      <c r="D59" s="3">
        <v>9.2470499999999998</v>
      </c>
      <c r="E59" s="3">
        <v>9.1236099999999993</v>
      </c>
      <c r="F59" s="6">
        <f t="shared" si="0"/>
        <v>-0.12344000000000044</v>
      </c>
      <c r="G59" s="6">
        <f t="shared" si="1"/>
        <v>-1.3349122152470295E-2</v>
      </c>
      <c r="H59" s="6" t="str">
        <f t="shared" si="2"/>
        <v>🔴 Under-injection</v>
      </c>
      <c r="I59" s="6">
        <f t="shared" si="3"/>
        <v>0.12344000000000044</v>
      </c>
      <c r="J59" s="3">
        <v>0.42270000000000002</v>
      </c>
      <c r="K59" s="6">
        <f t="shared" si="4"/>
        <v>1.3870574999999998</v>
      </c>
      <c r="L59" s="6">
        <f t="shared" si="5"/>
        <v>1.84941</v>
      </c>
      <c r="M59" s="6">
        <f t="shared" si="6"/>
        <v>0.12344000000000044</v>
      </c>
      <c r="N59" s="6">
        <f t="shared" si="7"/>
        <v>0</v>
      </c>
      <c r="O59" s="6">
        <f t="shared" si="8"/>
        <v>0</v>
      </c>
      <c r="P59" s="6">
        <f t="shared" si="9"/>
        <v>13.696748100000052</v>
      </c>
      <c r="Q59" s="3">
        <v>13.696748100000001</v>
      </c>
      <c r="R59" s="6">
        <f t="shared" si="10"/>
        <v>5.1514348342607263E-14</v>
      </c>
      <c r="S59" s="6" t="str">
        <f t="shared" si="11"/>
        <v>OK</v>
      </c>
    </row>
    <row r="60" spans="1:19" x14ac:dyDescent="0.25">
      <c r="A60" s="3" t="str">
        <f t="shared" si="12"/>
        <v>04.05.2026</v>
      </c>
      <c r="B60" s="5">
        <v>43</v>
      </c>
      <c r="C60" s="5" t="s">
        <v>75</v>
      </c>
      <c r="D60" s="3">
        <v>9.2470499999999998</v>
      </c>
      <c r="E60" s="3">
        <v>9.1122599999999991</v>
      </c>
      <c r="F60" s="6">
        <f t="shared" si="0"/>
        <v>-0.13479000000000063</v>
      </c>
      <c r="G60" s="6">
        <f t="shared" si="1"/>
        <v>-1.4576540626470132E-2</v>
      </c>
      <c r="H60" s="6" t="str">
        <f t="shared" si="2"/>
        <v>🔴 Under-injection</v>
      </c>
      <c r="I60" s="6">
        <f t="shared" si="3"/>
        <v>0.13479000000000063</v>
      </c>
      <c r="J60" s="3">
        <v>0.42210000000000003</v>
      </c>
      <c r="K60" s="6">
        <f t="shared" si="4"/>
        <v>1.3870574999999998</v>
      </c>
      <c r="L60" s="6">
        <f t="shared" si="5"/>
        <v>1.84941</v>
      </c>
      <c r="M60" s="6">
        <f t="shared" si="6"/>
        <v>0.13479000000000063</v>
      </c>
      <c r="N60" s="6">
        <f t="shared" si="7"/>
        <v>0</v>
      </c>
      <c r="O60" s="6">
        <f t="shared" si="8"/>
        <v>0</v>
      </c>
      <c r="P60" s="6">
        <f t="shared" si="9"/>
        <v>14.934900487500073</v>
      </c>
      <c r="Q60" s="3">
        <v>14.934900487500002</v>
      </c>
      <c r="R60" s="6">
        <f t="shared" si="10"/>
        <v>7.1054273576010019E-14</v>
      </c>
      <c r="S60" s="6" t="str">
        <f t="shared" si="11"/>
        <v>OK</v>
      </c>
    </row>
    <row r="61" spans="1:19" x14ac:dyDescent="0.25">
      <c r="A61" s="3" t="str">
        <f t="shared" si="12"/>
        <v>04.05.2026</v>
      </c>
      <c r="B61" s="5">
        <v>44</v>
      </c>
      <c r="C61" s="5" t="s">
        <v>74</v>
      </c>
      <c r="D61" s="3">
        <v>9.2470499999999998</v>
      </c>
      <c r="E61" s="3">
        <v>9.1236099999999993</v>
      </c>
      <c r="F61" s="6">
        <f t="shared" si="0"/>
        <v>-0.12344000000000044</v>
      </c>
      <c r="G61" s="6">
        <f t="shared" si="1"/>
        <v>-1.3349122152470295E-2</v>
      </c>
      <c r="H61" s="6" t="str">
        <f t="shared" si="2"/>
        <v>🔴 Under-injection</v>
      </c>
      <c r="I61" s="6">
        <f t="shared" si="3"/>
        <v>0.12344000000000044</v>
      </c>
      <c r="J61" s="3">
        <v>0.45159999999999995</v>
      </c>
      <c r="K61" s="6">
        <f t="shared" si="4"/>
        <v>1.3870574999999998</v>
      </c>
      <c r="L61" s="6">
        <f t="shared" si="5"/>
        <v>1.84941</v>
      </c>
      <c r="M61" s="6">
        <f t="shared" si="6"/>
        <v>0.12344000000000044</v>
      </c>
      <c r="N61" s="6">
        <f t="shared" si="7"/>
        <v>0</v>
      </c>
      <c r="O61" s="6">
        <f t="shared" si="8"/>
        <v>0</v>
      </c>
      <c r="P61" s="6">
        <f t="shared" si="9"/>
        <v>14.633194800000053</v>
      </c>
      <c r="Q61" s="3">
        <v>14.633194799999998</v>
      </c>
      <c r="R61" s="6">
        <f t="shared" si="10"/>
        <v>5.5067062021407764E-14</v>
      </c>
      <c r="S61" s="6" t="str">
        <f t="shared" si="11"/>
        <v>OK</v>
      </c>
    </row>
    <row r="62" spans="1:19" x14ac:dyDescent="0.25">
      <c r="A62" s="3" t="str">
        <f t="shared" si="12"/>
        <v>04.05.2026</v>
      </c>
      <c r="B62" s="5">
        <v>45</v>
      </c>
      <c r="C62" s="5" t="s">
        <v>73</v>
      </c>
      <c r="D62" s="3">
        <v>9.2470499999999998</v>
      </c>
      <c r="E62" s="3">
        <v>9.07822</v>
      </c>
      <c r="F62" s="6">
        <f t="shared" si="0"/>
        <v>-0.16882999999999981</v>
      </c>
      <c r="G62" s="6">
        <f t="shared" si="1"/>
        <v>-1.8257714622501212E-2</v>
      </c>
      <c r="H62" s="6" t="str">
        <f t="shared" si="2"/>
        <v>🔴 Under-injection</v>
      </c>
      <c r="I62" s="6">
        <f t="shared" si="3"/>
        <v>0.16882999999999981</v>
      </c>
      <c r="J62" s="3">
        <v>0.38770000000000004</v>
      </c>
      <c r="K62" s="6">
        <f t="shared" si="4"/>
        <v>1.3870574999999998</v>
      </c>
      <c r="L62" s="6">
        <f t="shared" si="5"/>
        <v>1.84941</v>
      </c>
      <c r="M62" s="6">
        <f t="shared" si="6"/>
        <v>0.16882999999999981</v>
      </c>
      <c r="N62" s="6">
        <f t="shared" si="7"/>
        <v>0</v>
      </c>
      <c r="O62" s="6">
        <f t="shared" si="8"/>
        <v>0</v>
      </c>
      <c r="P62" s="6">
        <f t="shared" si="9"/>
        <v>17.182040137499982</v>
      </c>
      <c r="Q62" s="3">
        <v>17.182040137500003</v>
      </c>
      <c r="R62" s="6">
        <f t="shared" si="10"/>
        <v>0</v>
      </c>
      <c r="S62" s="6" t="str">
        <f t="shared" si="11"/>
        <v>OK</v>
      </c>
    </row>
    <row r="63" spans="1:19" x14ac:dyDescent="0.25">
      <c r="A63" s="3" t="str">
        <f t="shared" si="12"/>
        <v>04.05.2026</v>
      </c>
      <c r="B63" s="5">
        <v>46</v>
      </c>
      <c r="C63" s="5" t="s">
        <v>72</v>
      </c>
      <c r="D63" s="3">
        <v>9.2470499999999998</v>
      </c>
      <c r="E63" s="3">
        <v>9.0895600000000005</v>
      </c>
      <c r="F63" s="6">
        <f t="shared" si="0"/>
        <v>-0.15748999999999924</v>
      </c>
      <c r="G63" s="6">
        <f t="shared" si="1"/>
        <v>-1.7031377574469615E-2</v>
      </c>
      <c r="H63" s="6" t="str">
        <f t="shared" si="2"/>
        <v>🔴 Under-injection</v>
      </c>
      <c r="I63" s="6">
        <f t="shared" si="3"/>
        <v>0.15748999999999924</v>
      </c>
      <c r="J63" s="3">
        <v>0.4204</v>
      </c>
      <c r="K63" s="6">
        <f t="shared" si="4"/>
        <v>1.3870574999999998</v>
      </c>
      <c r="L63" s="6">
        <f t="shared" si="5"/>
        <v>1.84941</v>
      </c>
      <c r="M63" s="6">
        <f t="shared" si="6"/>
        <v>0.15748999999999924</v>
      </c>
      <c r="N63" s="6">
        <f t="shared" si="7"/>
        <v>0</v>
      </c>
      <c r="O63" s="6">
        <f t="shared" si="8"/>
        <v>0</v>
      </c>
      <c r="P63" s="6">
        <f t="shared" si="9"/>
        <v>17.379808949999919</v>
      </c>
      <c r="Q63" s="3">
        <v>17.379808949999997</v>
      </c>
      <c r="R63" s="6">
        <f t="shared" si="10"/>
        <v>-7.815970093361102E-14</v>
      </c>
      <c r="S63" s="6" t="str">
        <f t="shared" si="11"/>
        <v>OK</v>
      </c>
    </row>
    <row r="64" spans="1:19" x14ac:dyDescent="0.25">
      <c r="A64" s="3" t="str">
        <f t="shared" si="12"/>
        <v>04.05.2026</v>
      </c>
      <c r="B64" s="5">
        <v>47</v>
      </c>
      <c r="C64" s="5" t="s">
        <v>71</v>
      </c>
      <c r="D64" s="3">
        <v>9.2470499999999998</v>
      </c>
      <c r="E64" s="3">
        <v>9.1009200000000003</v>
      </c>
      <c r="F64" s="6">
        <f t="shared" si="0"/>
        <v>-0.14612999999999943</v>
      </c>
      <c r="G64" s="6">
        <f t="shared" si="1"/>
        <v>-1.5802877674501538E-2</v>
      </c>
      <c r="H64" s="6" t="str">
        <f t="shared" si="2"/>
        <v>🔴 Under-injection</v>
      </c>
      <c r="I64" s="6">
        <f t="shared" si="3"/>
        <v>0.14612999999999943</v>
      </c>
      <c r="J64" s="3">
        <v>0.47770000000000001</v>
      </c>
      <c r="K64" s="6">
        <f t="shared" si="4"/>
        <v>1.3870574999999998</v>
      </c>
      <c r="L64" s="6">
        <f t="shared" si="5"/>
        <v>1.84941</v>
      </c>
      <c r="M64" s="6">
        <f t="shared" si="6"/>
        <v>0.14612999999999943</v>
      </c>
      <c r="N64" s="6">
        <f t="shared" si="7"/>
        <v>0</v>
      </c>
      <c r="O64" s="6">
        <f t="shared" si="8"/>
        <v>0</v>
      </c>
      <c r="P64" s="6">
        <f t="shared" si="9"/>
        <v>18.324154012499928</v>
      </c>
      <c r="Q64" s="3">
        <v>18.324154012500003</v>
      </c>
      <c r="R64" s="6">
        <f t="shared" si="10"/>
        <v>-7.460698725481052E-14</v>
      </c>
      <c r="S64" s="6" t="str">
        <f t="shared" si="11"/>
        <v>OK</v>
      </c>
    </row>
    <row r="65" spans="1:19" x14ac:dyDescent="0.25">
      <c r="A65" s="3" t="str">
        <f t="shared" si="12"/>
        <v>04.05.2026</v>
      </c>
      <c r="B65" s="5">
        <v>48</v>
      </c>
      <c r="C65" s="5" t="s">
        <v>70</v>
      </c>
      <c r="D65" s="3">
        <v>9.2470499999999998</v>
      </c>
      <c r="E65" s="3">
        <v>9.0895600000000005</v>
      </c>
      <c r="F65" s="6">
        <f t="shared" si="0"/>
        <v>-0.15748999999999924</v>
      </c>
      <c r="G65" s="6">
        <f t="shared" si="1"/>
        <v>-1.7031377574469615E-2</v>
      </c>
      <c r="H65" s="6" t="str">
        <f t="shared" si="2"/>
        <v>🔴 Under-injection</v>
      </c>
      <c r="I65" s="6">
        <f t="shared" si="3"/>
        <v>0.15748999999999924</v>
      </c>
      <c r="J65" s="3">
        <v>0.54579999999999995</v>
      </c>
      <c r="K65" s="6">
        <f t="shared" si="4"/>
        <v>1.3870574999999998</v>
      </c>
      <c r="L65" s="6">
        <f t="shared" si="5"/>
        <v>1.84941</v>
      </c>
      <c r="M65" s="6">
        <f t="shared" si="6"/>
        <v>0.15748999999999924</v>
      </c>
      <c r="N65" s="6">
        <f t="shared" si="7"/>
        <v>0</v>
      </c>
      <c r="O65" s="6">
        <f t="shared" si="8"/>
        <v>0</v>
      </c>
      <c r="P65" s="6">
        <f t="shared" si="9"/>
        <v>22.563986024999892</v>
      </c>
      <c r="Q65" s="3">
        <v>22.563986024999998</v>
      </c>
      <c r="R65" s="6">
        <f t="shared" si="10"/>
        <v>-1.0658141036401503E-13</v>
      </c>
      <c r="S65" s="6" t="str">
        <f t="shared" si="11"/>
        <v>OK</v>
      </c>
    </row>
    <row r="66" spans="1:19" x14ac:dyDescent="0.25">
      <c r="A66" s="3" t="str">
        <f t="shared" si="12"/>
        <v>04.05.2026</v>
      </c>
      <c r="B66" s="5">
        <v>49</v>
      </c>
      <c r="C66" s="5" t="s">
        <v>69</v>
      </c>
      <c r="D66" s="3">
        <v>9.2470499999999998</v>
      </c>
      <c r="E66" s="3">
        <v>9.0895600000000005</v>
      </c>
      <c r="F66" s="6">
        <f t="shared" si="0"/>
        <v>-0.15748999999999924</v>
      </c>
      <c r="G66" s="6">
        <f t="shared" si="1"/>
        <v>-1.7031377574469615E-2</v>
      </c>
      <c r="H66" s="6" t="str">
        <f t="shared" si="2"/>
        <v>🔴 Under-injection</v>
      </c>
      <c r="I66" s="6">
        <f t="shared" si="3"/>
        <v>0.15748999999999924</v>
      </c>
      <c r="J66" s="3">
        <v>0.5454</v>
      </c>
      <c r="K66" s="6">
        <f t="shared" si="4"/>
        <v>1.3870574999999998</v>
      </c>
      <c r="L66" s="6">
        <f t="shared" si="5"/>
        <v>1.84941</v>
      </c>
      <c r="M66" s="6">
        <f t="shared" si="6"/>
        <v>0.15748999999999924</v>
      </c>
      <c r="N66" s="6">
        <f t="shared" si="7"/>
        <v>0</v>
      </c>
      <c r="O66" s="6">
        <f t="shared" si="8"/>
        <v>0</v>
      </c>
      <c r="P66" s="6">
        <f t="shared" si="9"/>
        <v>22.547449574999892</v>
      </c>
      <c r="Q66" s="3">
        <v>22.547449574999998</v>
      </c>
      <c r="R66" s="6">
        <f t="shared" si="10"/>
        <v>-1.0658141036401503E-13</v>
      </c>
      <c r="S66" s="6" t="str">
        <f t="shared" si="11"/>
        <v>OK</v>
      </c>
    </row>
    <row r="67" spans="1:19" x14ac:dyDescent="0.25">
      <c r="A67" s="3" t="str">
        <f t="shared" si="12"/>
        <v>04.05.2026</v>
      </c>
      <c r="B67" s="5">
        <v>50</v>
      </c>
      <c r="C67" s="5" t="s">
        <v>68</v>
      </c>
      <c r="D67" s="3">
        <v>9.2470499999999998</v>
      </c>
      <c r="E67" s="3">
        <v>9.1009200000000003</v>
      </c>
      <c r="F67" s="6">
        <f t="shared" si="0"/>
        <v>-0.14612999999999943</v>
      </c>
      <c r="G67" s="6">
        <f t="shared" si="1"/>
        <v>-1.5802877674501538E-2</v>
      </c>
      <c r="H67" s="6" t="str">
        <f t="shared" si="2"/>
        <v>🔴 Under-injection</v>
      </c>
      <c r="I67" s="6">
        <f t="shared" si="3"/>
        <v>0.14612999999999943</v>
      </c>
      <c r="J67" s="3">
        <v>0.50529999999999997</v>
      </c>
      <c r="K67" s="6">
        <f t="shared" si="4"/>
        <v>1.3870574999999998</v>
      </c>
      <c r="L67" s="6">
        <f t="shared" si="5"/>
        <v>1.84941</v>
      </c>
      <c r="M67" s="6">
        <f t="shared" si="6"/>
        <v>0.14612999999999943</v>
      </c>
      <c r="N67" s="6">
        <f t="shared" si="7"/>
        <v>0</v>
      </c>
      <c r="O67" s="6">
        <f t="shared" si="8"/>
        <v>0</v>
      </c>
      <c r="P67" s="6">
        <f t="shared" si="9"/>
        <v>19.382865862499923</v>
      </c>
      <c r="Q67" s="3">
        <v>19.382865862500001</v>
      </c>
      <c r="R67" s="6">
        <f t="shared" si="10"/>
        <v>-7.815970093361102E-14</v>
      </c>
      <c r="S67" s="6" t="str">
        <f t="shared" si="11"/>
        <v>OK</v>
      </c>
    </row>
    <row r="68" spans="1:19" x14ac:dyDescent="0.25">
      <c r="A68" s="3" t="str">
        <f t="shared" si="12"/>
        <v>04.05.2026</v>
      </c>
      <c r="B68" s="5">
        <v>51</v>
      </c>
      <c r="C68" s="5" t="s">
        <v>67</v>
      </c>
      <c r="D68" s="3">
        <v>9.2470499999999998</v>
      </c>
      <c r="E68" s="3">
        <v>9.07822</v>
      </c>
      <c r="F68" s="6">
        <f t="shared" si="0"/>
        <v>-0.16882999999999981</v>
      </c>
      <c r="G68" s="6">
        <f t="shared" si="1"/>
        <v>-1.8257714622501212E-2</v>
      </c>
      <c r="H68" s="6" t="str">
        <f t="shared" si="2"/>
        <v>🔴 Under-injection</v>
      </c>
      <c r="I68" s="6">
        <f t="shared" si="3"/>
        <v>0.16882999999999981</v>
      </c>
      <c r="J68" s="3">
        <v>0.50439999999999996</v>
      </c>
      <c r="K68" s="6">
        <f t="shared" si="4"/>
        <v>1.3870574999999998</v>
      </c>
      <c r="L68" s="6">
        <f t="shared" si="5"/>
        <v>1.84941</v>
      </c>
      <c r="M68" s="6">
        <f t="shared" si="6"/>
        <v>0.16882999999999981</v>
      </c>
      <c r="N68" s="6">
        <f t="shared" si="7"/>
        <v>0</v>
      </c>
      <c r="O68" s="6">
        <f t="shared" si="8"/>
        <v>0</v>
      </c>
      <c r="P68" s="6">
        <f t="shared" si="9"/>
        <v>22.353936149999971</v>
      </c>
      <c r="Q68" s="3">
        <v>22.353936149999999</v>
      </c>
      <c r="R68" s="6">
        <f t="shared" si="10"/>
        <v>-2.8421709430404007E-14</v>
      </c>
      <c r="S68" s="6" t="str">
        <f t="shared" si="11"/>
        <v>OK</v>
      </c>
    </row>
    <row r="69" spans="1:19" x14ac:dyDescent="0.25">
      <c r="A69" s="3" t="str">
        <f t="shared" si="12"/>
        <v>04.05.2026</v>
      </c>
      <c r="B69" s="5">
        <v>52</v>
      </c>
      <c r="C69" s="5" t="s">
        <v>66</v>
      </c>
      <c r="D69" s="3">
        <v>9.2470499999999998</v>
      </c>
      <c r="E69" s="3">
        <v>9.07822</v>
      </c>
      <c r="F69" s="6">
        <f t="shared" si="0"/>
        <v>-0.16882999999999981</v>
      </c>
      <c r="G69" s="6">
        <f t="shared" si="1"/>
        <v>-1.8257714622501212E-2</v>
      </c>
      <c r="H69" s="6" t="str">
        <f t="shared" si="2"/>
        <v>🔴 Under-injection</v>
      </c>
      <c r="I69" s="6">
        <f t="shared" si="3"/>
        <v>0.16882999999999981</v>
      </c>
      <c r="J69" s="3">
        <v>0.50490000000000002</v>
      </c>
      <c r="K69" s="6">
        <f t="shared" si="4"/>
        <v>1.3870574999999998</v>
      </c>
      <c r="L69" s="6">
        <f t="shared" si="5"/>
        <v>1.84941</v>
      </c>
      <c r="M69" s="6">
        <f t="shared" si="6"/>
        <v>0.16882999999999981</v>
      </c>
      <c r="N69" s="6">
        <f t="shared" si="7"/>
        <v>0</v>
      </c>
      <c r="O69" s="6">
        <f t="shared" si="8"/>
        <v>0</v>
      </c>
      <c r="P69" s="6">
        <f t="shared" si="9"/>
        <v>22.376095087499973</v>
      </c>
      <c r="Q69" s="3">
        <v>22.376095087500005</v>
      </c>
      <c r="R69" s="6">
        <f t="shared" si="10"/>
        <v>-3.1974423109204508E-14</v>
      </c>
      <c r="S69" s="6" t="str">
        <f t="shared" si="11"/>
        <v>OK</v>
      </c>
    </row>
    <row r="70" spans="1:19" x14ac:dyDescent="0.25">
      <c r="A70" s="3" t="str">
        <f t="shared" si="12"/>
        <v>04.05.2026</v>
      </c>
      <c r="B70" s="5">
        <v>53</v>
      </c>
      <c r="C70" s="5" t="s">
        <v>65</v>
      </c>
      <c r="D70" s="3">
        <v>9.2470499999999998</v>
      </c>
      <c r="E70" s="3">
        <v>9.0668799999999994</v>
      </c>
      <c r="F70" s="6">
        <f t="shared" si="0"/>
        <v>-0.18017000000000039</v>
      </c>
      <c r="G70" s="6">
        <f t="shared" si="1"/>
        <v>-1.9484051670532805E-2</v>
      </c>
      <c r="H70" s="6" t="str">
        <f t="shared" si="2"/>
        <v>🔴 Under-injection</v>
      </c>
      <c r="I70" s="6">
        <f t="shared" si="3"/>
        <v>0.18017000000000039</v>
      </c>
      <c r="J70" s="3">
        <v>0.50319999999999998</v>
      </c>
      <c r="K70" s="6">
        <f t="shared" si="4"/>
        <v>1.3870574999999998</v>
      </c>
      <c r="L70" s="6">
        <f t="shared" si="5"/>
        <v>1.84941</v>
      </c>
      <c r="M70" s="6">
        <f t="shared" si="6"/>
        <v>0.18017000000000039</v>
      </c>
      <c r="N70" s="6">
        <f t="shared" si="7"/>
        <v>0</v>
      </c>
      <c r="O70" s="6">
        <f t="shared" si="8"/>
        <v>0</v>
      </c>
      <c r="P70" s="6">
        <f t="shared" si="9"/>
        <v>23.79865530000005</v>
      </c>
      <c r="Q70" s="3">
        <v>23.798655300000004</v>
      </c>
      <c r="R70" s="6">
        <f t="shared" si="10"/>
        <v>4.6185277824406512E-14</v>
      </c>
      <c r="S70" s="6" t="str">
        <f t="shared" si="11"/>
        <v>OK</v>
      </c>
    </row>
    <row r="71" spans="1:19" x14ac:dyDescent="0.25">
      <c r="A71" s="3" t="str">
        <f t="shared" si="12"/>
        <v>04.05.2026</v>
      </c>
      <c r="B71" s="5">
        <v>54</v>
      </c>
      <c r="C71" s="5" t="s">
        <v>64</v>
      </c>
      <c r="D71" s="3">
        <v>9.2470499999999998</v>
      </c>
      <c r="E71" s="3">
        <v>9.0668799999999994</v>
      </c>
      <c r="F71" s="6">
        <f t="shared" si="0"/>
        <v>-0.18017000000000039</v>
      </c>
      <c r="G71" s="6">
        <f t="shared" si="1"/>
        <v>-1.9484051670532805E-2</v>
      </c>
      <c r="H71" s="6" t="str">
        <f t="shared" si="2"/>
        <v>🔴 Under-injection</v>
      </c>
      <c r="I71" s="6">
        <f t="shared" si="3"/>
        <v>0.18017000000000039</v>
      </c>
      <c r="J71" s="3">
        <v>0.50470000000000004</v>
      </c>
      <c r="K71" s="6">
        <f t="shared" si="4"/>
        <v>1.3870574999999998</v>
      </c>
      <c r="L71" s="6">
        <f t="shared" si="5"/>
        <v>1.84941</v>
      </c>
      <c r="M71" s="6">
        <f t="shared" si="6"/>
        <v>0.18017000000000039</v>
      </c>
      <c r="N71" s="6">
        <f t="shared" si="7"/>
        <v>0</v>
      </c>
      <c r="O71" s="6">
        <f t="shared" si="8"/>
        <v>0</v>
      </c>
      <c r="P71" s="6">
        <f t="shared" si="9"/>
        <v>23.869597237500052</v>
      </c>
      <c r="Q71" s="3">
        <v>23.869597237500003</v>
      </c>
      <c r="R71" s="6">
        <f t="shared" si="10"/>
        <v>4.9737991503207013E-14</v>
      </c>
      <c r="S71" s="6" t="str">
        <f t="shared" si="11"/>
        <v>OK</v>
      </c>
    </row>
    <row r="72" spans="1:19" x14ac:dyDescent="0.25">
      <c r="A72" s="3" t="str">
        <f t="shared" si="12"/>
        <v>04.05.2026</v>
      </c>
      <c r="B72" s="5">
        <v>55</v>
      </c>
      <c r="C72" s="5" t="s">
        <v>63</v>
      </c>
      <c r="D72" s="3">
        <v>9.2470499999999998</v>
      </c>
      <c r="E72" s="3">
        <v>9.07822</v>
      </c>
      <c r="F72" s="6">
        <f t="shared" si="0"/>
        <v>-0.16882999999999981</v>
      </c>
      <c r="G72" s="6">
        <f t="shared" si="1"/>
        <v>-1.8257714622501212E-2</v>
      </c>
      <c r="H72" s="6" t="str">
        <f t="shared" si="2"/>
        <v>🔴 Under-injection</v>
      </c>
      <c r="I72" s="6">
        <f t="shared" si="3"/>
        <v>0.16882999999999981</v>
      </c>
      <c r="J72" s="3">
        <v>0.50470000000000004</v>
      </c>
      <c r="K72" s="6">
        <f t="shared" si="4"/>
        <v>1.3870574999999998</v>
      </c>
      <c r="L72" s="6">
        <f t="shared" si="5"/>
        <v>1.84941</v>
      </c>
      <c r="M72" s="6">
        <f t="shared" si="6"/>
        <v>0.16882999999999981</v>
      </c>
      <c r="N72" s="6">
        <f t="shared" si="7"/>
        <v>0</v>
      </c>
      <c r="O72" s="6">
        <f t="shared" si="8"/>
        <v>0</v>
      </c>
      <c r="P72" s="6">
        <f t="shared" si="9"/>
        <v>22.367231512499977</v>
      </c>
      <c r="Q72" s="3">
        <v>22.367231512500002</v>
      </c>
      <c r="R72" s="6">
        <f t="shared" si="10"/>
        <v>0</v>
      </c>
      <c r="S72" s="6" t="str">
        <f t="shared" si="11"/>
        <v>OK</v>
      </c>
    </row>
    <row r="73" spans="1:19" x14ac:dyDescent="0.25">
      <c r="A73" s="3" t="str">
        <f t="shared" si="12"/>
        <v>04.05.2026</v>
      </c>
      <c r="B73" s="5">
        <v>56</v>
      </c>
      <c r="C73" s="5" t="s">
        <v>62</v>
      </c>
      <c r="D73" s="3">
        <v>9.2470499999999998</v>
      </c>
      <c r="E73" s="3">
        <v>9.0895600000000005</v>
      </c>
      <c r="F73" s="6">
        <f t="shared" si="0"/>
        <v>-0.15748999999999924</v>
      </c>
      <c r="G73" s="6">
        <f t="shared" si="1"/>
        <v>-1.7031377574469615E-2</v>
      </c>
      <c r="H73" s="6" t="str">
        <f t="shared" si="2"/>
        <v>🔴 Under-injection</v>
      </c>
      <c r="I73" s="6">
        <f t="shared" si="3"/>
        <v>0.15748999999999924</v>
      </c>
      <c r="J73" s="3">
        <v>0.50479999999999992</v>
      </c>
      <c r="K73" s="6">
        <f t="shared" si="4"/>
        <v>1.3870574999999998</v>
      </c>
      <c r="L73" s="6">
        <f t="shared" si="5"/>
        <v>1.84941</v>
      </c>
      <c r="M73" s="6">
        <f t="shared" si="6"/>
        <v>0.15748999999999924</v>
      </c>
      <c r="N73" s="6">
        <f t="shared" si="7"/>
        <v>0</v>
      </c>
      <c r="O73" s="6">
        <f t="shared" si="8"/>
        <v>0</v>
      </c>
      <c r="P73" s="6">
        <f t="shared" si="9"/>
        <v>20.868999899999896</v>
      </c>
      <c r="Q73" s="3">
        <v>20.868999899999999</v>
      </c>
      <c r="R73" s="6">
        <f t="shared" si="10"/>
        <v>-1.0302869668521453E-13</v>
      </c>
      <c r="S73" s="6" t="str">
        <f t="shared" si="11"/>
        <v>OK</v>
      </c>
    </row>
    <row r="74" spans="1:19" x14ac:dyDescent="0.25">
      <c r="A74" s="3" t="str">
        <f t="shared" si="12"/>
        <v>04.05.2026</v>
      </c>
      <c r="B74" s="5">
        <v>57</v>
      </c>
      <c r="C74" s="5" t="s">
        <v>61</v>
      </c>
      <c r="D74" s="3">
        <v>9.2470499999999998</v>
      </c>
      <c r="E74" s="3">
        <v>9.0895600000000005</v>
      </c>
      <c r="F74" s="6">
        <f t="shared" si="0"/>
        <v>-0.15748999999999924</v>
      </c>
      <c r="G74" s="6">
        <f t="shared" si="1"/>
        <v>-1.7031377574469615E-2</v>
      </c>
      <c r="H74" s="6" t="str">
        <f t="shared" si="2"/>
        <v>🔴 Under-injection</v>
      </c>
      <c r="I74" s="6">
        <f t="shared" si="3"/>
        <v>0.15748999999999924</v>
      </c>
      <c r="J74" s="3">
        <v>0.67010000000000003</v>
      </c>
      <c r="K74" s="6">
        <f t="shared" si="4"/>
        <v>1.3870574999999998</v>
      </c>
      <c r="L74" s="6">
        <f t="shared" si="5"/>
        <v>1.84941</v>
      </c>
      <c r="M74" s="6">
        <f t="shared" si="6"/>
        <v>0.15748999999999924</v>
      </c>
      <c r="N74" s="6">
        <f t="shared" si="7"/>
        <v>0</v>
      </c>
      <c r="O74" s="6">
        <f t="shared" si="8"/>
        <v>0</v>
      </c>
      <c r="P74" s="6">
        <f t="shared" si="9"/>
        <v>27.702687862499872</v>
      </c>
      <c r="Q74" s="3">
        <v>27.702687862499999</v>
      </c>
      <c r="R74" s="6">
        <f t="shared" si="10"/>
        <v>-1.2789769243681803E-13</v>
      </c>
      <c r="S74" s="6" t="str">
        <f t="shared" si="11"/>
        <v>OK</v>
      </c>
    </row>
    <row r="75" spans="1:19" x14ac:dyDescent="0.25">
      <c r="A75" s="3" t="str">
        <f t="shared" si="12"/>
        <v>04.05.2026</v>
      </c>
      <c r="B75" s="5">
        <v>58</v>
      </c>
      <c r="C75" s="5" t="s">
        <v>60</v>
      </c>
      <c r="D75" s="3">
        <v>9.2470499999999998</v>
      </c>
      <c r="E75" s="3">
        <v>9.0895600000000005</v>
      </c>
      <c r="F75" s="6">
        <f t="shared" si="0"/>
        <v>-0.15748999999999924</v>
      </c>
      <c r="G75" s="6">
        <f t="shared" si="1"/>
        <v>-1.7031377574469615E-2</v>
      </c>
      <c r="H75" s="6" t="str">
        <f t="shared" si="2"/>
        <v>🔴 Under-injection</v>
      </c>
      <c r="I75" s="6">
        <f t="shared" si="3"/>
        <v>0.15748999999999924</v>
      </c>
      <c r="J75" s="3">
        <v>0.67019999999999991</v>
      </c>
      <c r="K75" s="6">
        <f t="shared" si="4"/>
        <v>1.3870574999999998</v>
      </c>
      <c r="L75" s="6">
        <f t="shared" si="5"/>
        <v>1.84941</v>
      </c>
      <c r="M75" s="6">
        <f t="shared" si="6"/>
        <v>0.15748999999999924</v>
      </c>
      <c r="N75" s="6">
        <f t="shared" si="7"/>
        <v>0</v>
      </c>
      <c r="O75" s="6">
        <f t="shared" si="8"/>
        <v>0</v>
      </c>
      <c r="P75" s="6">
        <f t="shared" si="9"/>
        <v>27.706821974999865</v>
      </c>
      <c r="Q75" s="3">
        <v>27.706821974999997</v>
      </c>
      <c r="R75" s="6">
        <f t="shared" si="10"/>
        <v>-1.3145040611561853E-13</v>
      </c>
      <c r="S75" s="6" t="str">
        <f t="shared" si="11"/>
        <v>OK</v>
      </c>
    </row>
    <row r="76" spans="1:19" x14ac:dyDescent="0.25">
      <c r="A76" s="3" t="str">
        <f t="shared" si="12"/>
        <v>04.05.2026</v>
      </c>
      <c r="B76" s="5">
        <v>59</v>
      </c>
      <c r="C76" s="5" t="s">
        <v>59</v>
      </c>
      <c r="D76" s="3">
        <v>9.2470499999999998</v>
      </c>
      <c r="E76" s="3">
        <v>9.0895600000000005</v>
      </c>
      <c r="F76" s="6">
        <f t="shared" si="0"/>
        <v>-0.15748999999999924</v>
      </c>
      <c r="G76" s="6">
        <f t="shared" si="1"/>
        <v>-1.7031377574469615E-2</v>
      </c>
      <c r="H76" s="6" t="str">
        <f t="shared" si="2"/>
        <v>🔴 Under-injection</v>
      </c>
      <c r="I76" s="6">
        <f t="shared" si="3"/>
        <v>0.15748999999999924</v>
      </c>
      <c r="J76" s="3">
        <v>0.73080000000000001</v>
      </c>
      <c r="K76" s="6">
        <f t="shared" si="4"/>
        <v>1.3870574999999998</v>
      </c>
      <c r="L76" s="6">
        <f t="shared" si="5"/>
        <v>1.84941</v>
      </c>
      <c r="M76" s="6">
        <f t="shared" si="6"/>
        <v>0.15748999999999924</v>
      </c>
      <c r="N76" s="6">
        <f t="shared" si="7"/>
        <v>0</v>
      </c>
      <c r="O76" s="6">
        <f t="shared" si="8"/>
        <v>0</v>
      </c>
      <c r="P76" s="6">
        <f t="shared" si="9"/>
        <v>30.212094149999857</v>
      </c>
      <c r="Q76" s="3">
        <v>30.212094149999999</v>
      </c>
      <c r="R76" s="6">
        <f t="shared" si="10"/>
        <v>-1.4210854715202004E-13</v>
      </c>
      <c r="S76" s="6" t="str">
        <f t="shared" si="11"/>
        <v>OK</v>
      </c>
    </row>
    <row r="77" spans="1:19" x14ac:dyDescent="0.25">
      <c r="A77" s="3" t="str">
        <f t="shared" si="12"/>
        <v>04.05.2026</v>
      </c>
      <c r="B77" s="5">
        <v>60</v>
      </c>
      <c r="C77" s="5" t="s">
        <v>58</v>
      </c>
      <c r="D77" s="3">
        <v>9.2470499999999998</v>
      </c>
      <c r="E77" s="3">
        <v>9.1009200000000003</v>
      </c>
      <c r="F77" s="6">
        <f t="shared" si="0"/>
        <v>-0.14612999999999943</v>
      </c>
      <c r="G77" s="6">
        <f t="shared" si="1"/>
        <v>-1.5802877674501538E-2</v>
      </c>
      <c r="H77" s="6" t="str">
        <f t="shared" si="2"/>
        <v>🔴 Under-injection</v>
      </c>
      <c r="I77" s="6">
        <f t="shared" si="3"/>
        <v>0.14612999999999943</v>
      </c>
      <c r="J77" s="3">
        <v>0.78469999999999995</v>
      </c>
      <c r="K77" s="6">
        <f t="shared" si="4"/>
        <v>1.3870574999999998</v>
      </c>
      <c r="L77" s="6">
        <f t="shared" si="5"/>
        <v>1.84941</v>
      </c>
      <c r="M77" s="6">
        <f t="shared" si="6"/>
        <v>0.14612999999999943</v>
      </c>
      <c r="N77" s="6">
        <f t="shared" si="7"/>
        <v>0</v>
      </c>
      <c r="O77" s="6">
        <f t="shared" si="8"/>
        <v>0</v>
      </c>
      <c r="P77" s="6">
        <f t="shared" si="9"/>
        <v>30.10040538749988</v>
      </c>
      <c r="Q77" s="3">
        <v>30.1004053875</v>
      </c>
      <c r="R77" s="6">
        <f t="shared" si="10"/>
        <v>-1.2079226507921703E-13</v>
      </c>
      <c r="S77" s="6" t="str">
        <f t="shared" si="11"/>
        <v>OK</v>
      </c>
    </row>
    <row r="78" spans="1:19" x14ac:dyDescent="0.25">
      <c r="A78" s="3" t="str">
        <f t="shared" si="12"/>
        <v>04.05.2026</v>
      </c>
      <c r="B78" s="5">
        <v>61</v>
      </c>
      <c r="C78" s="5" t="s">
        <v>57</v>
      </c>
      <c r="D78" s="3">
        <v>8.5670500000000001</v>
      </c>
      <c r="E78" s="3">
        <v>8.5221800000000005</v>
      </c>
      <c r="F78" s="6">
        <f t="shared" si="0"/>
        <v>-4.4869999999999521E-2</v>
      </c>
      <c r="G78" s="6">
        <f t="shared" si="1"/>
        <v>-5.2375088274259542E-3</v>
      </c>
      <c r="H78" s="6" t="str">
        <f t="shared" si="2"/>
        <v>🔴 Under-injection</v>
      </c>
      <c r="I78" s="6">
        <f t="shared" si="3"/>
        <v>4.4869999999999521E-2</v>
      </c>
      <c r="J78" s="3">
        <v>1.0011000000000001</v>
      </c>
      <c r="K78" s="6">
        <f t="shared" si="4"/>
        <v>1.2850575</v>
      </c>
      <c r="L78" s="6">
        <f t="shared" si="5"/>
        <v>1.7134100000000001</v>
      </c>
      <c r="M78" s="6">
        <f t="shared" si="6"/>
        <v>4.4869999999999521E-2</v>
      </c>
      <c r="N78" s="6">
        <f t="shared" si="7"/>
        <v>0</v>
      </c>
      <c r="O78" s="6">
        <f t="shared" si="8"/>
        <v>0</v>
      </c>
      <c r="P78" s="6">
        <f t="shared" si="9"/>
        <v>11.791331212499875</v>
      </c>
      <c r="Q78" s="3">
        <v>11.791331212500001</v>
      </c>
      <c r="R78" s="6">
        <f t="shared" si="10"/>
        <v>-1.2612133559741778E-13</v>
      </c>
      <c r="S78" s="6" t="str">
        <f t="shared" si="11"/>
        <v>OK</v>
      </c>
    </row>
    <row r="79" spans="1:19" x14ac:dyDescent="0.25">
      <c r="A79" s="3" t="str">
        <f t="shared" si="12"/>
        <v>04.05.2026</v>
      </c>
      <c r="B79" s="5">
        <v>62</v>
      </c>
      <c r="C79" s="5" t="s">
        <v>56</v>
      </c>
      <c r="D79" s="3">
        <v>8.5670500000000001</v>
      </c>
      <c r="E79" s="3">
        <v>8.4087099999999992</v>
      </c>
      <c r="F79" s="6">
        <f t="shared" si="0"/>
        <v>-0.15834000000000081</v>
      </c>
      <c r="G79" s="6">
        <f t="shared" si="1"/>
        <v>-1.8482441447172693E-2</v>
      </c>
      <c r="H79" s="6" t="str">
        <f t="shared" si="2"/>
        <v>🔴 Under-injection</v>
      </c>
      <c r="I79" s="6">
        <f t="shared" si="3"/>
        <v>0.15834000000000081</v>
      </c>
      <c r="J79" s="3">
        <v>1.4330000000000001</v>
      </c>
      <c r="K79" s="6">
        <f t="shared" si="4"/>
        <v>1.2850575</v>
      </c>
      <c r="L79" s="6">
        <f t="shared" si="5"/>
        <v>1.7134100000000001</v>
      </c>
      <c r="M79" s="6">
        <f t="shared" si="6"/>
        <v>0.15834000000000081</v>
      </c>
      <c r="N79" s="6">
        <f t="shared" si="7"/>
        <v>0</v>
      </c>
      <c r="O79" s="6">
        <f t="shared" si="8"/>
        <v>0</v>
      </c>
      <c r="P79" s="6">
        <f t="shared" si="9"/>
        <v>59.561570250000308</v>
      </c>
      <c r="Q79" s="3">
        <v>59.56157025000001</v>
      </c>
      <c r="R79" s="6">
        <f t="shared" si="10"/>
        <v>2.9842794901924208E-13</v>
      </c>
      <c r="S79" s="6" t="str">
        <f t="shared" si="11"/>
        <v>OK</v>
      </c>
    </row>
    <row r="80" spans="1:19" x14ac:dyDescent="0.25">
      <c r="A80" s="3" t="str">
        <f t="shared" si="12"/>
        <v>04.05.2026</v>
      </c>
      <c r="B80" s="5">
        <v>63</v>
      </c>
      <c r="C80" s="5" t="s">
        <v>55</v>
      </c>
      <c r="D80" s="3">
        <v>8.5670500000000001</v>
      </c>
      <c r="E80" s="3">
        <v>8.4087099999999992</v>
      </c>
      <c r="F80" s="6">
        <f t="shared" si="0"/>
        <v>-0.15834000000000081</v>
      </c>
      <c r="G80" s="6">
        <f t="shared" si="1"/>
        <v>-1.8482441447172693E-2</v>
      </c>
      <c r="H80" s="6" t="str">
        <f t="shared" si="2"/>
        <v>🔴 Under-injection</v>
      </c>
      <c r="I80" s="6">
        <f t="shared" si="3"/>
        <v>0.15834000000000081</v>
      </c>
      <c r="J80" s="3">
        <v>1.6480000000000001</v>
      </c>
      <c r="K80" s="6">
        <f t="shared" si="4"/>
        <v>1.2850575</v>
      </c>
      <c r="L80" s="6">
        <f t="shared" si="5"/>
        <v>1.7134100000000001</v>
      </c>
      <c r="M80" s="6">
        <f t="shared" si="6"/>
        <v>0.15834000000000081</v>
      </c>
      <c r="N80" s="6">
        <f t="shared" si="7"/>
        <v>0</v>
      </c>
      <c r="O80" s="6">
        <f t="shared" si="8"/>
        <v>0</v>
      </c>
      <c r="P80" s="6">
        <f t="shared" si="9"/>
        <v>68.497884000000354</v>
      </c>
      <c r="Q80" s="3">
        <v>68.497884000000013</v>
      </c>
      <c r="R80" s="6">
        <f t="shared" si="10"/>
        <v>3.4106051316484809E-13</v>
      </c>
      <c r="S80" s="6" t="str">
        <f t="shared" si="11"/>
        <v>OK</v>
      </c>
    </row>
    <row r="81" spans="1:19" x14ac:dyDescent="0.25">
      <c r="A81" s="3" t="str">
        <f t="shared" si="12"/>
        <v>04.05.2026</v>
      </c>
      <c r="B81" s="5">
        <v>64</v>
      </c>
      <c r="C81" s="5" t="s">
        <v>54</v>
      </c>
      <c r="D81" s="3">
        <v>8.5670500000000001</v>
      </c>
      <c r="E81" s="3">
        <v>8.4087099999999992</v>
      </c>
      <c r="F81" s="6">
        <f t="shared" si="0"/>
        <v>-0.15834000000000081</v>
      </c>
      <c r="G81" s="6">
        <f t="shared" si="1"/>
        <v>-1.8482441447172693E-2</v>
      </c>
      <c r="H81" s="6" t="str">
        <f t="shared" si="2"/>
        <v>🔴 Under-injection</v>
      </c>
      <c r="I81" s="6">
        <f t="shared" si="3"/>
        <v>0.15834000000000081</v>
      </c>
      <c r="J81" s="3">
        <v>1.867</v>
      </c>
      <c r="K81" s="6">
        <f t="shared" si="4"/>
        <v>1.2850575</v>
      </c>
      <c r="L81" s="6">
        <f t="shared" si="5"/>
        <v>1.7134100000000001</v>
      </c>
      <c r="M81" s="6">
        <f t="shared" si="6"/>
        <v>0.15834000000000081</v>
      </c>
      <c r="N81" s="6">
        <f t="shared" si="7"/>
        <v>0</v>
      </c>
      <c r="O81" s="6">
        <f t="shared" si="8"/>
        <v>0</v>
      </c>
      <c r="P81" s="6">
        <f t="shared" si="9"/>
        <v>77.600454750000395</v>
      </c>
      <c r="Q81" s="3">
        <v>77.600454750000011</v>
      </c>
      <c r="R81" s="6">
        <f t="shared" si="10"/>
        <v>3.836930773104541E-13</v>
      </c>
      <c r="S81" s="6" t="str">
        <f t="shared" si="11"/>
        <v>OK</v>
      </c>
    </row>
    <row r="82" spans="1:19" x14ac:dyDescent="0.25">
      <c r="A82" s="3" t="str">
        <f t="shared" si="12"/>
        <v>04.05.2026</v>
      </c>
      <c r="B82" s="5">
        <v>65</v>
      </c>
      <c r="C82" s="5" t="s">
        <v>53</v>
      </c>
      <c r="D82" s="3">
        <v>8.5670500000000001</v>
      </c>
      <c r="E82" s="3">
        <v>8.4087099999999992</v>
      </c>
      <c r="F82" s="6">
        <f t="shared" ref="F82:F145" si="13">E82-D82</f>
        <v>-0.15834000000000081</v>
      </c>
      <c r="G82" s="6">
        <f t="shared" ref="G82:G145" si="14">IF(D82=0,0,F82/D82)</f>
        <v>-1.8482441447172693E-2</v>
      </c>
      <c r="H82" s="6" t="str">
        <f t="shared" ref="H82:H145" si="15">IF(E82&gt;D82,"🟢 Over-injection",IF(E82&lt;D82,"🔴 Under-injection","⚪ Nil"))</f>
        <v>🔴 Under-injection</v>
      </c>
      <c r="I82" s="6">
        <f t="shared" ref="I82:I145" si="16">-F82</f>
        <v>0.15834000000000081</v>
      </c>
      <c r="J82" s="3">
        <v>1.7215</v>
      </c>
      <c r="K82" s="6">
        <f t="shared" ref="K82:K145" si="17">MIN(ABS(D82)*$B$7,$B$8)</f>
        <v>1.2850575</v>
      </c>
      <c r="L82" s="6">
        <f t="shared" ref="L82:L145" si="18">MIN(ABS(D82)*$B$9,$B$10)</f>
        <v>1.7134100000000001</v>
      </c>
      <c r="M82" s="6">
        <f t="shared" ref="M82:M145" si="19">MIN(ABS(F82),K82)</f>
        <v>0.15834000000000081</v>
      </c>
      <c r="N82" s="6">
        <f t="shared" ref="N82:N145" si="20">IF(F82&lt;0,MIN(MAX(ABS(F82)-K82,0),MAX(L82-K82,0)),0)</f>
        <v>0</v>
      </c>
      <c r="O82" s="6">
        <f t="shared" ref="O82:O145" si="21">IF(F82&lt;0,MAX(ABS(F82)-L82,0),0)</f>
        <v>0</v>
      </c>
      <c r="P82" s="6">
        <f t="shared" ref="P82:P145" si="22">IF(F82&gt;0,-M82*$B$11*J82*$B$6*1000,IF(F82&lt;0,(M82*$B$12+N82*$B$13+O82*$B$14)*J82*$B$6*1000,0))</f>
        <v>71.55285637500036</v>
      </c>
      <c r="Q82" s="3">
        <v>71.552856375000019</v>
      </c>
      <c r="R82" s="6">
        <f t="shared" ref="R82:R145" si="23">P82-Q82</f>
        <v>3.4106051316484809E-13</v>
      </c>
      <c r="S82" s="6" t="str">
        <f t="shared" ref="S82:S145" si="24">IF(ABS(R82)&lt;=0.01,"OK","REVIEW")</f>
        <v>OK</v>
      </c>
    </row>
    <row r="83" spans="1:19" x14ac:dyDescent="0.25">
      <c r="A83" s="3" t="str">
        <f t="shared" si="12"/>
        <v>04.05.2026</v>
      </c>
      <c r="B83" s="5">
        <v>66</v>
      </c>
      <c r="C83" s="5" t="s">
        <v>52</v>
      </c>
      <c r="D83" s="3">
        <v>8.5670500000000001</v>
      </c>
      <c r="E83" s="3">
        <v>8.4087099999999992</v>
      </c>
      <c r="F83" s="6">
        <f t="shared" si="13"/>
        <v>-0.15834000000000081</v>
      </c>
      <c r="G83" s="6">
        <f t="shared" si="14"/>
        <v>-1.8482441447172693E-2</v>
      </c>
      <c r="H83" s="6" t="str">
        <f t="shared" si="15"/>
        <v>🔴 Under-injection</v>
      </c>
      <c r="I83" s="6">
        <f t="shared" si="16"/>
        <v>0.15834000000000081</v>
      </c>
      <c r="J83" s="3">
        <v>1.2141999999999999</v>
      </c>
      <c r="K83" s="6">
        <f t="shared" si="17"/>
        <v>1.2850575</v>
      </c>
      <c r="L83" s="6">
        <f t="shared" si="18"/>
        <v>1.7134100000000001</v>
      </c>
      <c r="M83" s="6">
        <f t="shared" si="19"/>
        <v>0.15834000000000081</v>
      </c>
      <c r="N83" s="6">
        <f t="shared" si="20"/>
        <v>0</v>
      </c>
      <c r="O83" s="6">
        <f t="shared" si="21"/>
        <v>0</v>
      </c>
      <c r="P83" s="6">
        <f t="shared" si="22"/>
        <v>50.467312350000256</v>
      </c>
      <c r="Q83" s="3">
        <v>50.46731235</v>
      </c>
      <c r="R83" s="6">
        <f t="shared" si="23"/>
        <v>2.5579538487363607E-13</v>
      </c>
      <c r="S83" s="6" t="str">
        <f t="shared" si="24"/>
        <v>OK</v>
      </c>
    </row>
    <row r="84" spans="1:19" x14ac:dyDescent="0.25">
      <c r="A84" s="3" t="str">
        <f t="shared" ref="A84:A147" si="25">A83</f>
        <v>04.05.2026</v>
      </c>
      <c r="B84" s="5">
        <v>67</v>
      </c>
      <c r="C84" s="5" t="s">
        <v>51</v>
      </c>
      <c r="D84" s="3">
        <v>8.5670500000000001</v>
      </c>
      <c r="E84" s="3">
        <v>8.4087099999999992</v>
      </c>
      <c r="F84" s="6">
        <f t="shared" si="13"/>
        <v>-0.15834000000000081</v>
      </c>
      <c r="G84" s="6">
        <f t="shared" si="14"/>
        <v>-1.8482441447172693E-2</v>
      </c>
      <c r="H84" s="6" t="str">
        <f t="shared" si="15"/>
        <v>🔴 Under-injection</v>
      </c>
      <c r="I84" s="6">
        <f t="shared" si="16"/>
        <v>0.15834000000000081</v>
      </c>
      <c r="J84" s="3">
        <v>1.6540000000000001</v>
      </c>
      <c r="K84" s="6">
        <f t="shared" si="17"/>
        <v>1.2850575</v>
      </c>
      <c r="L84" s="6">
        <f t="shared" si="18"/>
        <v>1.7134100000000001</v>
      </c>
      <c r="M84" s="6">
        <f t="shared" si="19"/>
        <v>0.15834000000000081</v>
      </c>
      <c r="N84" s="6">
        <f t="shared" si="20"/>
        <v>0</v>
      </c>
      <c r="O84" s="6">
        <f t="shared" si="21"/>
        <v>0</v>
      </c>
      <c r="P84" s="6">
        <f t="shared" si="22"/>
        <v>68.747269500000357</v>
      </c>
      <c r="Q84" s="3">
        <v>68.747269500000016</v>
      </c>
      <c r="R84" s="6">
        <f t="shared" si="23"/>
        <v>3.4106051316484809E-13</v>
      </c>
      <c r="S84" s="6" t="str">
        <f t="shared" si="24"/>
        <v>OK</v>
      </c>
    </row>
    <row r="85" spans="1:19" x14ac:dyDescent="0.25">
      <c r="A85" s="3" t="str">
        <f t="shared" si="25"/>
        <v>04.05.2026</v>
      </c>
      <c r="B85" s="5">
        <v>68</v>
      </c>
      <c r="C85" s="5" t="s">
        <v>50</v>
      </c>
      <c r="D85" s="3">
        <v>8.5670500000000001</v>
      </c>
      <c r="E85" s="3">
        <v>8.4087099999999992</v>
      </c>
      <c r="F85" s="6">
        <f t="shared" si="13"/>
        <v>-0.15834000000000081</v>
      </c>
      <c r="G85" s="6">
        <f t="shared" si="14"/>
        <v>-1.8482441447172693E-2</v>
      </c>
      <c r="H85" s="6" t="str">
        <f t="shared" si="15"/>
        <v>🔴 Under-injection</v>
      </c>
      <c r="I85" s="6">
        <f t="shared" si="16"/>
        <v>0.15834000000000081</v>
      </c>
      <c r="J85" s="3">
        <v>1.8633999999999999</v>
      </c>
      <c r="K85" s="6">
        <f t="shared" si="17"/>
        <v>1.2850575</v>
      </c>
      <c r="L85" s="6">
        <f t="shared" si="18"/>
        <v>1.7134100000000001</v>
      </c>
      <c r="M85" s="6">
        <f t="shared" si="19"/>
        <v>0.15834000000000081</v>
      </c>
      <c r="N85" s="6">
        <f t="shared" si="20"/>
        <v>0</v>
      </c>
      <c r="O85" s="6">
        <f t="shared" si="21"/>
        <v>0</v>
      </c>
      <c r="P85" s="6">
        <f t="shared" si="22"/>
        <v>77.450823450000385</v>
      </c>
      <c r="Q85" s="3">
        <v>77.450823450000001</v>
      </c>
      <c r="R85" s="6">
        <f t="shared" si="23"/>
        <v>3.836930773104541E-13</v>
      </c>
      <c r="S85" s="6" t="str">
        <f t="shared" si="24"/>
        <v>OK</v>
      </c>
    </row>
    <row r="86" spans="1:19" x14ac:dyDescent="0.25">
      <c r="A86" s="3" t="str">
        <f t="shared" si="25"/>
        <v>04.05.2026</v>
      </c>
      <c r="B86" s="5">
        <v>69</v>
      </c>
      <c r="C86" s="5" t="s">
        <v>49</v>
      </c>
      <c r="D86" s="3">
        <v>8.5670500000000001</v>
      </c>
      <c r="E86" s="3">
        <v>8.4087099999999992</v>
      </c>
      <c r="F86" s="6">
        <f t="shared" si="13"/>
        <v>-0.15834000000000081</v>
      </c>
      <c r="G86" s="6">
        <f t="shared" si="14"/>
        <v>-1.8482441447172693E-2</v>
      </c>
      <c r="H86" s="6" t="str">
        <f t="shared" si="15"/>
        <v>🔴 Under-injection</v>
      </c>
      <c r="I86" s="6">
        <f t="shared" si="16"/>
        <v>0.15834000000000081</v>
      </c>
      <c r="J86" s="3">
        <v>1.8355000000000001</v>
      </c>
      <c r="K86" s="6">
        <f t="shared" si="17"/>
        <v>1.2850575</v>
      </c>
      <c r="L86" s="6">
        <f t="shared" si="18"/>
        <v>1.7134100000000001</v>
      </c>
      <c r="M86" s="6">
        <f t="shared" si="19"/>
        <v>0.15834000000000081</v>
      </c>
      <c r="N86" s="6">
        <f t="shared" si="20"/>
        <v>0</v>
      </c>
      <c r="O86" s="6">
        <f t="shared" si="21"/>
        <v>0</v>
      </c>
      <c r="P86" s="6">
        <f t="shared" si="22"/>
        <v>76.291180875000393</v>
      </c>
      <c r="Q86" s="3">
        <v>76.291180875000023</v>
      </c>
      <c r="R86" s="6">
        <f t="shared" si="23"/>
        <v>3.694822225952521E-13</v>
      </c>
      <c r="S86" s="6" t="str">
        <f t="shared" si="24"/>
        <v>OK</v>
      </c>
    </row>
    <row r="87" spans="1:19" x14ac:dyDescent="0.25">
      <c r="A87" s="3" t="str">
        <f t="shared" si="25"/>
        <v>04.05.2026</v>
      </c>
      <c r="B87" s="5">
        <v>70</v>
      </c>
      <c r="C87" s="5" t="s">
        <v>48</v>
      </c>
      <c r="D87" s="3">
        <v>8.5670500000000001</v>
      </c>
      <c r="E87" s="3">
        <v>8.4200499999999998</v>
      </c>
      <c r="F87" s="6">
        <f t="shared" si="13"/>
        <v>-0.14700000000000024</v>
      </c>
      <c r="G87" s="6">
        <f t="shared" si="14"/>
        <v>-1.7158765269258407E-2</v>
      </c>
      <c r="H87" s="6" t="str">
        <f t="shared" si="15"/>
        <v>🔴 Under-injection</v>
      </c>
      <c r="I87" s="6">
        <f t="shared" si="16"/>
        <v>0.14700000000000024</v>
      </c>
      <c r="J87" s="3">
        <v>2.1738</v>
      </c>
      <c r="K87" s="6">
        <f t="shared" si="17"/>
        <v>1.2850575</v>
      </c>
      <c r="L87" s="6">
        <f t="shared" si="18"/>
        <v>1.7134100000000001</v>
      </c>
      <c r="M87" s="6">
        <f t="shared" si="19"/>
        <v>0.14700000000000024</v>
      </c>
      <c r="N87" s="6">
        <f t="shared" si="20"/>
        <v>0</v>
      </c>
      <c r="O87" s="6">
        <f t="shared" si="21"/>
        <v>0</v>
      </c>
      <c r="P87" s="6">
        <f t="shared" si="22"/>
        <v>83.88150750000014</v>
      </c>
      <c r="Q87" s="3">
        <v>83.881507499999998</v>
      </c>
      <c r="R87" s="6">
        <f t="shared" si="23"/>
        <v>1.4210854715202004E-13</v>
      </c>
      <c r="S87" s="6" t="str">
        <f t="shared" si="24"/>
        <v>OK</v>
      </c>
    </row>
    <row r="88" spans="1:19" x14ac:dyDescent="0.25">
      <c r="A88" s="3" t="str">
        <f t="shared" si="25"/>
        <v>04.05.2026</v>
      </c>
      <c r="B88" s="5">
        <v>71</v>
      </c>
      <c r="C88" s="5" t="s">
        <v>47</v>
      </c>
      <c r="D88" s="3">
        <v>8.5670500000000001</v>
      </c>
      <c r="E88" s="3">
        <v>8.4314</v>
      </c>
      <c r="F88" s="6">
        <f t="shared" si="13"/>
        <v>-0.13565000000000005</v>
      </c>
      <c r="G88" s="6">
        <f t="shared" si="14"/>
        <v>-1.5833921828400679E-2</v>
      </c>
      <c r="H88" s="6" t="str">
        <f t="shared" si="15"/>
        <v>🔴 Under-injection</v>
      </c>
      <c r="I88" s="6">
        <f t="shared" si="16"/>
        <v>0.13565000000000005</v>
      </c>
      <c r="J88" s="3">
        <v>2.0838000000000001</v>
      </c>
      <c r="K88" s="6">
        <f t="shared" si="17"/>
        <v>1.2850575</v>
      </c>
      <c r="L88" s="6">
        <f t="shared" si="18"/>
        <v>1.7134100000000001</v>
      </c>
      <c r="M88" s="6">
        <f t="shared" si="19"/>
        <v>0.13565000000000005</v>
      </c>
      <c r="N88" s="6">
        <f t="shared" si="20"/>
        <v>0</v>
      </c>
      <c r="O88" s="6">
        <f t="shared" si="21"/>
        <v>0</v>
      </c>
      <c r="P88" s="6">
        <f t="shared" si="22"/>
        <v>74.200210875000039</v>
      </c>
      <c r="Q88" s="3">
        <v>74.20021087500001</v>
      </c>
      <c r="R88" s="6">
        <f t="shared" si="23"/>
        <v>0</v>
      </c>
      <c r="S88" s="6" t="str">
        <f t="shared" si="24"/>
        <v>OK</v>
      </c>
    </row>
    <row r="89" spans="1:19" x14ac:dyDescent="0.25">
      <c r="A89" s="3" t="str">
        <f t="shared" si="25"/>
        <v>04.05.2026</v>
      </c>
      <c r="B89" s="5">
        <v>72</v>
      </c>
      <c r="C89" s="5" t="s">
        <v>46</v>
      </c>
      <c r="D89" s="3">
        <v>8.5670500000000001</v>
      </c>
      <c r="E89" s="3">
        <v>8.4314</v>
      </c>
      <c r="F89" s="6">
        <f t="shared" si="13"/>
        <v>-0.13565000000000005</v>
      </c>
      <c r="G89" s="6">
        <f t="shared" si="14"/>
        <v>-1.5833921828400679E-2</v>
      </c>
      <c r="H89" s="6" t="str">
        <f t="shared" si="15"/>
        <v>🔴 Under-injection</v>
      </c>
      <c r="I89" s="6">
        <f t="shared" si="16"/>
        <v>0.13565000000000005</v>
      </c>
      <c r="J89" s="3">
        <v>2.5568</v>
      </c>
      <c r="K89" s="6">
        <f t="shared" si="17"/>
        <v>1.2850575</v>
      </c>
      <c r="L89" s="6">
        <f t="shared" si="18"/>
        <v>1.7134100000000001</v>
      </c>
      <c r="M89" s="6">
        <f t="shared" si="19"/>
        <v>0.13565000000000005</v>
      </c>
      <c r="N89" s="6">
        <f t="shared" si="20"/>
        <v>0</v>
      </c>
      <c r="O89" s="6">
        <f t="shared" si="21"/>
        <v>0</v>
      </c>
      <c r="P89" s="6">
        <f t="shared" si="22"/>
        <v>91.042854000000034</v>
      </c>
      <c r="Q89" s="3">
        <v>91.042853999999991</v>
      </c>
      <c r="R89" s="6">
        <f t="shared" si="23"/>
        <v>0</v>
      </c>
      <c r="S89" s="6" t="str">
        <f t="shared" si="24"/>
        <v>OK</v>
      </c>
    </row>
    <row r="90" spans="1:19" x14ac:dyDescent="0.25">
      <c r="A90" s="3" t="str">
        <f t="shared" si="25"/>
        <v>04.05.2026</v>
      </c>
      <c r="B90" s="5">
        <v>73</v>
      </c>
      <c r="C90" s="5" t="s">
        <v>45</v>
      </c>
      <c r="D90" s="3">
        <v>8.5670500000000001</v>
      </c>
      <c r="E90" s="3">
        <v>8.4200499999999998</v>
      </c>
      <c r="F90" s="6">
        <f t="shared" si="13"/>
        <v>-0.14700000000000024</v>
      </c>
      <c r="G90" s="6">
        <f t="shared" si="14"/>
        <v>-1.7158765269258407E-2</v>
      </c>
      <c r="H90" s="6" t="str">
        <f t="shared" si="15"/>
        <v>🔴 Under-injection</v>
      </c>
      <c r="I90" s="6">
        <f t="shared" si="16"/>
        <v>0.14700000000000024</v>
      </c>
      <c r="J90" s="3">
        <v>3.2685000000000004</v>
      </c>
      <c r="K90" s="6">
        <f t="shared" si="17"/>
        <v>1.2850575</v>
      </c>
      <c r="L90" s="6">
        <f t="shared" si="18"/>
        <v>1.7134100000000001</v>
      </c>
      <c r="M90" s="6">
        <f t="shared" si="19"/>
        <v>0.14700000000000024</v>
      </c>
      <c r="N90" s="6">
        <f t="shared" si="20"/>
        <v>0</v>
      </c>
      <c r="O90" s="6">
        <f t="shared" si="21"/>
        <v>0</v>
      </c>
      <c r="P90" s="6">
        <f t="shared" si="22"/>
        <v>126.12324375000023</v>
      </c>
      <c r="Q90" s="3">
        <v>126.12324375</v>
      </c>
      <c r="R90" s="6">
        <f t="shared" si="23"/>
        <v>2.2737367544323206E-13</v>
      </c>
      <c r="S90" s="6" t="str">
        <f t="shared" si="24"/>
        <v>OK</v>
      </c>
    </row>
    <row r="91" spans="1:19" x14ac:dyDescent="0.25">
      <c r="A91" s="3" t="str">
        <f t="shared" si="25"/>
        <v>04.05.2026</v>
      </c>
      <c r="B91" s="5">
        <v>74</v>
      </c>
      <c r="C91" s="5" t="s">
        <v>44</v>
      </c>
      <c r="D91" s="3">
        <v>8.5670500000000001</v>
      </c>
      <c r="E91" s="3">
        <v>8.4200499999999998</v>
      </c>
      <c r="F91" s="6">
        <f t="shared" si="13"/>
        <v>-0.14700000000000024</v>
      </c>
      <c r="G91" s="6">
        <f t="shared" si="14"/>
        <v>-1.7158765269258407E-2</v>
      </c>
      <c r="H91" s="6" t="str">
        <f t="shared" si="15"/>
        <v>🔴 Under-injection</v>
      </c>
      <c r="I91" s="6">
        <f t="shared" si="16"/>
        <v>0.14700000000000024</v>
      </c>
      <c r="J91" s="3">
        <v>3.4677999999999995</v>
      </c>
      <c r="K91" s="6">
        <f t="shared" si="17"/>
        <v>1.2850575</v>
      </c>
      <c r="L91" s="6">
        <f t="shared" si="18"/>
        <v>1.7134100000000001</v>
      </c>
      <c r="M91" s="6">
        <f t="shared" si="19"/>
        <v>0.14700000000000024</v>
      </c>
      <c r="N91" s="6">
        <f t="shared" si="20"/>
        <v>0</v>
      </c>
      <c r="O91" s="6">
        <f t="shared" si="21"/>
        <v>0</v>
      </c>
      <c r="P91" s="6">
        <f t="shared" si="22"/>
        <v>133.81373250000019</v>
      </c>
      <c r="Q91" s="3">
        <v>133.81373249999999</v>
      </c>
      <c r="R91" s="6">
        <f t="shared" si="23"/>
        <v>0</v>
      </c>
      <c r="S91" s="6" t="str">
        <f t="shared" si="24"/>
        <v>OK</v>
      </c>
    </row>
    <row r="92" spans="1:19" x14ac:dyDescent="0.25">
      <c r="A92" s="3" t="str">
        <f t="shared" si="25"/>
        <v>04.05.2026</v>
      </c>
      <c r="B92" s="5">
        <v>75</v>
      </c>
      <c r="C92" s="5" t="s">
        <v>43</v>
      </c>
      <c r="D92" s="3">
        <v>8.5670500000000001</v>
      </c>
      <c r="E92" s="3">
        <v>8.4314</v>
      </c>
      <c r="F92" s="6">
        <f t="shared" si="13"/>
        <v>-0.13565000000000005</v>
      </c>
      <c r="G92" s="6">
        <f t="shared" si="14"/>
        <v>-1.5833921828400679E-2</v>
      </c>
      <c r="H92" s="6" t="str">
        <f t="shared" si="15"/>
        <v>🔴 Under-injection</v>
      </c>
      <c r="I92" s="6">
        <f t="shared" si="16"/>
        <v>0.13565000000000005</v>
      </c>
      <c r="J92" s="3">
        <v>3.7410000000000001</v>
      </c>
      <c r="K92" s="6">
        <f t="shared" si="17"/>
        <v>1.2850575</v>
      </c>
      <c r="L92" s="6">
        <f t="shared" si="18"/>
        <v>1.7134100000000001</v>
      </c>
      <c r="M92" s="6">
        <f t="shared" si="19"/>
        <v>0.13565000000000005</v>
      </c>
      <c r="N92" s="6">
        <f t="shared" si="20"/>
        <v>0</v>
      </c>
      <c r="O92" s="6">
        <f t="shared" si="21"/>
        <v>0</v>
      </c>
      <c r="P92" s="6">
        <f t="shared" si="22"/>
        <v>133.20999562500006</v>
      </c>
      <c r="Q92" s="3">
        <v>133.209995625</v>
      </c>
      <c r="R92" s="6">
        <f t="shared" si="23"/>
        <v>0</v>
      </c>
      <c r="S92" s="6" t="str">
        <f t="shared" si="24"/>
        <v>OK</v>
      </c>
    </row>
    <row r="93" spans="1:19" x14ac:dyDescent="0.25">
      <c r="A93" s="3" t="str">
        <f t="shared" si="25"/>
        <v>04.05.2026</v>
      </c>
      <c r="B93" s="5">
        <v>76</v>
      </c>
      <c r="C93" s="5" t="s">
        <v>42</v>
      </c>
      <c r="D93" s="3">
        <v>8.5670500000000001</v>
      </c>
      <c r="E93" s="3">
        <v>8.4200499999999998</v>
      </c>
      <c r="F93" s="6">
        <f t="shared" si="13"/>
        <v>-0.14700000000000024</v>
      </c>
      <c r="G93" s="6">
        <f t="shared" si="14"/>
        <v>-1.7158765269258407E-2</v>
      </c>
      <c r="H93" s="6" t="str">
        <f t="shared" si="15"/>
        <v>🔴 Under-injection</v>
      </c>
      <c r="I93" s="6">
        <f t="shared" si="16"/>
        <v>0.14700000000000024</v>
      </c>
      <c r="J93" s="3">
        <v>3.9243999999999999</v>
      </c>
      <c r="K93" s="6">
        <f t="shared" si="17"/>
        <v>1.2850575</v>
      </c>
      <c r="L93" s="6">
        <f t="shared" si="18"/>
        <v>1.7134100000000001</v>
      </c>
      <c r="M93" s="6">
        <f t="shared" si="19"/>
        <v>0.14700000000000024</v>
      </c>
      <c r="N93" s="6">
        <f t="shared" si="20"/>
        <v>0</v>
      </c>
      <c r="O93" s="6">
        <f t="shared" si="21"/>
        <v>0</v>
      </c>
      <c r="P93" s="6">
        <f t="shared" si="22"/>
        <v>151.43278500000025</v>
      </c>
      <c r="Q93" s="3">
        <v>151.432785</v>
      </c>
      <c r="R93" s="6">
        <f t="shared" si="23"/>
        <v>2.5579538487363607E-13</v>
      </c>
      <c r="S93" s="6" t="str">
        <f t="shared" si="24"/>
        <v>OK</v>
      </c>
    </row>
    <row r="94" spans="1:19" x14ac:dyDescent="0.25">
      <c r="A94" s="3" t="str">
        <f t="shared" si="25"/>
        <v>04.05.2026</v>
      </c>
      <c r="B94" s="5">
        <v>77</v>
      </c>
      <c r="C94" s="5" t="s">
        <v>41</v>
      </c>
      <c r="D94" s="3">
        <v>8.5670500000000001</v>
      </c>
      <c r="E94" s="3">
        <v>8.4314</v>
      </c>
      <c r="F94" s="6">
        <f t="shared" si="13"/>
        <v>-0.13565000000000005</v>
      </c>
      <c r="G94" s="6">
        <f t="shared" si="14"/>
        <v>-1.5833921828400679E-2</v>
      </c>
      <c r="H94" s="6" t="str">
        <f t="shared" si="15"/>
        <v>🔴 Under-injection</v>
      </c>
      <c r="I94" s="6">
        <f t="shared" si="16"/>
        <v>0.13565000000000005</v>
      </c>
      <c r="J94" s="3">
        <v>3.8994999999999997</v>
      </c>
      <c r="K94" s="6">
        <f t="shared" si="17"/>
        <v>1.2850575</v>
      </c>
      <c r="L94" s="6">
        <f t="shared" si="18"/>
        <v>1.7134100000000001</v>
      </c>
      <c r="M94" s="6">
        <f t="shared" si="19"/>
        <v>0.13565000000000005</v>
      </c>
      <c r="N94" s="6">
        <f t="shared" si="20"/>
        <v>0</v>
      </c>
      <c r="O94" s="6">
        <f t="shared" si="21"/>
        <v>0</v>
      </c>
      <c r="P94" s="6">
        <f t="shared" si="22"/>
        <v>138.85388343750006</v>
      </c>
      <c r="Q94" s="3">
        <v>138.8538834375</v>
      </c>
      <c r="R94" s="6">
        <f t="shared" si="23"/>
        <v>0</v>
      </c>
      <c r="S94" s="6" t="str">
        <f t="shared" si="24"/>
        <v>OK</v>
      </c>
    </row>
    <row r="95" spans="1:19" x14ac:dyDescent="0.25">
      <c r="A95" s="3" t="str">
        <f t="shared" si="25"/>
        <v>04.05.2026</v>
      </c>
      <c r="B95" s="5">
        <v>78</v>
      </c>
      <c r="C95" s="5" t="s">
        <v>40</v>
      </c>
      <c r="D95" s="3">
        <v>8.5670500000000001</v>
      </c>
      <c r="E95" s="3">
        <v>8.4314</v>
      </c>
      <c r="F95" s="6">
        <f t="shared" si="13"/>
        <v>-0.13565000000000005</v>
      </c>
      <c r="G95" s="6">
        <f t="shared" si="14"/>
        <v>-1.5833921828400679E-2</v>
      </c>
      <c r="H95" s="6" t="str">
        <f t="shared" si="15"/>
        <v>🔴 Under-injection</v>
      </c>
      <c r="I95" s="6">
        <f t="shared" si="16"/>
        <v>0.13565000000000005</v>
      </c>
      <c r="J95" s="3">
        <v>3.9202999999999997</v>
      </c>
      <c r="K95" s="6">
        <f t="shared" si="17"/>
        <v>1.2850575</v>
      </c>
      <c r="L95" s="6">
        <f t="shared" si="18"/>
        <v>1.7134100000000001</v>
      </c>
      <c r="M95" s="6">
        <f t="shared" si="19"/>
        <v>0.13565000000000005</v>
      </c>
      <c r="N95" s="6">
        <f t="shared" si="20"/>
        <v>0</v>
      </c>
      <c r="O95" s="6">
        <f t="shared" si="21"/>
        <v>0</v>
      </c>
      <c r="P95" s="6">
        <f t="shared" si="22"/>
        <v>139.59453243750002</v>
      </c>
      <c r="Q95" s="3">
        <v>139.59453243749999</v>
      </c>
      <c r="R95" s="6">
        <f t="shared" si="23"/>
        <v>0</v>
      </c>
      <c r="S95" s="6" t="str">
        <f t="shared" si="24"/>
        <v>OK</v>
      </c>
    </row>
    <row r="96" spans="1:19" x14ac:dyDescent="0.25">
      <c r="A96" s="3" t="str">
        <f t="shared" si="25"/>
        <v>04.05.2026</v>
      </c>
      <c r="B96" s="5">
        <v>79</v>
      </c>
      <c r="C96" s="5" t="s">
        <v>39</v>
      </c>
      <c r="D96" s="3">
        <v>9.7470499999999998</v>
      </c>
      <c r="E96" s="3">
        <v>9.4980899999999995</v>
      </c>
      <c r="F96" s="6">
        <f t="shared" si="13"/>
        <v>-0.24896000000000029</v>
      </c>
      <c r="G96" s="6">
        <f t="shared" si="14"/>
        <v>-2.5542087093017918E-2</v>
      </c>
      <c r="H96" s="6" t="str">
        <f t="shared" si="15"/>
        <v>🔴 Under-injection</v>
      </c>
      <c r="I96" s="6">
        <f t="shared" si="16"/>
        <v>0.24896000000000029</v>
      </c>
      <c r="J96" s="3">
        <v>3.9706000000000001</v>
      </c>
      <c r="K96" s="6">
        <f t="shared" si="17"/>
        <v>1.4620575</v>
      </c>
      <c r="L96" s="6">
        <f t="shared" si="18"/>
        <v>1.9494100000000001</v>
      </c>
      <c r="M96" s="6">
        <f t="shared" si="19"/>
        <v>0.24896000000000029</v>
      </c>
      <c r="N96" s="6">
        <f t="shared" si="20"/>
        <v>0</v>
      </c>
      <c r="O96" s="6">
        <f t="shared" si="21"/>
        <v>0</v>
      </c>
      <c r="P96" s="6">
        <f t="shared" si="22"/>
        <v>259.48665120000032</v>
      </c>
      <c r="Q96" s="3">
        <v>259.48665119999998</v>
      </c>
      <c r="R96" s="6">
        <f t="shared" si="23"/>
        <v>0</v>
      </c>
      <c r="S96" s="6" t="str">
        <f t="shared" si="24"/>
        <v>OK</v>
      </c>
    </row>
    <row r="97" spans="1:19" x14ac:dyDescent="0.25">
      <c r="A97" s="3" t="str">
        <f t="shared" si="25"/>
        <v>04.05.2026</v>
      </c>
      <c r="B97" s="5">
        <v>80</v>
      </c>
      <c r="C97" s="5" t="s">
        <v>38</v>
      </c>
      <c r="D97" s="3">
        <v>9.7470499999999998</v>
      </c>
      <c r="E97" s="3">
        <v>9.6456099999999996</v>
      </c>
      <c r="F97" s="6">
        <f t="shared" si="13"/>
        <v>-0.1014400000000002</v>
      </c>
      <c r="G97" s="6">
        <f t="shared" si="14"/>
        <v>-1.0407251424790084E-2</v>
      </c>
      <c r="H97" s="6" t="str">
        <f t="shared" si="15"/>
        <v>🔴 Under-injection</v>
      </c>
      <c r="I97" s="6">
        <f t="shared" si="16"/>
        <v>0.1014400000000002</v>
      </c>
      <c r="J97" s="3">
        <v>4.1699000000000002</v>
      </c>
      <c r="K97" s="6">
        <f t="shared" si="17"/>
        <v>1.4620575</v>
      </c>
      <c r="L97" s="6">
        <f t="shared" si="18"/>
        <v>1.9494100000000001</v>
      </c>
      <c r="M97" s="6">
        <f t="shared" si="19"/>
        <v>0.1014400000000002</v>
      </c>
      <c r="N97" s="6">
        <f t="shared" si="20"/>
        <v>0</v>
      </c>
      <c r="O97" s="6">
        <f t="shared" si="21"/>
        <v>0</v>
      </c>
      <c r="P97" s="6">
        <f t="shared" si="22"/>
        <v>111.03609720000023</v>
      </c>
      <c r="Q97" s="3">
        <v>111.0360972</v>
      </c>
      <c r="R97" s="6">
        <f t="shared" si="23"/>
        <v>2.2737367544323206E-13</v>
      </c>
      <c r="S97" s="6" t="str">
        <f t="shared" si="24"/>
        <v>OK</v>
      </c>
    </row>
    <row r="98" spans="1:19" x14ac:dyDescent="0.25">
      <c r="A98" s="3" t="str">
        <f t="shared" si="25"/>
        <v>04.05.2026</v>
      </c>
      <c r="B98" s="5">
        <v>81</v>
      </c>
      <c r="C98" s="5" t="s">
        <v>37</v>
      </c>
      <c r="D98" s="3">
        <v>9.7470499999999998</v>
      </c>
      <c r="E98" s="3">
        <v>9.6456099999999996</v>
      </c>
      <c r="F98" s="6">
        <f t="shared" si="13"/>
        <v>-0.1014400000000002</v>
      </c>
      <c r="G98" s="6">
        <f t="shared" si="14"/>
        <v>-1.0407251424790084E-2</v>
      </c>
      <c r="H98" s="6" t="str">
        <f t="shared" si="15"/>
        <v>🔴 Under-injection</v>
      </c>
      <c r="I98" s="6">
        <f t="shared" si="16"/>
        <v>0.1014400000000002</v>
      </c>
      <c r="J98" s="3">
        <v>3.9944999999999999</v>
      </c>
      <c r="K98" s="6">
        <f t="shared" si="17"/>
        <v>1.4620575</v>
      </c>
      <c r="L98" s="6">
        <f t="shared" si="18"/>
        <v>1.9494100000000001</v>
      </c>
      <c r="M98" s="6">
        <f t="shared" si="19"/>
        <v>0.1014400000000002</v>
      </c>
      <c r="N98" s="6">
        <f t="shared" si="20"/>
        <v>0</v>
      </c>
      <c r="O98" s="6">
        <f t="shared" si="21"/>
        <v>0</v>
      </c>
      <c r="P98" s="6">
        <f t="shared" si="22"/>
        <v>106.36554600000021</v>
      </c>
      <c r="Q98" s="3">
        <v>106.36554600000001</v>
      </c>
      <c r="R98" s="6">
        <f t="shared" si="23"/>
        <v>1.9895196601282805E-13</v>
      </c>
      <c r="S98" s="6" t="str">
        <f t="shared" si="24"/>
        <v>OK</v>
      </c>
    </row>
    <row r="99" spans="1:19" x14ac:dyDescent="0.25">
      <c r="A99" s="3" t="str">
        <f t="shared" si="25"/>
        <v>04.05.2026</v>
      </c>
      <c r="B99" s="5">
        <v>82</v>
      </c>
      <c r="C99" s="5" t="s">
        <v>36</v>
      </c>
      <c r="D99" s="3">
        <v>9.7470499999999998</v>
      </c>
      <c r="E99" s="3">
        <v>9.6456099999999996</v>
      </c>
      <c r="F99" s="6">
        <f t="shared" si="13"/>
        <v>-0.1014400000000002</v>
      </c>
      <c r="G99" s="6">
        <f t="shared" si="14"/>
        <v>-1.0407251424790084E-2</v>
      </c>
      <c r="H99" s="6" t="str">
        <f t="shared" si="15"/>
        <v>🔴 Under-injection</v>
      </c>
      <c r="I99" s="6">
        <f t="shared" si="16"/>
        <v>0.1014400000000002</v>
      </c>
      <c r="J99" s="3">
        <v>4.1175999999999995</v>
      </c>
      <c r="K99" s="6">
        <f t="shared" si="17"/>
        <v>1.4620575</v>
      </c>
      <c r="L99" s="6">
        <f t="shared" si="18"/>
        <v>1.9494100000000001</v>
      </c>
      <c r="M99" s="6">
        <f t="shared" si="19"/>
        <v>0.1014400000000002</v>
      </c>
      <c r="N99" s="6">
        <f t="shared" si="20"/>
        <v>0</v>
      </c>
      <c r="O99" s="6">
        <f t="shared" si="21"/>
        <v>0</v>
      </c>
      <c r="P99" s="6">
        <f t="shared" si="22"/>
        <v>109.6434528000002</v>
      </c>
      <c r="Q99" s="3">
        <v>109.64345280000001</v>
      </c>
      <c r="R99" s="6">
        <f t="shared" si="23"/>
        <v>1.9895196601282805E-13</v>
      </c>
      <c r="S99" s="6" t="str">
        <f t="shared" si="24"/>
        <v>OK</v>
      </c>
    </row>
    <row r="100" spans="1:19" x14ac:dyDescent="0.25">
      <c r="A100" s="3" t="str">
        <f t="shared" si="25"/>
        <v>04.05.2026</v>
      </c>
      <c r="B100" s="5">
        <v>83</v>
      </c>
      <c r="C100" s="5" t="s">
        <v>35</v>
      </c>
      <c r="D100" s="3">
        <v>9.7470499999999998</v>
      </c>
      <c r="E100" s="3">
        <v>9.6456099999999996</v>
      </c>
      <c r="F100" s="6">
        <f t="shared" si="13"/>
        <v>-0.1014400000000002</v>
      </c>
      <c r="G100" s="6">
        <f t="shared" si="14"/>
        <v>-1.0407251424790084E-2</v>
      </c>
      <c r="H100" s="6" t="str">
        <f t="shared" si="15"/>
        <v>🔴 Under-injection</v>
      </c>
      <c r="I100" s="6">
        <f t="shared" si="16"/>
        <v>0.1014400000000002</v>
      </c>
      <c r="J100" s="3">
        <v>4.1218000000000004</v>
      </c>
      <c r="K100" s="6">
        <f t="shared" si="17"/>
        <v>1.4620575</v>
      </c>
      <c r="L100" s="6">
        <f t="shared" si="18"/>
        <v>1.9494100000000001</v>
      </c>
      <c r="M100" s="6">
        <f t="shared" si="19"/>
        <v>0.1014400000000002</v>
      </c>
      <c r="N100" s="6">
        <f t="shared" si="20"/>
        <v>0</v>
      </c>
      <c r="O100" s="6">
        <f t="shared" si="21"/>
        <v>0</v>
      </c>
      <c r="P100" s="6">
        <f t="shared" si="22"/>
        <v>109.75529040000023</v>
      </c>
      <c r="Q100" s="3">
        <v>109.75529040000002</v>
      </c>
      <c r="R100" s="6">
        <f t="shared" si="23"/>
        <v>2.1316282072803006E-13</v>
      </c>
      <c r="S100" s="6" t="str">
        <f t="shared" si="24"/>
        <v>OK</v>
      </c>
    </row>
    <row r="101" spans="1:19" x14ac:dyDescent="0.25">
      <c r="A101" s="3" t="str">
        <f t="shared" si="25"/>
        <v>04.05.2026</v>
      </c>
      <c r="B101" s="5">
        <v>84</v>
      </c>
      <c r="C101" s="5" t="s">
        <v>34</v>
      </c>
      <c r="D101" s="3">
        <v>9.7470499999999998</v>
      </c>
      <c r="E101" s="3">
        <v>9.6456099999999996</v>
      </c>
      <c r="F101" s="6">
        <f t="shared" si="13"/>
        <v>-0.1014400000000002</v>
      </c>
      <c r="G101" s="6">
        <f t="shared" si="14"/>
        <v>-1.0407251424790084E-2</v>
      </c>
      <c r="H101" s="6" t="str">
        <f t="shared" si="15"/>
        <v>🔴 Under-injection</v>
      </c>
      <c r="I101" s="6">
        <f t="shared" si="16"/>
        <v>0.1014400000000002</v>
      </c>
      <c r="J101" s="3">
        <v>4.1116000000000001</v>
      </c>
      <c r="K101" s="6">
        <f t="shared" si="17"/>
        <v>1.4620575</v>
      </c>
      <c r="L101" s="6">
        <f t="shared" si="18"/>
        <v>1.9494100000000001</v>
      </c>
      <c r="M101" s="6">
        <f t="shared" si="19"/>
        <v>0.1014400000000002</v>
      </c>
      <c r="N101" s="6">
        <f t="shared" si="20"/>
        <v>0</v>
      </c>
      <c r="O101" s="6">
        <f t="shared" si="21"/>
        <v>0</v>
      </c>
      <c r="P101" s="6">
        <f t="shared" si="22"/>
        <v>109.48368480000023</v>
      </c>
      <c r="Q101" s="3">
        <v>109.48368480000001</v>
      </c>
      <c r="R101" s="6">
        <f t="shared" si="23"/>
        <v>2.2737367544323206E-13</v>
      </c>
      <c r="S101" s="6" t="str">
        <f t="shared" si="24"/>
        <v>OK</v>
      </c>
    </row>
    <row r="102" spans="1:19" x14ac:dyDescent="0.25">
      <c r="A102" s="3" t="str">
        <f t="shared" si="25"/>
        <v>04.05.2026</v>
      </c>
      <c r="B102" s="5">
        <v>85</v>
      </c>
      <c r="C102" s="5" t="s">
        <v>33</v>
      </c>
      <c r="D102" s="3">
        <v>9.7470499999999998</v>
      </c>
      <c r="E102" s="3">
        <v>9.6456099999999996</v>
      </c>
      <c r="F102" s="6">
        <f t="shared" si="13"/>
        <v>-0.1014400000000002</v>
      </c>
      <c r="G102" s="6">
        <f t="shared" si="14"/>
        <v>-1.0407251424790084E-2</v>
      </c>
      <c r="H102" s="6" t="str">
        <f t="shared" si="15"/>
        <v>🔴 Under-injection</v>
      </c>
      <c r="I102" s="6">
        <f t="shared" si="16"/>
        <v>0.1014400000000002</v>
      </c>
      <c r="J102" s="3">
        <v>4.0569999999999995</v>
      </c>
      <c r="K102" s="6">
        <f t="shared" si="17"/>
        <v>1.4620575</v>
      </c>
      <c r="L102" s="6">
        <f t="shared" si="18"/>
        <v>1.9494100000000001</v>
      </c>
      <c r="M102" s="6">
        <f t="shared" si="19"/>
        <v>0.1014400000000002</v>
      </c>
      <c r="N102" s="6">
        <f t="shared" si="20"/>
        <v>0</v>
      </c>
      <c r="O102" s="6">
        <f t="shared" si="21"/>
        <v>0</v>
      </c>
      <c r="P102" s="6">
        <f t="shared" si="22"/>
        <v>108.0297960000002</v>
      </c>
      <c r="Q102" s="3">
        <v>108.02979599999999</v>
      </c>
      <c r="R102" s="6">
        <f t="shared" si="23"/>
        <v>2.1316282072803006E-13</v>
      </c>
      <c r="S102" s="6" t="str">
        <f t="shared" si="24"/>
        <v>OK</v>
      </c>
    </row>
    <row r="103" spans="1:19" x14ac:dyDescent="0.25">
      <c r="A103" s="3" t="str">
        <f t="shared" si="25"/>
        <v>04.05.2026</v>
      </c>
      <c r="B103" s="5">
        <v>86</v>
      </c>
      <c r="C103" s="5" t="s">
        <v>32</v>
      </c>
      <c r="D103" s="3">
        <v>9.7470499999999998</v>
      </c>
      <c r="E103" s="3">
        <v>9.6456099999999996</v>
      </c>
      <c r="F103" s="6">
        <f t="shared" si="13"/>
        <v>-0.1014400000000002</v>
      </c>
      <c r="G103" s="6">
        <f t="shared" si="14"/>
        <v>-1.0407251424790084E-2</v>
      </c>
      <c r="H103" s="6" t="str">
        <f t="shared" si="15"/>
        <v>🔴 Under-injection</v>
      </c>
      <c r="I103" s="6">
        <f t="shared" si="16"/>
        <v>0.1014400000000002</v>
      </c>
      <c r="J103" s="3">
        <v>4.1109</v>
      </c>
      <c r="K103" s="6">
        <f t="shared" si="17"/>
        <v>1.4620575</v>
      </c>
      <c r="L103" s="6">
        <f t="shared" si="18"/>
        <v>1.9494100000000001</v>
      </c>
      <c r="M103" s="6">
        <f t="shared" si="19"/>
        <v>0.1014400000000002</v>
      </c>
      <c r="N103" s="6">
        <f t="shared" si="20"/>
        <v>0</v>
      </c>
      <c r="O103" s="6">
        <f t="shared" si="21"/>
        <v>0</v>
      </c>
      <c r="P103" s="6">
        <f t="shared" si="22"/>
        <v>109.46504520000022</v>
      </c>
      <c r="Q103" s="3">
        <v>109.46504520000001</v>
      </c>
      <c r="R103" s="6">
        <f t="shared" si="23"/>
        <v>2.1316282072803006E-13</v>
      </c>
      <c r="S103" s="6" t="str">
        <f t="shared" si="24"/>
        <v>OK</v>
      </c>
    </row>
    <row r="104" spans="1:19" x14ac:dyDescent="0.25">
      <c r="A104" s="3" t="str">
        <f t="shared" si="25"/>
        <v>04.05.2026</v>
      </c>
      <c r="B104" s="5">
        <v>87</v>
      </c>
      <c r="C104" s="5" t="s">
        <v>31</v>
      </c>
      <c r="D104" s="3">
        <v>9.7470499999999998</v>
      </c>
      <c r="E104" s="3">
        <v>9.6569500000000001</v>
      </c>
      <c r="F104" s="6">
        <f t="shared" si="13"/>
        <v>-9.0099999999999625E-2</v>
      </c>
      <c r="G104" s="6">
        <f t="shared" si="14"/>
        <v>-9.2438224898815161E-3</v>
      </c>
      <c r="H104" s="6" t="str">
        <f t="shared" si="15"/>
        <v>🔴 Under-injection</v>
      </c>
      <c r="I104" s="6">
        <f t="shared" si="16"/>
        <v>9.0099999999999625E-2</v>
      </c>
      <c r="J104" s="3">
        <v>4.0030000000000001</v>
      </c>
      <c r="K104" s="6">
        <f t="shared" si="17"/>
        <v>1.4620575</v>
      </c>
      <c r="L104" s="6">
        <f t="shared" si="18"/>
        <v>1.9494100000000001</v>
      </c>
      <c r="M104" s="6">
        <f t="shared" si="19"/>
        <v>9.0099999999999625E-2</v>
      </c>
      <c r="N104" s="6">
        <f t="shared" si="20"/>
        <v>0</v>
      </c>
      <c r="O104" s="6">
        <f t="shared" si="21"/>
        <v>0</v>
      </c>
      <c r="P104" s="6">
        <f t="shared" si="22"/>
        <v>94.675953749999607</v>
      </c>
      <c r="Q104" s="3">
        <v>94.675953750000005</v>
      </c>
      <c r="R104" s="6">
        <f t="shared" si="23"/>
        <v>-3.979039320256561E-13</v>
      </c>
      <c r="S104" s="6" t="str">
        <f t="shared" si="24"/>
        <v>OK</v>
      </c>
    </row>
    <row r="105" spans="1:19" x14ac:dyDescent="0.25">
      <c r="A105" s="3" t="str">
        <f t="shared" si="25"/>
        <v>04.05.2026</v>
      </c>
      <c r="B105" s="5">
        <v>88</v>
      </c>
      <c r="C105" s="5" t="s">
        <v>30</v>
      </c>
      <c r="D105" s="3">
        <v>9.7470499999999998</v>
      </c>
      <c r="E105" s="3">
        <v>9.6569500000000001</v>
      </c>
      <c r="F105" s="6">
        <f t="shared" si="13"/>
        <v>-9.0099999999999625E-2</v>
      </c>
      <c r="G105" s="6">
        <f t="shared" si="14"/>
        <v>-9.2438224898815161E-3</v>
      </c>
      <c r="H105" s="6" t="str">
        <f t="shared" si="15"/>
        <v>🔴 Under-injection</v>
      </c>
      <c r="I105" s="6">
        <f t="shared" si="16"/>
        <v>9.0099999999999625E-2</v>
      </c>
      <c r="J105" s="3">
        <v>3.9893000000000001</v>
      </c>
      <c r="K105" s="6">
        <f t="shared" si="17"/>
        <v>1.4620575</v>
      </c>
      <c r="L105" s="6">
        <f t="shared" si="18"/>
        <v>1.9494100000000001</v>
      </c>
      <c r="M105" s="6">
        <f t="shared" si="19"/>
        <v>9.0099999999999625E-2</v>
      </c>
      <c r="N105" s="6">
        <f t="shared" si="20"/>
        <v>0</v>
      </c>
      <c r="O105" s="6">
        <f t="shared" si="21"/>
        <v>0</v>
      </c>
      <c r="P105" s="6">
        <f t="shared" si="22"/>
        <v>94.351931624999608</v>
      </c>
      <c r="Q105" s="3">
        <v>94.351931624999992</v>
      </c>
      <c r="R105" s="6">
        <f t="shared" si="23"/>
        <v>-3.836930773104541E-13</v>
      </c>
      <c r="S105" s="6" t="str">
        <f t="shared" si="24"/>
        <v>OK</v>
      </c>
    </row>
    <row r="106" spans="1:19" x14ac:dyDescent="0.25">
      <c r="A106" s="3" t="str">
        <f t="shared" si="25"/>
        <v>04.05.2026</v>
      </c>
      <c r="B106" s="5">
        <v>89</v>
      </c>
      <c r="C106" s="5" t="s">
        <v>29</v>
      </c>
      <c r="D106" s="3">
        <v>9.2470499999999998</v>
      </c>
      <c r="E106" s="3">
        <v>9.0668799999999994</v>
      </c>
      <c r="F106" s="6">
        <f t="shared" si="13"/>
        <v>-0.18017000000000039</v>
      </c>
      <c r="G106" s="6">
        <f t="shared" si="14"/>
        <v>-1.9484051670532805E-2</v>
      </c>
      <c r="H106" s="6" t="str">
        <f t="shared" si="15"/>
        <v>🔴 Under-injection</v>
      </c>
      <c r="I106" s="6">
        <f t="shared" si="16"/>
        <v>0.18017000000000039</v>
      </c>
      <c r="J106" s="3">
        <v>4.1509</v>
      </c>
      <c r="K106" s="6">
        <f t="shared" si="17"/>
        <v>1.3870574999999998</v>
      </c>
      <c r="L106" s="6">
        <f t="shared" si="18"/>
        <v>1.84941</v>
      </c>
      <c r="M106" s="6">
        <f t="shared" si="19"/>
        <v>0.18017000000000039</v>
      </c>
      <c r="N106" s="6">
        <f t="shared" si="20"/>
        <v>0</v>
      </c>
      <c r="O106" s="6">
        <f t="shared" si="21"/>
        <v>0</v>
      </c>
      <c r="P106" s="6">
        <f t="shared" si="22"/>
        <v>196.31525891250044</v>
      </c>
      <c r="Q106" s="3">
        <v>196.31525891250001</v>
      </c>
      <c r="R106" s="6">
        <f t="shared" si="23"/>
        <v>4.2632564145606011E-13</v>
      </c>
      <c r="S106" s="6" t="str">
        <f t="shared" si="24"/>
        <v>OK</v>
      </c>
    </row>
    <row r="107" spans="1:19" x14ac:dyDescent="0.25">
      <c r="A107" s="3" t="str">
        <f t="shared" si="25"/>
        <v>04.05.2026</v>
      </c>
      <c r="B107" s="5">
        <v>90</v>
      </c>
      <c r="C107" s="5" t="s">
        <v>28</v>
      </c>
      <c r="D107" s="3">
        <v>9.2470499999999998</v>
      </c>
      <c r="E107" s="3">
        <v>9.0668799999999994</v>
      </c>
      <c r="F107" s="6">
        <f t="shared" si="13"/>
        <v>-0.18017000000000039</v>
      </c>
      <c r="G107" s="6">
        <f t="shared" si="14"/>
        <v>-1.9484051670532805E-2</v>
      </c>
      <c r="H107" s="6" t="str">
        <f t="shared" si="15"/>
        <v>🔴 Under-injection</v>
      </c>
      <c r="I107" s="6">
        <f t="shared" si="16"/>
        <v>0.18017000000000039</v>
      </c>
      <c r="J107" s="3">
        <v>4.8456000000000001</v>
      </c>
      <c r="K107" s="6">
        <f t="shared" si="17"/>
        <v>1.3870574999999998</v>
      </c>
      <c r="L107" s="6">
        <f t="shared" si="18"/>
        <v>1.84941</v>
      </c>
      <c r="M107" s="6">
        <f t="shared" si="19"/>
        <v>0.18017000000000039</v>
      </c>
      <c r="N107" s="6">
        <f t="shared" si="20"/>
        <v>0</v>
      </c>
      <c r="O107" s="6">
        <f t="shared" si="21"/>
        <v>0</v>
      </c>
      <c r="P107" s="6">
        <f t="shared" si="22"/>
        <v>229.1708349000005</v>
      </c>
      <c r="Q107" s="3">
        <v>229.17083490000002</v>
      </c>
      <c r="R107" s="6">
        <f t="shared" si="23"/>
        <v>4.8316906031686813E-13</v>
      </c>
      <c r="S107" s="6" t="str">
        <f t="shared" si="24"/>
        <v>OK</v>
      </c>
    </row>
    <row r="108" spans="1:19" x14ac:dyDescent="0.25">
      <c r="A108" s="3" t="str">
        <f t="shared" si="25"/>
        <v>04.05.2026</v>
      </c>
      <c r="B108" s="5">
        <v>91</v>
      </c>
      <c r="C108" s="5" t="s">
        <v>27</v>
      </c>
      <c r="D108" s="3">
        <v>9.2470499999999998</v>
      </c>
      <c r="E108" s="3">
        <v>9.1236099999999993</v>
      </c>
      <c r="F108" s="6">
        <f t="shared" si="13"/>
        <v>-0.12344000000000044</v>
      </c>
      <c r="G108" s="6">
        <f t="shared" si="14"/>
        <v>-1.3349122152470295E-2</v>
      </c>
      <c r="H108" s="6" t="str">
        <f t="shared" si="15"/>
        <v>🔴 Under-injection</v>
      </c>
      <c r="I108" s="6">
        <f t="shared" si="16"/>
        <v>0.12344000000000044</v>
      </c>
      <c r="J108" s="3">
        <v>5.2427999999999999</v>
      </c>
      <c r="K108" s="6">
        <f t="shared" si="17"/>
        <v>1.3870574999999998</v>
      </c>
      <c r="L108" s="6">
        <f t="shared" si="18"/>
        <v>1.84941</v>
      </c>
      <c r="M108" s="6">
        <f t="shared" si="19"/>
        <v>0.12344000000000044</v>
      </c>
      <c r="N108" s="6">
        <f t="shared" si="20"/>
        <v>0</v>
      </c>
      <c r="O108" s="6">
        <f t="shared" si="21"/>
        <v>0</v>
      </c>
      <c r="P108" s="6">
        <f t="shared" si="22"/>
        <v>169.88244840000064</v>
      </c>
      <c r="Q108" s="3">
        <v>169.88244839999999</v>
      </c>
      <c r="R108" s="6">
        <f t="shared" si="23"/>
        <v>6.5369931689929217E-13</v>
      </c>
      <c r="S108" s="6" t="str">
        <f t="shared" si="24"/>
        <v>OK</v>
      </c>
    </row>
    <row r="109" spans="1:19" x14ac:dyDescent="0.25">
      <c r="A109" s="3" t="str">
        <f t="shared" si="25"/>
        <v>04.05.2026</v>
      </c>
      <c r="B109" s="5">
        <v>92</v>
      </c>
      <c r="C109" s="5" t="s">
        <v>26</v>
      </c>
      <c r="D109" s="3">
        <v>9.2470499999999998</v>
      </c>
      <c r="E109" s="3">
        <v>9.1236099999999993</v>
      </c>
      <c r="F109" s="6">
        <f t="shared" si="13"/>
        <v>-0.12344000000000044</v>
      </c>
      <c r="G109" s="6">
        <f t="shared" si="14"/>
        <v>-1.3349122152470295E-2</v>
      </c>
      <c r="H109" s="6" t="str">
        <f t="shared" si="15"/>
        <v>🔴 Under-injection</v>
      </c>
      <c r="I109" s="6">
        <f t="shared" si="16"/>
        <v>0.12344000000000044</v>
      </c>
      <c r="J109" s="3">
        <v>5.3722000000000003</v>
      </c>
      <c r="K109" s="6">
        <f t="shared" si="17"/>
        <v>1.3870574999999998</v>
      </c>
      <c r="L109" s="6">
        <f t="shared" si="18"/>
        <v>1.84941</v>
      </c>
      <c r="M109" s="6">
        <f t="shared" si="19"/>
        <v>0.12344000000000044</v>
      </c>
      <c r="N109" s="6">
        <f t="shared" si="20"/>
        <v>0</v>
      </c>
      <c r="O109" s="6">
        <f t="shared" si="21"/>
        <v>0</v>
      </c>
      <c r="P109" s="6">
        <f t="shared" si="22"/>
        <v>174.07539660000066</v>
      </c>
      <c r="Q109" s="3">
        <v>174.0753966</v>
      </c>
      <c r="R109" s="6">
        <f t="shared" si="23"/>
        <v>6.5369931689929217E-13</v>
      </c>
      <c r="S109" s="6" t="str">
        <f t="shared" si="24"/>
        <v>OK</v>
      </c>
    </row>
    <row r="110" spans="1:19" x14ac:dyDescent="0.25">
      <c r="A110" s="3" t="str">
        <f t="shared" si="25"/>
        <v>04.05.2026</v>
      </c>
      <c r="B110" s="5">
        <v>93</v>
      </c>
      <c r="C110" s="5" t="s">
        <v>25</v>
      </c>
      <c r="D110" s="3">
        <v>9.2470499999999998</v>
      </c>
      <c r="E110" s="3">
        <v>9.1236099999999993</v>
      </c>
      <c r="F110" s="6">
        <f t="shared" si="13"/>
        <v>-0.12344000000000044</v>
      </c>
      <c r="G110" s="6">
        <f t="shared" si="14"/>
        <v>-1.3349122152470295E-2</v>
      </c>
      <c r="H110" s="6" t="str">
        <f t="shared" si="15"/>
        <v>🔴 Under-injection</v>
      </c>
      <c r="I110" s="6">
        <f t="shared" si="16"/>
        <v>0.12344000000000044</v>
      </c>
      <c r="J110" s="3">
        <v>5.3952999999999998</v>
      </c>
      <c r="K110" s="6">
        <f t="shared" si="17"/>
        <v>1.3870574999999998</v>
      </c>
      <c r="L110" s="6">
        <f t="shared" si="18"/>
        <v>1.84941</v>
      </c>
      <c r="M110" s="6">
        <f t="shared" si="19"/>
        <v>0.12344000000000044</v>
      </c>
      <c r="N110" s="6">
        <f t="shared" si="20"/>
        <v>0</v>
      </c>
      <c r="O110" s="6">
        <f t="shared" si="21"/>
        <v>0</v>
      </c>
      <c r="P110" s="6">
        <f t="shared" si="22"/>
        <v>174.82390590000063</v>
      </c>
      <c r="Q110" s="3">
        <v>174.8239059</v>
      </c>
      <c r="R110" s="6">
        <f t="shared" si="23"/>
        <v>6.2527760746888816E-13</v>
      </c>
      <c r="S110" s="6" t="str">
        <f t="shared" si="24"/>
        <v>OK</v>
      </c>
    </row>
    <row r="111" spans="1:19" x14ac:dyDescent="0.25">
      <c r="A111" s="3" t="str">
        <f t="shared" si="25"/>
        <v>04.05.2026</v>
      </c>
      <c r="B111" s="5">
        <v>94</v>
      </c>
      <c r="C111" s="5" t="s">
        <v>24</v>
      </c>
      <c r="D111" s="3">
        <v>9.2470499999999998</v>
      </c>
      <c r="E111" s="3">
        <v>9.1236099999999993</v>
      </c>
      <c r="F111" s="6">
        <f t="shared" si="13"/>
        <v>-0.12344000000000044</v>
      </c>
      <c r="G111" s="6">
        <f t="shared" si="14"/>
        <v>-1.3349122152470295E-2</v>
      </c>
      <c r="H111" s="6" t="str">
        <f t="shared" si="15"/>
        <v>🔴 Under-injection</v>
      </c>
      <c r="I111" s="6">
        <f t="shared" si="16"/>
        <v>0.12344000000000044</v>
      </c>
      <c r="J111" s="3">
        <v>9.0490999999999993</v>
      </c>
      <c r="K111" s="6">
        <f t="shared" si="17"/>
        <v>1.3870574999999998</v>
      </c>
      <c r="L111" s="6">
        <f t="shared" si="18"/>
        <v>1.84941</v>
      </c>
      <c r="M111" s="6">
        <f t="shared" si="19"/>
        <v>0.12344000000000044</v>
      </c>
      <c r="N111" s="6">
        <f t="shared" si="20"/>
        <v>0</v>
      </c>
      <c r="O111" s="6">
        <f t="shared" si="21"/>
        <v>0</v>
      </c>
      <c r="P111" s="6">
        <f t="shared" si="22"/>
        <v>293.21798730000103</v>
      </c>
      <c r="Q111" s="3">
        <v>293.2179873</v>
      </c>
      <c r="R111" s="6">
        <f t="shared" si="23"/>
        <v>1.0231815394945443E-12</v>
      </c>
      <c r="S111" s="6" t="str">
        <f t="shared" si="24"/>
        <v>OK</v>
      </c>
    </row>
    <row r="112" spans="1:19" x14ac:dyDescent="0.25">
      <c r="A112" s="3" t="str">
        <f t="shared" si="25"/>
        <v>04.05.2026</v>
      </c>
      <c r="B112" s="5">
        <v>95</v>
      </c>
      <c r="C112" s="5" t="s">
        <v>23</v>
      </c>
      <c r="D112" s="3">
        <v>9.2470499999999998</v>
      </c>
      <c r="E112" s="3">
        <v>9.1236099999999993</v>
      </c>
      <c r="F112" s="6">
        <f t="shared" si="13"/>
        <v>-0.12344000000000044</v>
      </c>
      <c r="G112" s="6">
        <f t="shared" si="14"/>
        <v>-1.3349122152470295E-2</v>
      </c>
      <c r="H112" s="6" t="str">
        <f t="shared" si="15"/>
        <v>🔴 Under-injection</v>
      </c>
      <c r="I112" s="6">
        <f t="shared" si="16"/>
        <v>0.12344000000000044</v>
      </c>
      <c r="J112" s="3">
        <v>5.8394000000000004</v>
      </c>
      <c r="K112" s="6">
        <f t="shared" si="17"/>
        <v>1.3870574999999998</v>
      </c>
      <c r="L112" s="6">
        <f t="shared" si="18"/>
        <v>1.84941</v>
      </c>
      <c r="M112" s="6">
        <f t="shared" si="19"/>
        <v>0.12344000000000044</v>
      </c>
      <c r="N112" s="6">
        <f t="shared" si="20"/>
        <v>0</v>
      </c>
      <c r="O112" s="6">
        <f t="shared" si="21"/>
        <v>0</v>
      </c>
      <c r="P112" s="6">
        <f t="shared" si="22"/>
        <v>189.21407820000073</v>
      </c>
      <c r="Q112" s="3">
        <v>189.21407819999999</v>
      </c>
      <c r="R112" s="6">
        <f t="shared" si="23"/>
        <v>7.3896444519050419E-13</v>
      </c>
      <c r="S112" s="6" t="str">
        <f t="shared" si="24"/>
        <v>OK</v>
      </c>
    </row>
    <row r="113" spans="1:19" x14ac:dyDescent="0.25">
      <c r="A113" s="3" t="str">
        <f t="shared" si="25"/>
        <v>04.05.2026</v>
      </c>
      <c r="B113" s="5">
        <v>96</v>
      </c>
      <c r="C113" s="5" t="s">
        <v>22</v>
      </c>
      <c r="D113" s="3">
        <v>9.2470499999999998</v>
      </c>
      <c r="E113" s="3">
        <v>9.1236099999999993</v>
      </c>
      <c r="F113" s="6">
        <f t="shared" si="13"/>
        <v>-0.12344000000000044</v>
      </c>
      <c r="G113" s="6">
        <f t="shared" si="14"/>
        <v>-1.3349122152470295E-2</v>
      </c>
      <c r="H113" s="6" t="str">
        <f t="shared" si="15"/>
        <v>🔴 Under-injection</v>
      </c>
      <c r="I113" s="6">
        <f t="shared" si="16"/>
        <v>0.12344000000000044</v>
      </c>
      <c r="J113" s="3">
        <v>5.4879999999999995</v>
      </c>
      <c r="K113" s="6">
        <f t="shared" si="17"/>
        <v>1.3870574999999998</v>
      </c>
      <c r="L113" s="6">
        <f t="shared" si="18"/>
        <v>1.84941</v>
      </c>
      <c r="M113" s="6">
        <f t="shared" si="19"/>
        <v>0.12344000000000044</v>
      </c>
      <c r="N113" s="6">
        <f t="shared" si="20"/>
        <v>0</v>
      </c>
      <c r="O113" s="6">
        <f t="shared" si="21"/>
        <v>0</v>
      </c>
      <c r="P113" s="6">
        <f t="shared" si="22"/>
        <v>177.82766400000062</v>
      </c>
      <c r="Q113" s="3">
        <v>177.82766399999997</v>
      </c>
      <c r="R113" s="6">
        <f t="shared" si="23"/>
        <v>6.5369931689929217E-13</v>
      </c>
      <c r="S113" s="6" t="str">
        <f t="shared" si="24"/>
        <v>OK</v>
      </c>
    </row>
    <row r="114" spans="1:19" x14ac:dyDescent="0.25">
      <c r="A114" s="3" t="s">
        <v>169</v>
      </c>
      <c r="B114" s="5">
        <v>1</v>
      </c>
      <c r="C114" s="5" t="s">
        <v>117</v>
      </c>
      <c r="D114" s="3">
        <v>8.2970499999999987</v>
      </c>
      <c r="E114" s="3">
        <v>8.4314</v>
      </c>
      <c r="F114" s="6">
        <f t="shared" si="13"/>
        <v>0.1343500000000013</v>
      </c>
      <c r="G114" s="6">
        <f t="shared" si="14"/>
        <v>1.6192502154380332E-2</v>
      </c>
      <c r="H114" s="6" t="str">
        <f t="shared" si="15"/>
        <v>🟢 Over-injection</v>
      </c>
      <c r="I114" s="6">
        <f t="shared" si="16"/>
        <v>-0.1343500000000013</v>
      </c>
      <c r="J114" s="3">
        <v>4.3550000000000004</v>
      </c>
      <c r="K114" s="6">
        <f t="shared" si="17"/>
        <v>1.2445574999999998</v>
      </c>
      <c r="L114" s="6">
        <f t="shared" si="18"/>
        <v>1.6594099999999998</v>
      </c>
      <c r="M114" s="6">
        <f t="shared" si="19"/>
        <v>0.1343500000000013</v>
      </c>
      <c r="N114" s="6">
        <f t="shared" si="20"/>
        <v>0</v>
      </c>
      <c r="O114" s="6">
        <f t="shared" si="21"/>
        <v>0</v>
      </c>
      <c r="P114" s="6">
        <f t="shared" si="22"/>
        <v>-117.01885000000115</v>
      </c>
      <c r="Q114" s="3">
        <v>-117.01885000000001</v>
      </c>
      <c r="R114" s="6">
        <f t="shared" si="23"/>
        <v>-1.1368683772161603E-12</v>
      </c>
      <c r="S114" s="6" t="str">
        <f t="shared" si="24"/>
        <v>OK</v>
      </c>
    </row>
    <row r="115" spans="1:19" x14ac:dyDescent="0.25">
      <c r="A115" s="3" t="str">
        <f t="shared" si="25"/>
        <v>05.05.2026</v>
      </c>
      <c r="B115" s="5">
        <v>2</v>
      </c>
      <c r="C115" s="5" t="s">
        <v>116</v>
      </c>
      <c r="D115" s="3">
        <v>8.2970499999999987</v>
      </c>
      <c r="E115" s="3">
        <v>8.0342300000000009</v>
      </c>
      <c r="F115" s="6">
        <f t="shared" si="13"/>
        <v>-0.26281999999999783</v>
      </c>
      <c r="G115" s="6">
        <f t="shared" si="14"/>
        <v>-3.1676318691582897E-2</v>
      </c>
      <c r="H115" s="6" t="str">
        <f t="shared" si="15"/>
        <v>🔴 Under-injection</v>
      </c>
      <c r="I115" s="6">
        <f t="shared" si="16"/>
        <v>0.26281999999999783</v>
      </c>
      <c r="J115" s="3">
        <v>4.3193000000000001</v>
      </c>
      <c r="K115" s="6">
        <f t="shared" si="17"/>
        <v>1.2445574999999998</v>
      </c>
      <c r="L115" s="6">
        <f t="shared" si="18"/>
        <v>1.6594099999999998</v>
      </c>
      <c r="M115" s="6">
        <f t="shared" si="19"/>
        <v>0.26281999999999783</v>
      </c>
      <c r="N115" s="6">
        <f t="shared" si="20"/>
        <v>0</v>
      </c>
      <c r="O115" s="6">
        <f t="shared" si="21"/>
        <v>0</v>
      </c>
      <c r="P115" s="6">
        <f t="shared" si="22"/>
        <v>297.98958682499756</v>
      </c>
      <c r="Q115" s="3">
        <v>297.98958682500006</v>
      </c>
      <c r="R115" s="6">
        <f t="shared" si="23"/>
        <v>-2.5011104298755527E-12</v>
      </c>
      <c r="S115" s="6" t="str">
        <f t="shared" si="24"/>
        <v>OK</v>
      </c>
    </row>
    <row r="116" spans="1:19" x14ac:dyDescent="0.25">
      <c r="A116" s="3" t="str">
        <f t="shared" si="25"/>
        <v>05.05.2026</v>
      </c>
      <c r="B116" s="5">
        <v>3</v>
      </c>
      <c r="C116" s="5" t="s">
        <v>115</v>
      </c>
      <c r="D116" s="3">
        <v>8.2970499999999987</v>
      </c>
      <c r="E116" s="3">
        <v>8.0342300000000009</v>
      </c>
      <c r="F116" s="6">
        <f t="shared" si="13"/>
        <v>-0.26281999999999783</v>
      </c>
      <c r="G116" s="6">
        <f t="shared" si="14"/>
        <v>-3.1676318691582897E-2</v>
      </c>
      <c r="H116" s="6" t="str">
        <f t="shared" si="15"/>
        <v>🔴 Under-injection</v>
      </c>
      <c r="I116" s="6">
        <f t="shared" si="16"/>
        <v>0.26281999999999783</v>
      </c>
      <c r="J116" s="3">
        <v>4.2618999999999998</v>
      </c>
      <c r="K116" s="6">
        <f t="shared" si="17"/>
        <v>1.2445574999999998</v>
      </c>
      <c r="L116" s="6">
        <f t="shared" si="18"/>
        <v>1.6594099999999998</v>
      </c>
      <c r="M116" s="6">
        <f t="shared" si="19"/>
        <v>0.26281999999999783</v>
      </c>
      <c r="N116" s="6">
        <f t="shared" si="20"/>
        <v>0</v>
      </c>
      <c r="O116" s="6">
        <f t="shared" si="21"/>
        <v>0</v>
      </c>
      <c r="P116" s="6">
        <f t="shared" si="22"/>
        <v>294.02954647499757</v>
      </c>
      <c r="Q116" s="3">
        <v>294.02954647500002</v>
      </c>
      <c r="R116" s="6">
        <f t="shared" si="23"/>
        <v>-2.4442670110147446E-12</v>
      </c>
      <c r="S116" s="6" t="str">
        <f t="shared" si="24"/>
        <v>OK</v>
      </c>
    </row>
    <row r="117" spans="1:19" x14ac:dyDescent="0.25">
      <c r="A117" s="3" t="str">
        <f t="shared" si="25"/>
        <v>05.05.2026</v>
      </c>
      <c r="B117" s="5">
        <v>4</v>
      </c>
      <c r="C117" s="5" t="s">
        <v>114</v>
      </c>
      <c r="D117" s="3">
        <v>8.2970499999999987</v>
      </c>
      <c r="E117" s="3">
        <v>8.0342300000000009</v>
      </c>
      <c r="F117" s="6">
        <f t="shared" si="13"/>
        <v>-0.26281999999999783</v>
      </c>
      <c r="G117" s="6">
        <f t="shared" si="14"/>
        <v>-3.1676318691582897E-2</v>
      </c>
      <c r="H117" s="6" t="str">
        <f t="shared" si="15"/>
        <v>🔴 Under-injection</v>
      </c>
      <c r="I117" s="6">
        <f t="shared" si="16"/>
        <v>0.26281999999999783</v>
      </c>
      <c r="J117" s="3">
        <v>4.0862999999999996</v>
      </c>
      <c r="K117" s="6">
        <f t="shared" si="17"/>
        <v>1.2445574999999998</v>
      </c>
      <c r="L117" s="6">
        <f t="shared" si="18"/>
        <v>1.6594099999999998</v>
      </c>
      <c r="M117" s="6">
        <f t="shared" si="19"/>
        <v>0.26281999999999783</v>
      </c>
      <c r="N117" s="6">
        <f t="shared" si="20"/>
        <v>0</v>
      </c>
      <c r="O117" s="6">
        <f t="shared" si="21"/>
        <v>0</v>
      </c>
      <c r="P117" s="6">
        <f t="shared" si="22"/>
        <v>281.91485857499765</v>
      </c>
      <c r="Q117" s="3">
        <v>281.91485857499998</v>
      </c>
      <c r="R117" s="6">
        <f t="shared" si="23"/>
        <v>-2.3305801732931286E-12</v>
      </c>
      <c r="S117" s="6" t="str">
        <f t="shared" si="24"/>
        <v>OK</v>
      </c>
    </row>
    <row r="118" spans="1:19" x14ac:dyDescent="0.25">
      <c r="A118" s="3" t="str">
        <f t="shared" si="25"/>
        <v>05.05.2026</v>
      </c>
      <c r="B118" s="5">
        <v>5</v>
      </c>
      <c r="C118" s="5" t="s">
        <v>113</v>
      </c>
      <c r="D118" s="3">
        <v>8.2970499999999987</v>
      </c>
      <c r="E118" s="3">
        <v>8.0342300000000009</v>
      </c>
      <c r="F118" s="6">
        <f t="shared" si="13"/>
        <v>-0.26281999999999783</v>
      </c>
      <c r="G118" s="6">
        <f t="shared" si="14"/>
        <v>-3.1676318691582897E-2</v>
      </c>
      <c r="H118" s="6" t="str">
        <f t="shared" si="15"/>
        <v>🔴 Under-injection</v>
      </c>
      <c r="I118" s="6">
        <f t="shared" si="16"/>
        <v>0.26281999999999783</v>
      </c>
      <c r="J118" s="3">
        <v>3.9363999999999999</v>
      </c>
      <c r="K118" s="6">
        <f t="shared" si="17"/>
        <v>1.2445574999999998</v>
      </c>
      <c r="L118" s="6">
        <f t="shared" si="18"/>
        <v>1.6594099999999998</v>
      </c>
      <c r="M118" s="6">
        <f t="shared" si="19"/>
        <v>0.26281999999999783</v>
      </c>
      <c r="N118" s="6">
        <f t="shared" si="20"/>
        <v>0</v>
      </c>
      <c r="O118" s="6">
        <f t="shared" si="21"/>
        <v>0</v>
      </c>
      <c r="P118" s="6">
        <f t="shared" si="22"/>
        <v>271.5732200999978</v>
      </c>
      <c r="Q118" s="3">
        <v>271.57322009999996</v>
      </c>
      <c r="R118" s="6">
        <f t="shared" si="23"/>
        <v>-2.1600499167107046E-12</v>
      </c>
      <c r="S118" s="6" t="str">
        <f t="shared" si="24"/>
        <v>OK</v>
      </c>
    </row>
    <row r="119" spans="1:19" x14ac:dyDescent="0.25">
      <c r="A119" s="3" t="str">
        <f t="shared" si="25"/>
        <v>05.05.2026</v>
      </c>
      <c r="B119" s="5">
        <v>6</v>
      </c>
      <c r="C119" s="5" t="s">
        <v>112</v>
      </c>
      <c r="D119" s="3">
        <v>8.2970499999999987</v>
      </c>
      <c r="E119" s="3">
        <v>8.0342300000000009</v>
      </c>
      <c r="F119" s="6">
        <f t="shared" si="13"/>
        <v>-0.26281999999999783</v>
      </c>
      <c r="G119" s="6">
        <f t="shared" si="14"/>
        <v>-3.1676318691582897E-2</v>
      </c>
      <c r="H119" s="6" t="str">
        <f t="shared" si="15"/>
        <v>🔴 Under-injection</v>
      </c>
      <c r="I119" s="6">
        <f t="shared" si="16"/>
        <v>0.26281999999999783</v>
      </c>
      <c r="J119" s="3">
        <v>3.7500999999999998</v>
      </c>
      <c r="K119" s="6">
        <f t="shared" si="17"/>
        <v>1.2445574999999998</v>
      </c>
      <c r="L119" s="6">
        <f t="shared" si="18"/>
        <v>1.6594099999999998</v>
      </c>
      <c r="M119" s="6">
        <f t="shared" si="19"/>
        <v>0.26281999999999783</v>
      </c>
      <c r="N119" s="6">
        <f t="shared" si="20"/>
        <v>0</v>
      </c>
      <c r="O119" s="6">
        <f t="shared" si="21"/>
        <v>0</v>
      </c>
      <c r="P119" s="6">
        <f t="shared" si="22"/>
        <v>258.72033652499789</v>
      </c>
      <c r="Q119" s="3">
        <v>258.72033652499999</v>
      </c>
      <c r="R119" s="6">
        <f t="shared" si="23"/>
        <v>-2.1032064978498966E-12</v>
      </c>
      <c r="S119" s="6" t="str">
        <f t="shared" si="24"/>
        <v>OK</v>
      </c>
    </row>
    <row r="120" spans="1:19" x14ac:dyDescent="0.25">
      <c r="A120" s="3" t="str">
        <f t="shared" si="25"/>
        <v>05.05.2026</v>
      </c>
      <c r="B120" s="5">
        <v>7</v>
      </c>
      <c r="C120" s="5" t="s">
        <v>111</v>
      </c>
      <c r="D120" s="3">
        <v>8.2970499999999987</v>
      </c>
      <c r="E120" s="3">
        <v>8.0342300000000009</v>
      </c>
      <c r="F120" s="6">
        <f t="shared" si="13"/>
        <v>-0.26281999999999783</v>
      </c>
      <c r="G120" s="6">
        <f t="shared" si="14"/>
        <v>-3.1676318691582897E-2</v>
      </c>
      <c r="H120" s="6" t="str">
        <f t="shared" si="15"/>
        <v>🔴 Under-injection</v>
      </c>
      <c r="I120" s="6">
        <f t="shared" si="16"/>
        <v>0.26281999999999783</v>
      </c>
      <c r="J120" s="3">
        <v>3.7486999999999999</v>
      </c>
      <c r="K120" s="6">
        <f t="shared" si="17"/>
        <v>1.2445574999999998</v>
      </c>
      <c r="L120" s="6">
        <f t="shared" si="18"/>
        <v>1.6594099999999998</v>
      </c>
      <c r="M120" s="6">
        <f t="shared" si="19"/>
        <v>0.26281999999999783</v>
      </c>
      <c r="N120" s="6">
        <f t="shared" si="20"/>
        <v>0</v>
      </c>
      <c r="O120" s="6">
        <f t="shared" si="21"/>
        <v>0</v>
      </c>
      <c r="P120" s="6">
        <f t="shared" si="22"/>
        <v>258.62375017499789</v>
      </c>
      <c r="Q120" s="3">
        <v>258.623750175</v>
      </c>
      <c r="R120" s="6">
        <f t="shared" si="23"/>
        <v>-2.1032064978498966E-12</v>
      </c>
      <c r="S120" s="6" t="str">
        <f t="shared" si="24"/>
        <v>OK</v>
      </c>
    </row>
    <row r="121" spans="1:19" x14ac:dyDescent="0.25">
      <c r="A121" s="3" t="str">
        <f t="shared" si="25"/>
        <v>05.05.2026</v>
      </c>
      <c r="B121" s="5">
        <v>8</v>
      </c>
      <c r="C121" s="5" t="s">
        <v>110</v>
      </c>
      <c r="D121" s="3">
        <v>8.2970499999999987</v>
      </c>
      <c r="E121" s="3">
        <v>8.0342300000000009</v>
      </c>
      <c r="F121" s="6">
        <f t="shared" si="13"/>
        <v>-0.26281999999999783</v>
      </c>
      <c r="G121" s="6">
        <f t="shared" si="14"/>
        <v>-3.1676318691582897E-2</v>
      </c>
      <c r="H121" s="6" t="str">
        <f t="shared" si="15"/>
        <v>🔴 Under-injection</v>
      </c>
      <c r="I121" s="6">
        <f t="shared" si="16"/>
        <v>0.26281999999999783</v>
      </c>
      <c r="J121" s="3">
        <v>3.6968999999999999</v>
      </c>
      <c r="K121" s="6">
        <f t="shared" si="17"/>
        <v>1.2445574999999998</v>
      </c>
      <c r="L121" s="6">
        <f t="shared" si="18"/>
        <v>1.6594099999999998</v>
      </c>
      <c r="M121" s="6">
        <f t="shared" si="19"/>
        <v>0.26281999999999783</v>
      </c>
      <c r="N121" s="6">
        <f t="shared" si="20"/>
        <v>0</v>
      </c>
      <c r="O121" s="6">
        <f t="shared" si="21"/>
        <v>0</v>
      </c>
      <c r="P121" s="6">
        <f t="shared" si="22"/>
        <v>255.05005522499792</v>
      </c>
      <c r="Q121" s="3">
        <v>255.05005522500002</v>
      </c>
      <c r="R121" s="6">
        <f t="shared" si="23"/>
        <v>-2.1032064978498966E-12</v>
      </c>
      <c r="S121" s="6" t="str">
        <f t="shared" si="24"/>
        <v>OK</v>
      </c>
    </row>
    <row r="122" spans="1:19" x14ac:dyDescent="0.25">
      <c r="A122" s="3" t="str">
        <f t="shared" si="25"/>
        <v>05.05.2026</v>
      </c>
      <c r="B122" s="5">
        <v>9</v>
      </c>
      <c r="C122" s="5" t="s">
        <v>109</v>
      </c>
      <c r="D122" s="3">
        <v>7.7970499999999996</v>
      </c>
      <c r="E122" s="3">
        <v>7.7505300000000004</v>
      </c>
      <c r="F122" s="6">
        <f t="shared" si="13"/>
        <v>-4.6519999999999229E-2</v>
      </c>
      <c r="G122" s="6">
        <f t="shared" si="14"/>
        <v>-5.9663590717000956E-3</v>
      </c>
      <c r="H122" s="6" t="str">
        <f t="shared" si="15"/>
        <v>🔴 Under-injection</v>
      </c>
      <c r="I122" s="6">
        <f t="shared" si="16"/>
        <v>4.6519999999999229E-2</v>
      </c>
      <c r="J122" s="3">
        <v>3.5998000000000001</v>
      </c>
      <c r="K122" s="6">
        <f t="shared" si="17"/>
        <v>1.1695574999999998</v>
      </c>
      <c r="L122" s="6">
        <f t="shared" si="18"/>
        <v>1.55941</v>
      </c>
      <c r="M122" s="6">
        <f t="shared" si="19"/>
        <v>4.6519999999999229E-2</v>
      </c>
      <c r="N122" s="6">
        <f t="shared" si="20"/>
        <v>0</v>
      </c>
      <c r="O122" s="6">
        <f t="shared" si="21"/>
        <v>0</v>
      </c>
      <c r="P122" s="6">
        <f t="shared" si="22"/>
        <v>43.958957699999274</v>
      </c>
      <c r="Q122" s="3">
        <v>43.958957699999999</v>
      </c>
      <c r="R122" s="6">
        <f t="shared" si="23"/>
        <v>-7.2475359047530219E-13</v>
      </c>
      <c r="S122" s="6" t="str">
        <f t="shared" si="24"/>
        <v>OK</v>
      </c>
    </row>
    <row r="123" spans="1:19" x14ac:dyDescent="0.25">
      <c r="A123" s="3" t="str">
        <f t="shared" si="25"/>
        <v>05.05.2026</v>
      </c>
      <c r="B123" s="5">
        <v>10</v>
      </c>
      <c r="C123" s="5" t="s">
        <v>108</v>
      </c>
      <c r="D123" s="3">
        <v>7.7970499999999996</v>
      </c>
      <c r="E123" s="3">
        <v>7.7164799999999998</v>
      </c>
      <c r="F123" s="6">
        <f t="shared" si="13"/>
        <v>-8.0569999999999808E-2</v>
      </c>
      <c r="G123" s="6">
        <f t="shared" si="14"/>
        <v>-1.0333395322589929E-2</v>
      </c>
      <c r="H123" s="6" t="str">
        <f t="shared" si="15"/>
        <v>🔴 Under-injection</v>
      </c>
      <c r="I123" s="6">
        <f t="shared" si="16"/>
        <v>8.0569999999999808E-2</v>
      </c>
      <c r="J123" s="3">
        <v>3.6022000000000003</v>
      </c>
      <c r="K123" s="6">
        <f t="shared" si="17"/>
        <v>1.1695574999999998</v>
      </c>
      <c r="L123" s="6">
        <f t="shared" si="18"/>
        <v>1.55941</v>
      </c>
      <c r="M123" s="6">
        <f t="shared" si="19"/>
        <v>8.0569999999999808E-2</v>
      </c>
      <c r="N123" s="6">
        <f t="shared" si="20"/>
        <v>0</v>
      </c>
      <c r="O123" s="6">
        <f t="shared" si="21"/>
        <v>0</v>
      </c>
      <c r="P123" s="6">
        <f t="shared" si="22"/>
        <v>76.185179174999831</v>
      </c>
      <c r="Q123" s="3">
        <v>76.185179175000002</v>
      </c>
      <c r="R123" s="6">
        <f t="shared" si="23"/>
        <v>-1.7053025658242404E-13</v>
      </c>
      <c r="S123" s="6" t="str">
        <f t="shared" si="24"/>
        <v>OK</v>
      </c>
    </row>
    <row r="124" spans="1:19" x14ac:dyDescent="0.25">
      <c r="A124" s="3" t="str">
        <f t="shared" si="25"/>
        <v>05.05.2026</v>
      </c>
      <c r="B124" s="5">
        <v>11</v>
      </c>
      <c r="C124" s="5" t="s">
        <v>107</v>
      </c>
      <c r="D124" s="3">
        <v>7.7970499999999996</v>
      </c>
      <c r="E124" s="3">
        <v>7.7164799999999998</v>
      </c>
      <c r="F124" s="6">
        <f t="shared" si="13"/>
        <v>-8.0569999999999808E-2</v>
      </c>
      <c r="G124" s="6">
        <f t="shared" si="14"/>
        <v>-1.0333395322589929E-2</v>
      </c>
      <c r="H124" s="6" t="str">
        <f t="shared" si="15"/>
        <v>🔴 Under-injection</v>
      </c>
      <c r="I124" s="6">
        <f t="shared" si="16"/>
        <v>8.0569999999999808E-2</v>
      </c>
      <c r="J124" s="3">
        <v>3.6586000000000003</v>
      </c>
      <c r="K124" s="6">
        <f t="shared" si="17"/>
        <v>1.1695574999999998</v>
      </c>
      <c r="L124" s="6">
        <f t="shared" si="18"/>
        <v>1.55941</v>
      </c>
      <c r="M124" s="6">
        <f t="shared" si="19"/>
        <v>8.0569999999999808E-2</v>
      </c>
      <c r="N124" s="6">
        <f t="shared" si="20"/>
        <v>0</v>
      </c>
      <c r="O124" s="6">
        <f t="shared" si="21"/>
        <v>0</v>
      </c>
      <c r="P124" s="6">
        <f t="shared" si="22"/>
        <v>77.378018024999832</v>
      </c>
      <c r="Q124" s="3">
        <v>77.378018025000003</v>
      </c>
      <c r="R124" s="6">
        <f t="shared" si="23"/>
        <v>-1.7053025658242404E-13</v>
      </c>
      <c r="S124" s="6" t="str">
        <f t="shared" si="24"/>
        <v>OK</v>
      </c>
    </row>
    <row r="125" spans="1:19" x14ac:dyDescent="0.25">
      <c r="A125" s="3" t="str">
        <f t="shared" si="25"/>
        <v>05.05.2026</v>
      </c>
      <c r="B125" s="5">
        <v>12</v>
      </c>
      <c r="C125" s="5" t="s">
        <v>106</v>
      </c>
      <c r="D125" s="3">
        <v>7.7970499999999996</v>
      </c>
      <c r="E125" s="3">
        <v>7.7164799999999998</v>
      </c>
      <c r="F125" s="6">
        <f t="shared" si="13"/>
        <v>-8.0569999999999808E-2</v>
      </c>
      <c r="G125" s="6">
        <f t="shared" si="14"/>
        <v>-1.0333395322589929E-2</v>
      </c>
      <c r="H125" s="6" t="str">
        <f t="shared" si="15"/>
        <v>🔴 Under-injection</v>
      </c>
      <c r="I125" s="6">
        <f t="shared" si="16"/>
        <v>8.0569999999999808E-2</v>
      </c>
      <c r="J125" s="3">
        <v>3.5495999999999999</v>
      </c>
      <c r="K125" s="6">
        <f t="shared" si="17"/>
        <v>1.1695574999999998</v>
      </c>
      <c r="L125" s="6">
        <f t="shared" si="18"/>
        <v>1.55941</v>
      </c>
      <c r="M125" s="6">
        <f t="shared" si="19"/>
        <v>8.0569999999999808E-2</v>
      </c>
      <c r="N125" s="6">
        <f t="shared" si="20"/>
        <v>0</v>
      </c>
      <c r="O125" s="6">
        <f t="shared" si="21"/>
        <v>0</v>
      </c>
      <c r="P125" s="6">
        <f t="shared" si="22"/>
        <v>75.07270889999981</v>
      </c>
      <c r="Q125" s="3">
        <v>75.072708900000009</v>
      </c>
      <c r="R125" s="6">
        <f t="shared" si="23"/>
        <v>-1.9895196601282805E-13</v>
      </c>
      <c r="S125" s="6" t="str">
        <f t="shared" si="24"/>
        <v>OK</v>
      </c>
    </row>
    <row r="126" spans="1:19" x14ac:dyDescent="0.25">
      <c r="A126" s="3" t="str">
        <f t="shared" si="25"/>
        <v>05.05.2026</v>
      </c>
      <c r="B126" s="5">
        <v>13</v>
      </c>
      <c r="C126" s="5" t="s">
        <v>105</v>
      </c>
      <c r="D126" s="3">
        <v>7.7970499999999996</v>
      </c>
      <c r="E126" s="3">
        <v>7.7164799999999998</v>
      </c>
      <c r="F126" s="6">
        <f t="shared" si="13"/>
        <v>-8.0569999999999808E-2</v>
      </c>
      <c r="G126" s="6">
        <f t="shared" si="14"/>
        <v>-1.0333395322589929E-2</v>
      </c>
      <c r="H126" s="6" t="str">
        <f t="shared" si="15"/>
        <v>🔴 Under-injection</v>
      </c>
      <c r="I126" s="6">
        <f t="shared" si="16"/>
        <v>8.0569999999999808E-2</v>
      </c>
      <c r="J126" s="3">
        <v>3.5342000000000002</v>
      </c>
      <c r="K126" s="6">
        <f t="shared" si="17"/>
        <v>1.1695574999999998</v>
      </c>
      <c r="L126" s="6">
        <f t="shared" si="18"/>
        <v>1.55941</v>
      </c>
      <c r="M126" s="6">
        <f t="shared" si="19"/>
        <v>8.0569999999999808E-2</v>
      </c>
      <c r="N126" s="6">
        <f t="shared" si="20"/>
        <v>0</v>
      </c>
      <c r="O126" s="6">
        <f t="shared" si="21"/>
        <v>0</v>
      </c>
      <c r="P126" s="6">
        <f t="shared" si="22"/>
        <v>74.747004674999829</v>
      </c>
      <c r="Q126" s="3">
        <v>74.747004675000014</v>
      </c>
      <c r="R126" s="6">
        <f t="shared" si="23"/>
        <v>-1.8474111129762605E-13</v>
      </c>
      <c r="S126" s="6" t="str">
        <f t="shared" si="24"/>
        <v>OK</v>
      </c>
    </row>
    <row r="127" spans="1:19" x14ac:dyDescent="0.25">
      <c r="A127" s="3" t="str">
        <f t="shared" si="25"/>
        <v>05.05.2026</v>
      </c>
      <c r="B127" s="5">
        <v>14</v>
      </c>
      <c r="C127" s="5" t="s">
        <v>104</v>
      </c>
      <c r="D127" s="3">
        <v>7.7970499999999996</v>
      </c>
      <c r="E127" s="3">
        <v>7.7164799999999998</v>
      </c>
      <c r="F127" s="6">
        <f t="shared" si="13"/>
        <v>-8.0569999999999808E-2</v>
      </c>
      <c r="G127" s="6">
        <f t="shared" si="14"/>
        <v>-1.0333395322589929E-2</v>
      </c>
      <c r="H127" s="6" t="str">
        <f t="shared" si="15"/>
        <v>🔴 Under-injection</v>
      </c>
      <c r="I127" s="6">
        <f t="shared" si="16"/>
        <v>8.0569999999999808E-2</v>
      </c>
      <c r="J127" s="3">
        <v>3.5320999999999998</v>
      </c>
      <c r="K127" s="6">
        <f t="shared" si="17"/>
        <v>1.1695574999999998</v>
      </c>
      <c r="L127" s="6">
        <f t="shared" si="18"/>
        <v>1.55941</v>
      </c>
      <c r="M127" s="6">
        <f t="shared" si="19"/>
        <v>8.0569999999999808E-2</v>
      </c>
      <c r="N127" s="6">
        <f t="shared" si="20"/>
        <v>0</v>
      </c>
      <c r="O127" s="6">
        <f t="shared" si="21"/>
        <v>0</v>
      </c>
      <c r="P127" s="6">
        <f t="shared" si="22"/>
        <v>74.702590462499813</v>
      </c>
      <c r="Q127" s="3">
        <v>74.702590462500012</v>
      </c>
      <c r="R127" s="6">
        <f t="shared" si="23"/>
        <v>-1.9895196601282805E-13</v>
      </c>
      <c r="S127" s="6" t="str">
        <f t="shared" si="24"/>
        <v>OK</v>
      </c>
    </row>
    <row r="128" spans="1:19" x14ac:dyDescent="0.25">
      <c r="A128" s="3" t="str">
        <f t="shared" si="25"/>
        <v>05.05.2026</v>
      </c>
      <c r="B128" s="5">
        <v>15</v>
      </c>
      <c r="C128" s="5" t="s">
        <v>103</v>
      </c>
      <c r="D128" s="3">
        <v>7.7970499999999996</v>
      </c>
      <c r="E128" s="3">
        <v>7.7164799999999998</v>
      </c>
      <c r="F128" s="6">
        <f t="shared" si="13"/>
        <v>-8.0569999999999808E-2</v>
      </c>
      <c r="G128" s="6">
        <f t="shared" si="14"/>
        <v>-1.0333395322589929E-2</v>
      </c>
      <c r="H128" s="6" t="str">
        <f t="shared" si="15"/>
        <v>🔴 Under-injection</v>
      </c>
      <c r="I128" s="6">
        <f t="shared" si="16"/>
        <v>8.0569999999999808E-2</v>
      </c>
      <c r="J128" s="3">
        <v>3.4786000000000001</v>
      </c>
      <c r="K128" s="6">
        <f t="shared" si="17"/>
        <v>1.1695574999999998</v>
      </c>
      <c r="L128" s="6">
        <f t="shared" si="18"/>
        <v>1.55941</v>
      </c>
      <c r="M128" s="6">
        <f t="shared" si="19"/>
        <v>8.0569999999999808E-2</v>
      </c>
      <c r="N128" s="6">
        <f t="shared" si="20"/>
        <v>0</v>
      </c>
      <c r="O128" s="6">
        <f t="shared" si="21"/>
        <v>0</v>
      </c>
      <c r="P128" s="6">
        <f t="shared" si="22"/>
        <v>73.57108552499983</v>
      </c>
      <c r="Q128" s="3">
        <v>73.571085525000015</v>
      </c>
      <c r="R128" s="6">
        <f t="shared" si="23"/>
        <v>-1.8474111129762605E-13</v>
      </c>
      <c r="S128" s="6" t="str">
        <f t="shared" si="24"/>
        <v>OK</v>
      </c>
    </row>
    <row r="129" spans="1:19" x14ac:dyDescent="0.25">
      <c r="A129" s="3" t="str">
        <f t="shared" si="25"/>
        <v>05.05.2026</v>
      </c>
      <c r="B129" s="5">
        <v>16</v>
      </c>
      <c r="C129" s="5" t="s">
        <v>102</v>
      </c>
      <c r="D129" s="3">
        <v>7.7970499999999996</v>
      </c>
      <c r="E129" s="3">
        <v>7.7164799999999998</v>
      </c>
      <c r="F129" s="6">
        <f t="shared" si="13"/>
        <v>-8.0569999999999808E-2</v>
      </c>
      <c r="G129" s="6">
        <f t="shared" si="14"/>
        <v>-1.0333395322589929E-2</v>
      </c>
      <c r="H129" s="6" t="str">
        <f t="shared" si="15"/>
        <v>🔴 Under-injection</v>
      </c>
      <c r="I129" s="6">
        <f t="shared" si="16"/>
        <v>8.0569999999999808E-2</v>
      </c>
      <c r="J129" s="3">
        <v>3.4407000000000001</v>
      </c>
      <c r="K129" s="6">
        <f t="shared" si="17"/>
        <v>1.1695574999999998</v>
      </c>
      <c r="L129" s="6">
        <f t="shared" si="18"/>
        <v>1.55941</v>
      </c>
      <c r="M129" s="6">
        <f t="shared" si="19"/>
        <v>8.0569999999999808E-2</v>
      </c>
      <c r="N129" s="6">
        <f t="shared" si="20"/>
        <v>0</v>
      </c>
      <c r="O129" s="6">
        <f t="shared" si="21"/>
        <v>0</v>
      </c>
      <c r="P129" s="6">
        <f t="shared" si="22"/>
        <v>72.769514737499833</v>
      </c>
      <c r="Q129" s="3">
        <v>72.769514737500018</v>
      </c>
      <c r="R129" s="6">
        <f t="shared" si="23"/>
        <v>-1.8474111129762605E-13</v>
      </c>
      <c r="S129" s="6" t="str">
        <f t="shared" si="24"/>
        <v>OK</v>
      </c>
    </row>
    <row r="130" spans="1:19" x14ac:dyDescent="0.25">
      <c r="A130" s="3" t="str">
        <f t="shared" si="25"/>
        <v>05.05.2026</v>
      </c>
      <c r="B130" s="5">
        <v>17</v>
      </c>
      <c r="C130" s="5" t="s">
        <v>101</v>
      </c>
      <c r="D130" s="3">
        <v>7.7970499999999996</v>
      </c>
      <c r="E130" s="3">
        <v>7.7278399999999996</v>
      </c>
      <c r="F130" s="6">
        <f t="shared" si="13"/>
        <v>-6.9209999999999994E-2</v>
      </c>
      <c r="G130" s="6">
        <f t="shared" si="14"/>
        <v>-8.8764340359494941E-3</v>
      </c>
      <c r="H130" s="6" t="str">
        <f t="shared" si="15"/>
        <v>🔴 Under-injection</v>
      </c>
      <c r="I130" s="6">
        <f t="shared" si="16"/>
        <v>6.9209999999999994E-2</v>
      </c>
      <c r="J130" s="3">
        <v>3.3598000000000003</v>
      </c>
      <c r="K130" s="6">
        <f t="shared" si="17"/>
        <v>1.1695574999999998</v>
      </c>
      <c r="L130" s="6">
        <f t="shared" si="18"/>
        <v>1.55941</v>
      </c>
      <c r="M130" s="6">
        <f t="shared" si="19"/>
        <v>6.9209999999999994E-2</v>
      </c>
      <c r="N130" s="6">
        <f t="shared" si="20"/>
        <v>0</v>
      </c>
      <c r="O130" s="6">
        <f t="shared" si="21"/>
        <v>0</v>
      </c>
      <c r="P130" s="6">
        <f t="shared" si="22"/>
        <v>61.039586475000007</v>
      </c>
      <c r="Q130" s="3">
        <v>61.039586475000007</v>
      </c>
      <c r="R130" s="6">
        <f t="shared" si="23"/>
        <v>0</v>
      </c>
      <c r="S130" s="6" t="str">
        <f t="shared" si="24"/>
        <v>OK</v>
      </c>
    </row>
    <row r="131" spans="1:19" x14ac:dyDescent="0.25">
      <c r="A131" s="3" t="str">
        <f t="shared" si="25"/>
        <v>05.05.2026</v>
      </c>
      <c r="B131" s="5">
        <v>18</v>
      </c>
      <c r="C131" s="5" t="s">
        <v>100</v>
      </c>
      <c r="D131" s="3">
        <v>7.7970499999999996</v>
      </c>
      <c r="E131" s="3">
        <v>7.7164799999999998</v>
      </c>
      <c r="F131" s="6">
        <f t="shared" si="13"/>
        <v>-8.0569999999999808E-2</v>
      </c>
      <c r="G131" s="6">
        <f t="shared" si="14"/>
        <v>-1.0333395322589929E-2</v>
      </c>
      <c r="H131" s="6" t="str">
        <f t="shared" si="15"/>
        <v>🔴 Under-injection</v>
      </c>
      <c r="I131" s="6">
        <f t="shared" si="16"/>
        <v>8.0569999999999808E-2</v>
      </c>
      <c r="J131" s="3">
        <v>3.3547000000000002</v>
      </c>
      <c r="K131" s="6">
        <f t="shared" si="17"/>
        <v>1.1695574999999998</v>
      </c>
      <c r="L131" s="6">
        <f t="shared" si="18"/>
        <v>1.55941</v>
      </c>
      <c r="M131" s="6">
        <f t="shared" si="19"/>
        <v>8.0569999999999808E-2</v>
      </c>
      <c r="N131" s="6">
        <f t="shared" si="20"/>
        <v>0</v>
      </c>
      <c r="O131" s="6">
        <f t="shared" si="21"/>
        <v>0</v>
      </c>
      <c r="P131" s="6">
        <f t="shared" si="22"/>
        <v>70.950646987499837</v>
      </c>
      <c r="Q131" s="3">
        <v>70.950646987500008</v>
      </c>
      <c r="R131" s="6">
        <f t="shared" si="23"/>
        <v>-1.7053025658242404E-13</v>
      </c>
      <c r="S131" s="6" t="str">
        <f t="shared" si="24"/>
        <v>OK</v>
      </c>
    </row>
    <row r="132" spans="1:19" x14ac:dyDescent="0.25">
      <c r="A132" s="3" t="str">
        <f t="shared" si="25"/>
        <v>05.05.2026</v>
      </c>
      <c r="B132" s="5">
        <v>19</v>
      </c>
      <c r="C132" s="5" t="s">
        <v>99</v>
      </c>
      <c r="D132" s="3">
        <v>7.7970499999999996</v>
      </c>
      <c r="E132" s="3">
        <v>7.7278399999999996</v>
      </c>
      <c r="F132" s="6">
        <f t="shared" si="13"/>
        <v>-6.9209999999999994E-2</v>
      </c>
      <c r="G132" s="6">
        <f t="shared" si="14"/>
        <v>-8.8764340359494941E-3</v>
      </c>
      <c r="H132" s="6" t="str">
        <f t="shared" si="15"/>
        <v>🔴 Under-injection</v>
      </c>
      <c r="I132" s="6">
        <f t="shared" si="16"/>
        <v>6.9209999999999994E-2</v>
      </c>
      <c r="J132" s="3">
        <v>3.3774999999999999</v>
      </c>
      <c r="K132" s="6">
        <f t="shared" si="17"/>
        <v>1.1695574999999998</v>
      </c>
      <c r="L132" s="6">
        <f t="shared" si="18"/>
        <v>1.55941</v>
      </c>
      <c r="M132" s="6">
        <f t="shared" si="19"/>
        <v>6.9209999999999994E-2</v>
      </c>
      <c r="N132" s="6">
        <f t="shared" si="20"/>
        <v>0</v>
      </c>
      <c r="O132" s="6">
        <f t="shared" si="21"/>
        <v>0</v>
      </c>
      <c r="P132" s="6">
        <f t="shared" si="22"/>
        <v>61.361153437499993</v>
      </c>
      <c r="Q132" s="3">
        <v>61.361153437499993</v>
      </c>
      <c r="R132" s="6">
        <f t="shared" si="23"/>
        <v>0</v>
      </c>
      <c r="S132" s="6" t="str">
        <f t="shared" si="24"/>
        <v>OK</v>
      </c>
    </row>
    <row r="133" spans="1:19" x14ac:dyDescent="0.25">
      <c r="A133" s="3" t="str">
        <f t="shared" si="25"/>
        <v>05.05.2026</v>
      </c>
      <c r="B133" s="5">
        <v>20</v>
      </c>
      <c r="C133" s="5" t="s">
        <v>98</v>
      </c>
      <c r="D133" s="3">
        <v>7.7970499999999996</v>
      </c>
      <c r="E133" s="3">
        <v>7.7278399999999996</v>
      </c>
      <c r="F133" s="6">
        <f t="shared" si="13"/>
        <v>-6.9209999999999994E-2</v>
      </c>
      <c r="G133" s="6">
        <f t="shared" si="14"/>
        <v>-8.8764340359494941E-3</v>
      </c>
      <c r="H133" s="6" t="str">
        <f t="shared" si="15"/>
        <v>🔴 Under-injection</v>
      </c>
      <c r="I133" s="6">
        <f t="shared" si="16"/>
        <v>6.9209999999999994E-2</v>
      </c>
      <c r="J133" s="3">
        <v>3.4208999999999996</v>
      </c>
      <c r="K133" s="6">
        <f t="shared" si="17"/>
        <v>1.1695574999999998</v>
      </c>
      <c r="L133" s="6">
        <f t="shared" si="18"/>
        <v>1.55941</v>
      </c>
      <c r="M133" s="6">
        <f t="shared" si="19"/>
        <v>6.9209999999999994E-2</v>
      </c>
      <c r="N133" s="6">
        <f t="shared" si="20"/>
        <v>0</v>
      </c>
      <c r="O133" s="6">
        <f t="shared" si="21"/>
        <v>0</v>
      </c>
      <c r="P133" s="6">
        <f t="shared" si="22"/>
        <v>62.149628362499996</v>
      </c>
      <c r="Q133" s="3">
        <v>62.149628362499996</v>
      </c>
      <c r="R133" s="6">
        <f t="shared" si="23"/>
        <v>0</v>
      </c>
      <c r="S133" s="6" t="str">
        <f t="shared" si="24"/>
        <v>OK</v>
      </c>
    </row>
    <row r="134" spans="1:19" x14ac:dyDescent="0.25">
      <c r="A134" s="3" t="str">
        <f t="shared" si="25"/>
        <v>05.05.2026</v>
      </c>
      <c r="B134" s="5">
        <v>21</v>
      </c>
      <c r="C134" s="5" t="s">
        <v>97</v>
      </c>
      <c r="D134" s="3">
        <v>7.7970499999999996</v>
      </c>
      <c r="E134" s="3">
        <v>7.7278399999999996</v>
      </c>
      <c r="F134" s="6">
        <f t="shared" si="13"/>
        <v>-6.9209999999999994E-2</v>
      </c>
      <c r="G134" s="6">
        <f t="shared" si="14"/>
        <v>-8.8764340359494941E-3</v>
      </c>
      <c r="H134" s="6" t="str">
        <f t="shared" si="15"/>
        <v>🔴 Under-injection</v>
      </c>
      <c r="I134" s="6">
        <f t="shared" si="16"/>
        <v>6.9209999999999994E-2</v>
      </c>
      <c r="J134" s="3">
        <v>3.3657999999999997</v>
      </c>
      <c r="K134" s="6">
        <f t="shared" si="17"/>
        <v>1.1695574999999998</v>
      </c>
      <c r="L134" s="6">
        <f t="shared" si="18"/>
        <v>1.55941</v>
      </c>
      <c r="M134" s="6">
        <f t="shared" si="19"/>
        <v>6.9209999999999994E-2</v>
      </c>
      <c r="N134" s="6">
        <f t="shared" si="20"/>
        <v>0</v>
      </c>
      <c r="O134" s="6">
        <f t="shared" si="21"/>
        <v>0</v>
      </c>
      <c r="P134" s="6">
        <f t="shared" si="22"/>
        <v>61.148592224999994</v>
      </c>
      <c r="Q134" s="3">
        <v>61.148592224999994</v>
      </c>
      <c r="R134" s="6">
        <f t="shared" si="23"/>
        <v>0</v>
      </c>
      <c r="S134" s="6" t="str">
        <f t="shared" si="24"/>
        <v>OK</v>
      </c>
    </row>
    <row r="135" spans="1:19" x14ac:dyDescent="0.25">
      <c r="A135" s="3" t="str">
        <f t="shared" si="25"/>
        <v>05.05.2026</v>
      </c>
      <c r="B135" s="5">
        <v>22</v>
      </c>
      <c r="C135" s="5" t="s">
        <v>96</v>
      </c>
      <c r="D135" s="3">
        <v>7.7970499999999996</v>
      </c>
      <c r="E135" s="3">
        <v>7.7278399999999996</v>
      </c>
      <c r="F135" s="6">
        <f t="shared" si="13"/>
        <v>-6.9209999999999994E-2</v>
      </c>
      <c r="G135" s="6">
        <f t="shared" si="14"/>
        <v>-8.8764340359494941E-3</v>
      </c>
      <c r="H135" s="6" t="str">
        <f t="shared" si="15"/>
        <v>🔴 Under-injection</v>
      </c>
      <c r="I135" s="6">
        <f t="shared" si="16"/>
        <v>6.9209999999999994E-2</v>
      </c>
      <c r="J135" s="3">
        <v>3.5211999999999999</v>
      </c>
      <c r="K135" s="6">
        <f t="shared" si="17"/>
        <v>1.1695574999999998</v>
      </c>
      <c r="L135" s="6">
        <f t="shared" si="18"/>
        <v>1.55941</v>
      </c>
      <c r="M135" s="6">
        <f t="shared" si="19"/>
        <v>6.9209999999999994E-2</v>
      </c>
      <c r="N135" s="6">
        <f t="shared" si="20"/>
        <v>0</v>
      </c>
      <c r="O135" s="6">
        <f t="shared" si="21"/>
        <v>0</v>
      </c>
      <c r="P135" s="6">
        <f t="shared" si="22"/>
        <v>63.971841150000003</v>
      </c>
      <c r="Q135" s="3">
        <v>63.971841150000003</v>
      </c>
      <c r="R135" s="6">
        <f t="shared" si="23"/>
        <v>0</v>
      </c>
      <c r="S135" s="6" t="str">
        <f t="shared" si="24"/>
        <v>OK</v>
      </c>
    </row>
    <row r="136" spans="1:19" x14ac:dyDescent="0.25">
      <c r="A136" s="3" t="str">
        <f t="shared" si="25"/>
        <v>05.05.2026</v>
      </c>
      <c r="B136" s="5">
        <v>23</v>
      </c>
      <c r="C136" s="5" t="s">
        <v>95</v>
      </c>
      <c r="D136" s="3">
        <v>7.7970499999999996</v>
      </c>
      <c r="E136" s="3">
        <v>7.7278399999999996</v>
      </c>
      <c r="F136" s="6">
        <f t="shared" si="13"/>
        <v>-6.9209999999999994E-2</v>
      </c>
      <c r="G136" s="6">
        <f t="shared" si="14"/>
        <v>-8.8764340359494941E-3</v>
      </c>
      <c r="H136" s="6" t="str">
        <f t="shared" si="15"/>
        <v>🔴 Under-injection</v>
      </c>
      <c r="I136" s="6">
        <f t="shared" si="16"/>
        <v>6.9209999999999994E-2</v>
      </c>
      <c r="J136" s="3">
        <v>3.5482999999999998</v>
      </c>
      <c r="K136" s="6">
        <f t="shared" si="17"/>
        <v>1.1695574999999998</v>
      </c>
      <c r="L136" s="6">
        <f t="shared" si="18"/>
        <v>1.55941</v>
      </c>
      <c r="M136" s="6">
        <f t="shared" si="19"/>
        <v>6.9209999999999994E-2</v>
      </c>
      <c r="N136" s="6">
        <f t="shared" si="20"/>
        <v>0</v>
      </c>
      <c r="O136" s="6">
        <f t="shared" si="21"/>
        <v>0</v>
      </c>
      <c r="P136" s="6">
        <f t="shared" si="22"/>
        <v>64.464183787499991</v>
      </c>
      <c r="Q136" s="3">
        <v>64.464183787499991</v>
      </c>
      <c r="R136" s="6">
        <f t="shared" si="23"/>
        <v>0</v>
      </c>
      <c r="S136" s="6" t="str">
        <f t="shared" si="24"/>
        <v>OK</v>
      </c>
    </row>
    <row r="137" spans="1:19" x14ac:dyDescent="0.25">
      <c r="A137" s="3" t="str">
        <f t="shared" si="25"/>
        <v>05.05.2026</v>
      </c>
      <c r="B137" s="5">
        <v>24</v>
      </c>
      <c r="C137" s="5" t="s">
        <v>94</v>
      </c>
      <c r="D137" s="3">
        <v>7.7970499999999996</v>
      </c>
      <c r="E137" s="3">
        <v>7.7278399999999996</v>
      </c>
      <c r="F137" s="6">
        <f t="shared" si="13"/>
        <v>-6.9209999999999994E-2</v>
      </c>
      <c r="G137" s="6">
        <f t="shared" si="14"/>
        <v>-8.8764340359494941E-3</v>
      </c>
      <c r="H137" s="6" t="str">
        <f t="shared" si="15"/>
        <v>🔴 Under-injection</v>
      </c>
      <c r="I137" s="6">
        <f t="shared" si="16"/>
        <v>6.9209999999999994E-2</v>
      </c>
      <c r="J137" s="3">
        <v>3.3549000000000002</v>
      </c>
      <c r="K137" s="6">
        <f t="shared" si="17"/>
        <v>1.1695574999999998</v>
      </c>
      <c r="L137" s="6">
        <f t="shared" si="18"/>
        <v>1.55941</v>
      </c>
      <c r="M137" s="6">
        <f t="shared" si="19"/>
        <v>6.9209999999999994E-2</v>
      </c>
      <c r="N137" s="6">
        <f t="shared" si="20"/>
        <v>0</v>
      </c>
      <c r="O137" s="6">
        <f t="shared" si="21"/>
        <v>0</v>
      </c>
      <c r="P137" s="6">
        <f t="shared" si="22"/>
        <v>60.950565112500001</v>
      </c>
      <c r="Q137" s="3">
        <v>60.950565112500001</v>
      </c>
      <c r="R137" s="6">
        <f t="shared" si="23"/>
        <v>0</v>
      </c>
      <c r="S137" s="6" t="str">
        <f t="shared" si="24"/>
        <v>OK</v>
      </c>
    </row>
    <row r="138" spans="1:19" x14ac:dyDescent="0.25">
      <c r="A138" s="3" t="str">
        <f t="shared" si="25"/>
        <v>05.05.2026</v>
      </c>
      <c r="B138" s="5">
        <v>25</v>
      </c>
      <c r="C138" s="5" t="s">
        <v>93</v>
      </c>
      <c r="D138" s="3">
        <v>7.7970499999999996</v>
      </c>
      <c r="E138" s="3">
        <v>7.7164799999999998</v>
      </c>
      <c r="F138" s="6">
        <f t="shared" si="13"/>
        <v>-8.0569999999999808E-2</v>
      </c>
      <c r="G138" s="6">
        <f t="shared" si="14"/>
        <v>-1.0333395322589929E-2</v>
      </c>
      <c r="H138" s="6" t="str">
        <f t="shared" si="15"/>
        <v>🔴 Under-injection</v>
      </c>
      <c r="I138" s="6">
        <f t="shared" si="16"/>
        <v>8.0569999999999808E-2</v>
      </c>
      <c r="J138" s="3">
        <v>3.3635999999999999</v>
      </c>
      <c r="K138" s="6">
        <f t="shared" si="17"/>
        <v>1.1695574999999998</v>
      </c>
      <c r="L138" s="6">
        <f t="shared" si="18"/>
        <v>1.55941</v>
      </c>
      <c r="M138" s="6">
        <f t="shared" si="19"/>
        <v>8.0569999999999808E-2</v>
      </c>
      <c r="N138" s="6">
        <f t="shared" si="20"/>
        <v>0</v>
      </c>
      <c r="O138" s="6">
        <f t="shared" si="21"/>
        <v>0</v>
      </c>
      <c r="P138" s="6">
        <f t="shared" si="22"/>
        <v>71.138878649999839</v>
      </c>
      <c r="Q138" s="3">
        <v>71.138878649999995</v>
      </c>
      <c r="R138" s="6">
        <f t="shared" si="23"/>
        <v>-1.5631940186722204E-13</v>
      </c>
      <c r="S138" s="6" t="str">
        <f t="shared" si="24"/>
        <v>OK</v>
      </c>
    </row>
    <row r="139" spans="1:19" x14ac:dyDescent="0.25">
      <c r="A139" s="3" t="str">
        <f t="shared" si="25"/>
        <v>05.05.2026</v>
      </c>
      <c r="B139" s="5">
        <v>26</v>
      </c>
      <c r="C139" s="5" t="s">
        <v>92</v>
      </c>
      <c r="D139" s="3">
        <v>7.7970499999999996</v>
      </c>
      <c r="E139" s="3">
        <v>7.7164799999999998</v>
      </c>
      <c r="F139" s="6">
        <f t="shared" si="13"/>
        <v>-8.0569999999999808E-2</v>
      </c>
      <c r="G139" s="6">
        <f t="shared" si="14"/>
        <v>-1.0333395322589929E-2</v>
      </c>
      <c r="H139" s="6" t="str">
        <f t="shared" si="15"/>
        <v>🔴 Under-injection</v>
      </c>
      <c r="I139" s="6">
        <f t="shared" si="16"/>
        <v>8.0569999999999808E-2</v>
      </c>
      <c r="J139" s="3">
        <v>3.3531999999999997</v>
      </c>
      <c r="K139" s="6">
        <f t="shared" si="17"/>
        <v>1.1695574999999998</v>
      </c>
      <c r="L139" s="6">
        <f t="shared" si="18"/>
        <v>1.55941</v>
      </c>
      <c r="M139" s="6">
        <f t="shared" si="19"/>
        <v>8.0569999999999808E-2</v>
      </c>
      <c r="N139" s="6">
        <f t="shared" si="20"/>
        <v>0</v>
      </c>
      <c r="O139" s="6">
        <f t="shared" si="21"/>
        <v>0</v>
      </c>
      <c r="P139" s="6">
        <f t="shared" si="22"/>
        <v>70.918922549999834</v>
      </c>
      <c r="Q139" s="3">
        <v>70.918922550000005</v>
      </c>
      <c r="R139" s="6">
        <f t="shared" si="23"/>
        <v>-1.7053025658242404E-13</v>
      </c>
      <c r="S139" s="6" t="str">
        <f t="shared" si="24"/>
        <v>OK</v>
      </c>
    </row>
    <row r="140" spans="1:19" x14ac:dyDescent="0.25">
      <c r="A140" s="3" t="str">
        <f t="shared" si="25"/>
        <v>05.05.2026</v>
      </c>
      <c r="B140" s="5">
        <v>27</v>
      </c>
      <c r="C140" s="5" t="s">
        <v>91</v>
      </c>
      <c r="D140" s="3">
        <v>7.7970499999999996</v>
      </c>
      <c r="E140" s="3">
        <v>7.7164799999999998</v>
      </c>
      <c r="F140" s="6">
        <f t="shared" si="13"/>
        <v>-8.0569999999999808E-2</v>
      </c>
      <c r="G140" s="6">
        <f t="shared" si="14"/>
        <v>-1.0333395322589929E-2</v>
      </c>
      <c r="H140" s="6" t="str">
        <f t="shared" si="15"/>
        <v>🔴 Under-injection</v>
      </c>
      <c r="I140" s="6">
        <f t="shared" si="16"/>
        <v>8.0569999999999808E-2</v>
      </c>
      <c r="J140" s="3">
        <v>3.2108999999999996</v>
      </c>
      <c r="K140" s="6">
        <f t="shared" si="17"/>
        <v>1.1695574999999998</v>
      </c>
      <c r="L140" s="6">
        <f t="shared" si="18"/>
        <v>1.55941</v>
      </c>
      <c r="M140" s="6">
        <f t="shared" si="19"/>
        <v>8.0569999999999808E-2</v>
      </c>
      <c r="N140" s="6">
        <f t="shared" si="20"/>
        <v>0</v>
      </c>
      <c r="O140" s="6">
        <f t="shared" si="21"/>
        <v>0</v>
      </c>
      <c r="P140" s="6">
        <f t="shared" si="22"/>
        <v>67.909330912499826</v>
      </c>
      <c r="Q140" s="3">
        <v>67.909330912499996</v>
      </c>
      <c r="R140" s="6">
        <f t="shared" si="23"/>
        <v>-1.7053025658242404E-13</v>
      </c>
      <c r="S140" s="6" t="str">
        <f t="shared" si="24"/>
        <v>OK</v>
      </c>
    </row>
    <row r="141" spans="1:19" x14ac:dyDescent="0.25">
      <c r="A141" s="3" t="str">
        <f t="shared" si="25"/>
        <v>05.05.2026</v>
      </c>
      <c r="B141" s="5">
        <v>28</v>
      </c>
      <c r="C141" s="5" t="s">
        <v>90</v>
      </c>
      <c r="D141" s="3">
        <v>7.7970499999999996</v>
      </c>
      <c r="E141" s="3">
        <v>7.7164799999999998</v>
      </c>
      <c r="F141" s="6">
        <f t="shared" si="13"/>
        <v>-8.0569999999999808E-2</v>
      </c>
      <c r="G141" s="6">
        <f t="shared" si="14"/>
        <v>-1.0333395322589929E-2</v>
      </c>
      <c r="H141" s="6" t="str">
        <f t="shared" si="15"/>
        <v>🔴 Under-injection</v>
      </c>
      <c r="I141" s="6">
        <f t="shared" si="16"/>
        <v>8.0569999999999808E-2</v>
      </c>
      <c r="J141" s="3">
        <v>2.8729</v>
      </c>
      <c r="K141" s="6">
        <f t="shared" si="17"/>
        <v>1.1695574999999998</v>
      </c>
      <c r="L141" s="6">
        <f t="shared" si="18"/>
        <v>1.55941</v>
      </c>
      <c r="M141" s="6">
        <f t="shared" si="19"/>
        <v>8.0569999999999808E-2</v>
      </c>
      <c r="N141" s="6">
        <f t="shared" si="20"/>
        <v>0</v>
      </c>
      <c r="O141" s="6">
        <f t="shared" si="21"/>
        <v>0</v>
      </c>
      <c r="P141" s="6">
        <f t="shared" si="22"/>
        <v>60.760757662499856</v>
      </c>
      <c r="Q141" s="3">
        <v>60.760757662500005</v>
      </c>
      <c r="R141" s="6">
        <f t="shared" si="23"/>
        <v>-1.4921397450962104E-13</v>
      </c>
      <c r="S141" s="6" t="str">
        <f t="shared" si="24"/>
        <v>OK</v>
      </c>
    </row>
    <row r="142" spans="1:19" x14ac:dyDescent="0.25">
      <c r="A142" s="3" t="str">
        <f t="shared" si="25"/>
        <v>05.05.2026</v>
      </c>
      <c r="B142" s="5">
        <v>29</v>
      </c>
      <c r="C142" s="5" t="s">
        <v>89</v>
      </c>
      <c r="D142" s="3">
        <v>7.7970499999999996</v>
      </c>
      <c r="E142" s="3">
        <v>7.7164799999999998</v>
      </c>
      <c r="F142" s="6">
        <f t="shared" si="13"/>
        <v>-8.0569999999999808E-2</v>
      </c>
      <c r="G142" s="6">
        <f t="shared" si="14"/>
        <v>-1.0333395322589929E-2</v>
      </c>
      <c r="H142" s="6" t="str">
        <f t="shared" si="15"/>
        <v>🔴 Under-injection</v>
      </c>
      <c r="I142" s="6">
        <f t="shared" si="16"/>
        <v>8.0569999999999808E-2</v>
      </c>
      <c r="J142" s="3">
        <v>2.8069000000000002</v>
      </c>
      <c r="K142" s="6">
        <f t="shared" si="17"/>
        <v>1.1695574999999998</v>
      </c>
      <c r="L142" s="6">
        <f t="shared" si="18"/>
        <v>1.55941</v>
      </c>
      <c r="M142" s="6">
        <f t="shared" si="19"/>
        <v>8.0569999999999808E-2</v>
      </c>
      <c r="N142" s="6">
        <f t="shared" si="20"/>
        <v>0</v>
      </c>
      <c r="O142" s="6">
        <f t="shared" si="21"/>
        <v>0</v>
      </c>
      <c r="P142" s="6">
        <f t="shared" si="22"/>
        <v>59.36488241249986</v>
      </c>
      <c r="Q142" s="3">
        <v>59.364882412500009</v>
      </c>
      <c r="R142" s="6">
        <f t="shared" si="23"/>
        <v>-1.4921397450962104E-13</v>
      </c>
      <c r="S142" s="6" t="str">
        <f t="shared" si="24"/>
        <v>OK</v>
      </c>
    </row>
    <row r="143" spans="1:19" x14ac:dyDescent="0.25">
      <c r="A143" s="3" t="str">
        <f t="shared" si="25"/>
        <v>05.05.2026</v>
      </c>
      <c r="B143" s="5">
        <v>30</v>
      </c>
      <c r="C143" s="5" t="s">
        <v>88</v>
      </c>
      <c r="D143" s="3">
        <v>7.7970499999999996</v>
      </c>
      <c r="E143" s="3">
        <v>7.7164799999999998</v>
      </c>
      <c r="F143" s="6">
        <f t="shared" si="13"/>
        <v>-8.0569999999999808E-2</v>
      </c>
      <c r="G143" s="6">
        <f t="shared" si="14"/>
        <v>-1.0333395322589929E-2</v>
      </c>
      <c r="H143" s="6" t="str">
        <f t="shared" si="15"/>
        <v>🔴 Under-injection</v>
      </c>
      <c r="I143" s="6">
        <f t="shared" si="16"/>
        <v>8.0569999999999808E-2</v>
      </c>
      <c r="J143" s="3">
        <v>2.3754</v>
      </c>
      <c r="K143" s="6">
        <f t="shared" si="17"/>
        <v>1.1695574999999998</v>
      </c>
      <c r="L143" s="6">
        <f t="shared" si="18"/>
        <v>1.55941</v>
      </c>
      <c r="M143" s="6">
        <f t="shared" si="19"/>
        <v>8.0569999999999808E-2</v>
      </c>
      <c r="N143" s="6">
        <f t="shared" si="20"/>
        <v>0</v>
      </c>
      <c r="O143" s="6">
        <f t="shared" si="21"/>
        <v>0</v>
      </c>
      <c r="P143" s="6">
        <f t="shared" si="22"/>
        <v>50.23881922499988</v>
      </c>
      <c r="Q143" s="3">
        <v>50.238819225</v>
      </c>
      <c r="R143" s="6">
        <f t="shared" si="23"/>
        <v>-1.2079226507921703E-13</v>
      </c>
      <c r="S143" s="6" t="str">
        <f t="shared" si="24"/>
        <v>OK</v>
      </c>
    </row>
    <row r="144" spans="1:19" x14ac:dyDescent="0.25">
      <c r="A144" s="3" t="str">
        <f t="shared" si="25"/>
        <v>05.05.2026</v>
      </c>
      <c r="B144" s="5">
        <v>31</v>
      </c>
      <c r="C144" s="5" t="s">
        <v>87</v>
      </c>
      <c r="D144" s="3">
        <v>7.7970499999999996</v>
      </c>
      <c r="E144" s="3">
        <v>7.7164799999999998</v>
      </c>
      <c r="F144" s="6">
        <f t="shared" si="13"/>
        <v>-8.0569999999999808E-2</v>
      </c>
      <c r="G144" s="6">
        <f t="shared" si="14"/>
        <v>-1.0333395322589929E-2</v>
      </c>
      <c r="H144" s="6" t="str">
        <f t="shared" si="15"/>
        <v>🔴 Under-injection</v>
      </c>
      <c r="I144" s="6">
        <f t="shared" si="16"/>
        <v>8.0569999999999808E-2</v>
      </c>
      <c r="J144" s="3">
        <v>1.8068</v>
      </c>
      <c r="K144" s="6">
        <f t="shared" si="17"/>
        <v>1.1695574999999998</v>
      </c>
      <c r="L144" s="6">
        <f t="shared" si="18"/>
        <v>1.55941</v>
      </c>
      <c r="M144" s="6">
        <f t="shared" si="19"/>
        <v>8.0569999999999808E-2</v>
      </c>
      <c r="N144" s="6">
        <f t="shared" si="20"/>
        <v>0</v>
      </c>
      <c r="O144" s="6">
        <f t="shared" si="21"/>
        <v>0</v>
      </c>
      <c r="P144" s="6">
        <f t="shared" si="22"/>
        <v>38.213142449999914</v>
      </c>
      <c r="Q144" s="3">
        <v>38.213142449999999</v>
      </c>
      <c r="R144" s="6">
        <f t="shared" si="23"/>
        <v>-8.5265128291212022E-14</v>
      </c>
      <c r="S144" s="6" t="str">
        <f t="shared" si="24"/>
        <v>OK</v>
      </c>
    </row>
    <row r="145" spans="1:19" x14ac:dyDescent="0.25">
      <c r="A145" s="3" t="str">
        <f t="shared" si="25"/>
        <v>05.05.2026</v>
      </c>
      <c r="B145" s="5">
        <v>32</v>
      </c>
      <c r="C145" s="5" t="s">
        <v>86</v>
      </c>
      <c r="D145" s="3">
        <v>7.7970499999999996</v>
      </c>
      <c r="E145" s="3">
        <v>7.7164799999999998</v>
      </c>
      <c r="F145" s="6">
        <f t="shared" si="13"/>
        <v>-8.0569999999999808E-2</v>
      </c>
      <c r="G145" s="6">
        <f t="shared" si="14"/>
        <v>-1.0333395322589929E-2</v>
      </c>
      <c r="H145" s="6" t="str">
        <f t="shared" si="15"/>
        <v>🔴 Under-injection</v>
      </c>
      <c r="I145" s="6">
        <f t="shared" si="16"/>
        <v>8.0569999999999808E-2</v>
      </c>
      <c r="J145" s="3">
        <v>1.4249000000000001</v>
      </c>
      <c r="K145" s="6">
        <f t="shared" si="17"/>
        <v>1.1695574999999998</v>
      </c>
      <c r="L145" s="6">
        <f t="shared" si="18"/>
        <v>1.55941</v>
      </c>
      <c r="M145" s="6">
        <f t="shared" si="19"/>
        <v>8.0569999999999808E-2</v>
      </c>
      <c r="N145" s="6">
        <f t="shared" si="20"/>
        <v>0</v>
      </c>
      <c r="O145" s="6">
        <f t="shared" si="21"/>
        <v>0</v>
      </c>
      <c r="P145" s="6">
        <f t="shared" si="22"/>
        <v>30.136100662499928</v>
      </c>
      <c r="Q145" s="3">
        <v>30.136100662500002</v>
      </c>
      <c r="R145" s="6">
        <f t="shared" si="23"/>
        <v>-7.460698725481052E-14</v>
      </c>
      <c r="S145" s="6" t="str">
        <f t="shared" si="24"/>
        <v>OK</v>
      </c>
    </row>
    <row r="146" spans="1:19" x14ac:dyDescent="0.25">
      <c r="A146" s="3" t="str">
        <f t="shared" si="25"/>
        <v>05.05.2026</v>
      </c>
      <c r="B146" s="5">
        <v>33</v>
      </c>
      <c r="C146" s="5" t="s">
        <v>85</v>
      </c>
      <c r="D146" s="3">
        <v>7.7970499999999996</v>
      </c>
      <c r="E146" s="3">
        <v>7.6937899999999999</v>
      </c>
      <c r="F146" s="6">
        <f t="shared" ref="F146:F209" si="26">E146-D146</f>
        <v>-0.10325999999999969</v>
      </c>
      <c r="G146" s="6">
        <f t="shared" ref="G146:G209" si="27">IF(D146=0,0,F146/D146)</f>
        <v>-1.3243470286839214E-2</v>
      </c>
      <c r="H146" s="6" t="str">
        <f t="shared" ref="H146:H209" si="28">IF(E146&gt;D146,"🟢 Over-injection",IF(E146&lt;D146,"🔴 Under-injection","⚪ Nil"))</f>
        <v>🔴 Under-injection</v>
      </c>
      <c r="I146" s="6">
        <f t="shared" ref="I146:I209" si="29">-F146</f>
        <v>0.10325999999999969</v>
      </c>
      <c r="J146" s="3">
        <v>0.77239999999999998</v>
      </c>
      <c r="K146" s="6">
        <f t="shared" ref="K146:K209" si="30">MIN(ABS(D146)*$B$7,$B$8)</f>
        <v>1.1695574999999998</v>
      </c>
      <c r="L146" s="6">
        <f t="shared" ref="L146:L209" si="31">MIN(ABS(D146)*$B$9,$B$10)</f>
        <v>1.55941</v>
      </c>
      <c r="M146" s="6">
        <f t="shared" ref="M146:M209" si="32">MIN(ABS(F146),K146)</f>
        <v>0.10325999999999969</v>
      </c>
      <c r="N146" s="6">
        <f t="shared" ref="N146:N209" si="33">IF(F146&lt;0,MIN(MAX(ABS(F146)-K146,0),MAX(L146-K146,0)),0)</f>
        <v>0</v>
      </c>
      <c r="O146" s="6">
        <f t="shared" ref="O146:O209" si="34">IF(F146&lt;0,MAX(ABS(F146)-L146,0),0)</f>
        <v>0</v>
      </c>
      <c r="P146" s="6">
        <f t="shared" ref="P146:P209" si="35">IF(F146&gt;0,-M146*$B$11*J146*$B$6*1000,IF(F146&lt;0,(M146*$B$12+N146*$B$13+O146*$B$14)*J146*$B$6*1000,0))</f>
        <v>20.936481299999933</v>
      </c>
      <c r="Q146" s="3">
        <v>20.936481300000001</v>
      </c>
      <c r="R146" s="6">
        <f t="shared" ref="R146:R209" si="36">P146-Q146</f>
        <v>-6.7501559897209518E-14</v>
      </c>
      <c r="S146" s="6" t="str">
        <f t="shared" ref="S146:S209" si="37">IF(ABS(R146)&lt;=0.01,"OK","REVIEW")</f>
        <v>OK</v>
      </c>
    </row>
    <row r="147" spans="1:19" x14ac:dyDescent="0.25">
      <c r="A147" s="3" t="str">
        <f t="shared" si="25"/>
        <v>05.05.2026</v>
      </c>
      <c r="B147" s="5">
        <v>34</v>
      </c>
      <c r="C147" s="5" t="s">
        <v>84</v>
      </c>
      <c r="D147" s="3">
        <v>7.7970499999999996</v>
      </c>
      <c r="E147" s="3">
        <v>7.7051400000000001</v>
      </c>
      <c r="F147" s="6">
        <f t="shared" si="26"/>
        <v>-9.1909999999999492E-2</v>
      </c>
      <c r="G147" s="6">
        <f t="shared" si="27"/>
        <v>-1.1787791536542603E-2</v>
      </c>
      <c r="H147" s="6" t="str">
        <f t="shared" si="28"/>
        <v>🔴 Under-injection</v>
      </c>
      <c r="I147" s="6">
        <f t="shared" si="29"/>
        <v>9.1909999999999492E-2</v>
      </c>
      <c r="J147" s="3">
        <v>0.76769999999999994</v>
      </c>
      <c r="K147" s="6">
        <f t="shared" si="30"/>
        <v>1.1695574999999998</v>
      </c>
      <c r="L147" s="6">
        <f t="shared" si="31"/>
        <v>1.55941</v>
      </c>
      <c r="M147" s="6">
        <f t="shared" si="32"/>
        <v>9.1909999999999492E-2</v>
      </c>
      <c r="N147" s="6">
        <f t="shared" si="33"/>
        <v>0</v>
      </c>
      <c r="O147" s="6">
        <f t="shared" si="34"/>
        <v>0</v>
      </c>
      <c r="P147" s="6">
        <f t="shared" si="35"/>
        <v>18.521818087499895</v>
      </c>
      <c r="Q147" s="3">
        <v>18.521818087499998</v>
      </c>
      <c r="R147" s="6">
        <f t="shared" si="36"/>
        <v>-1.0302869668521453E-13</v>
      </c>
      <c r="S147" s="6" t="str">
        <f t="shared" si="37"/>
        <v>OK</v>
      </c>
    </row>
    <row r="148" spans="1:19" x14ac:dyDescent="0.25">
      <c r="A148" s="3" t="str">
        <f t="shared" ref="A148:A211" si="38">A147</f>
        <v>05.05.2026</v>
      </c>
      <c r="B148" s="5">
        <v>35</v>
      </c>
      <c r="C148" s="5" t="s">
        <v>83</v>
      </c>
      <c r="D148" s="3">
        <v>8.0970499999999994</v>
      </c>
      <c r="E148" s="3">
        <v>7.9888399999999997</v>
      </c>
      <c r="F148" s="6">
        <f t="shared" si="26"/>
        <v>-0.1082099999999997</v>
      </c>
      <c r="G148" s="6">
        <f t="shared" si="27"/>
        <v>-1.3364126441111233E-2</v>
      </c>
      <c r="H148" s="6" t="str">
        <f t="shared" si="28"/>
        <v>🔴 Under-injection</v>
      </c>
      <c r="I148" s="6">
        <f t="shared" si="29"/>
        <v>0.1082099999999997</v>
      </c>
      <c r="J148" s="3">
        <v>0.76959999999999995</v>
      </c>
      <c r="K148" s="6">
        <f t="shared" si="30"/>
        <v>1.2145575</v>
      </c>
      <c r="L148" s="6">
        <f t="shared" si="31"/>
        <v>1.61941</v>
      </c>
      <c r="M148" s="6">
        <f t="shared" si="32"/>
        <v>0.1082099999999997</v>
      </c>
      <c r="N148" s="6">
        <f t="shared" si="33"/>
        <v>0</v>
      </c>
      <c r="O148" s="6">
        <f t="shared" si="34"/>
        <v>0</v>
      </c>
      <c r="P148" s="6">
        <f t="shared" si="35"/>
        <v>21.860584199999934</v>
      </c>
      <c r="Q148" s="3">
        <v>21.860584200000002</v>
      </c>
      <c r="R148" s="6">
        <f t="shared" si="36"/>
        <v>-6.7501559897209518E-14</v>
      </c>
      <c r="S148" s="6" t="str">
        <f t="shared" si="37"/>
        <v>OK</v>
      </c>
    </row>
    <row r="149" spans="1:19" x14ac:dyDescent="0.25">
      <c r="A149" s="3" t="str">
        <f t="shared" si="38"/>
        <v>05.05.2026</v>
      </c>
      <c r="B149" s="5">
        <v>36</v>
      </c>
      <c r="C149" s="5" t="s">
        <v>82</v>
      </c>
      <c r="D149" s="3">
        <v>8.0970499999999994</v>
      </c>
      <c r="E149" s="3">
        <v>8.0115300000000005</v>
      </c>
      <c r="F149" s="6">
        <f t="shared" si="26"/>
        <v>-8.551999999999893E-2</v>
      </c>
      <c r="G149" s="6">
        <f t="shared" si="27"/>
        <v>-1.0561871298806223E-2</v>
      </c>
      <c r="H149" s="6" t="str">
        <f t="shared" si="28"/>
        <v>🔴 Under-injection</v>
      </c>
      <c r="I149" s="6">
        <f t="shared" si="29"/>
        <v>8.551999999999893E-2</v>
      </c>
      <c r="J149" s="3">
        <v>0.61060000000000003</v>
      </c>
      <c r="K149" s="6">
        <f t="shared" si="30"/>
        <v>1.2145575</v>
      </c>
      <c r="L149" s="6">
        <f t="shared" si="31"/>
        <v>1.61941</v>
      </c>
      <c r="M149" s="6">
        <f t="shared" si="32"/>
        <v>8.551999999999893E-2</v>
      </c>
      <c r="N149" s="6">
        <f t="shared" si="33"/>
        <v>0</v>
      </c>
      <c r="O149" s="6">
        <f t="shared" si="34"/>
        <v>0</v>
      </c>
      <c r="P149" s="6">
        <f t="shared" si="35"/>
        <v>13.707359399999829</v>
      </c>
      <c r="Q149" s="3">
        <v>13.707359400000003</v>
      </c>
      <c r="R149" s="6">
        <f t="shared" si="36"/>
        <v>-1.7408297026122455E-13</v>
      </c>
      <c r="S149" s="6" t="str">
        <f t="shared" si="37"/>
        <v>OK</v>
      </c>
    </row>
    <row r="150" spans="1:19" x14ac:dyDescent="0.25">
      <c r="A150" s="3" t="str">
        <f t="shared" si="38"/>
        <v>05.05.2026</v>
      </c>
      <c r="B150" s="5">
        <v>37</v>
      </c>
      <c r="C150" s="5" t="s">
        <v>81</v>
      </c>
      <c r="D150" s="3">
        <v>8.0970499999999994</v>
      </c>
      <c r="E150" s="3">
        <v>8.0115300000000005</v>
      </c>
      <c r="F150" s="6">
        <f t="shared" si="26"/>
        <v>-8.551999999999893E-2</v>
      </c>
      <c r="G150" s="6">
        <f t="shared" si="27"/>
        <v>-1.0561871298806223E-2</v>
      </c>
      <c r="H150" s="6" t="str">
        <f t="shared" si="28"/>
        <v>🔴 Under-injection</v>
      </c>
      <c r="I150" s="6">
        <f t="shared" si="29"/>
        <v>8.551999999999893E-2</v>
      </c>
      <c r="J150" s="3">
        <v>0.34560000000000002</v>
      </c>
      <c r="K150" s="6">
        <f t="shared" si="30"/>
        <v>1.2145575</v>
      </c>
      <c r="L150" s="6">
        <f t="shared" si="31"/>
        <v>1.61941</v>
      </c>
      <c r="M150" s="6">
        <f t="shared" si="32"/>
        <v>8.551999999999893E-2</v>
      </c>
      <c r="N150" s="6">
        <f t="shared" si="33"/>
        <v>0</v>
      </c>
      <c r="O150" s="6">
        <f t="shared" si="34"/>
        <v>0</v>
      </c>
      <c r="P150" s="6">
        <f t="shared" si="35"/>
        <v>7.7583743999999033</v>
      </c>
      <c r="Q150" s="3">
        <v>7.7583744000000001</v>
      </c>
      <c r="R150" s="6">
        <f t="shared" si="36"/>
        <v>-9.681144774731365E-14</v>
      </c>
      <c r="S150" s="6" t="str">
        <f t="shared" si="37"/>
        <v>OK</v>
      </c>
    </row>
    <row r="151" spans="1:19" x14ac:dyDescent="0.25">
      <c r="A151" s="3" t="str">
        <f t="shared" si="38"/>
        <v>05.05.2026</v>
      </c>
      <c r="B151" s="5">
        <v>38</v>
      </c>
      <c r="C151" s="5" t="s">
        <v>80</v>
      </c>
      <c r="D151" s="3">
        <v>8.0970499999999994</v>
      </c>
      <c r="E151" s="3">
        <v>8.0228699999999993</v>
      </c>
      <c r="F151" s="6">
        <f t="shared" si="26"/>
        <v>-7.4180000000000135E-2</v>
      </c>
      <c r="G151" s="6">
        <f t="shared" si="27"/>
        <v>-9.1613612364997293E-3</v>
      </c>
      <c r="H151" s="6" t="str">
        <f t="shared" si="28"/>
        <v>🔴 Under-injection</v>
      </c>
      <c r="I151" s="6">
        <f t="shared" si="29"/>
        <v>7.4180000000000135E-2</v>
      </c>
      <c r="J151" s="3">
        <v>0.36499999999999999</v>
      </c>
      <c r="K151" s="6">
        <f t="shared" si="30"/>
        <v>1.2145575</v>
      </c>
      <c r="L151" s="6">
        <f t="shared" si="31"/>
        <v>1.61941</v>
      </c>
      <c r="M151" s="6">
        <f t="shared" si="32"/>
        <v>7.4180000000000135E-2</v>
      </c>
      <c r="N151" s="6">
        <f t="shared" si="33"/>
        <v>0</v>
      </c>
      <c r="O151" s="6">
        <f t="shared" si="34"/>
        <v>0</v>
      </c>
      <c r="P151" s="6">
        <f t="shared" si="35"/>
        <v>7.1073712500000124</v>
      </c>
      <c r="Q151" s="3">
        <v>7.107371249999999</v>
      </c>
      <c r="R151" s="6">
        <f t="shared" si="36"/>
        <v>1.3322676295501878E-14</v>
      </c>
      <c r="S151" s="6" t="str">
        <f t="shared" si="37"/>
        <v>OK</v>
      </c>
    </row>
    <row r="152" spans="1:19" x14ac:dyDescent="0.25">
      <c r="A152" s="3" t="str">
        <f t="shared" si="38"/>
        <v>05.05.2026</v>
      </c>
      <c r="B152" s="5">
        <v>39</v>
      </c>
      <c r="C152" s="5" t="s">
        <v>79</v>
      </c>
      <c r="D152" s="3">
        <v>8.0970499999999994</v>
      </c>
      <c r="E152" s="3">
        <v>8.0228699999999993</v>
      </c>
      <c r="F152" s="6">
        <f t="shared" si="26"/>
        <v>-7.4180000000000135E-2</v>
      </c>
      <c r="G152" s="6">
        <f t="shared" si="27"/>
        <v>-9.1613612364997293E-3</v>
      </c>
      <c r="H152" s="6" t="str">
        <f t="shared" si="28"/>
        <v>🔴 Under-injection</v>
      </c>
      <c r="I152" s="6">
        <f t="shared" si="29"/>
        <v>7.4180000000000135E-2</v>
      </c>
      <c r="J152" s="3">
        <v>0.53749999999999998</v>
      </c>
      <c r="K152" s="6">
        <f t="shared" si="30"/>
        <v>1.2145575</v>
      </c>
      <c r="L152" s="6">
        <f t="shared" si="31"/>
        <v>1.61941</v>
      </c>
      <c r="M152" s="6">
        <f t="shared" si="32"/>
        <v>7.4180000000000135E-2</v>
      </c>
      <c r="N152" s="6">
        <f t="shared" si="33"/>
        <v>0</v>
      </c>
      <c r="O152" s="6">
        <f t="shared" si="34"/>
        <v>0</v>
      </c>
      <c r="P152" s="6">
        <f t="shared" si="35"/>
        <v>10.466334375000018</v>
      </c>
      <c r="Q152" s="3">
        <v>10.466334374999999</v>
      </c>
      <c r="R152" s="6">
        <f t="shared" si="36"/>
        <v>1.9539925233402755E-14</v>
      </c>
      <c r="S152" s="6" t="str">
        <f t="shared" si="37"/>
        <v>OK</v>
      </c>
    </row>
    <row r="153" spans="1:19" x14ac:dyDescent="0.25">
      <c r="A153" s="3" t="str">
        <f t="shared" si="38"/>
        <v>05.05.2026</v>
      </c>
      <c r="B153" s="5">
        <v>40</v>
      </c>
      <c r="C153" s="5" t="s">
        <v>78</v>
      </c>
      <c r="D153" s="3">
        <v>8.0970499999999994</v>
      </c>
      <c r="E153" s="3">
        <v>8.0228699999999993</v>
      </c>
      <c r="F153" s="6">
        <f t="shared" si="26"/>
        <v>-7.4180000000000135E-2</v>
      </c>
      <c r="G153" s="6">
        <f t="shared" si="27"/>
        <v>-9.1613612364997293E-3</v>
      </c>
      <c r="H153" s="6" t="str">
        <f t="shared" si="28"/>
        <v>🔴 Under-injection</v>
      </c>
      <c r="I153" s="6">
        <f t="shared" si="29"/>
        <v>7.4180000000000135E-2</v>
      </c>
      <c r="J153" s="3">
        <v>0.61929999999999996</v>
      </c>
      <c r="K153" s="6">
        <f t="shared" si="30"/>
        <v>1.2145575</v>
      </c>
      <c r="L153" s="6">
        <f t="shared" si="31"/>
        <v>1.61941</v>
      </c>
      <c r="M153" s="6">
        <f t="shared" si="32"/>
        <v>7.4180000000000135E-2</v>
      </c>
      <c r="N153" s="6">
        <f t="shared" si="33"/>
        <v>0</v>
      </c>
      <c r="O153" s="6">
        <f t="shared" si="34"/>
        <v>0</v>
      </c>
      <c r="P153" s="6">
        <f t="shared" si="35"/>
        <v>12.05916442500002</v>
      </c>
      <c r="Q153" s="3">
        <v>12.059164424999999</v>
      </c>
      <c r="R153" s="6">
        <f t="shared" si="36"/>
        <v>2.1316282072803006E-14</v>
      </c>
      <c r="S153" s="6" t="str">
        <f t="shared" si="37"/>
        <v>OK</v>
      </c>
    </row>
    <row r="154" spans="1:19" x14ac:dyDescent="0.25">
      <c r="A154" s="3" t="str">
        <f t="shared" si="38"/>
        <v>05.05.2026</v>
      </c>
      <c r="B154" s="5">
        <v>41</v>
      </c>
      <c r="C154" s="5" t="s">
        <v>77</v>
      </c>
      <c r="D154" s="3">
        <v>8.0970499999999994</v>
      </c>
      <c r="E154" s="3">
        <v>8.0115300000000005</v>
      </c>
      <c r="F154" s="6">
        <f t="shared" si="26"/>
        <v>-8.551999999999893E-2</v>
      </c>
      <c r="G154" s="6">
        <f t="shared" si="27"/>
        <v>-1.0561871298806223E-2</v>
      </c>
      <c r="H154" s="6" t="str">
        <f t="shared" si="28"/>
        <v>🔴 Under-injection</v>
      </c>
      <c r="I154" s="6">
        <f t="shared" si="29"/>
        <v>8.551999999999893E-2</v>
      </c>
      <c r="J154" s="3">
        <v>0.58329999999999993</v>
      </c>
      <c r="K154" s="6">
        <f t="shared" si="30"/>
        <v>1.2145575</v>
      </c>
      <c r="L154" s="6">
        <f t="shared" si="31"/>
        <v>1.61941</v>
      </c>
      <c r="M154" s="6">
        <f t="shared" si="32"/>
        <v>8.551999999999893E-2</v>
      </c>
      <c r="N154" s="6">
        <f t="shared" si="33"/>
        <v>0</v>
      </c>
      <c r="O154" s="6">
        <f t="shared" si="34"/>
        <v>0</v>
      </c>
      <c r="P154" s="6">
        <f t="shared" si="35"/>
        <v>13.094501699999833</v>
      </c>
      <c r="Q154" s="3">
        <v>13.094501699999999</v>
      </c>
      <c r="R154" s="6">
        <f t="shared" si="36"/>
        <v>-1.6520118606422329E-13</v>
      </c>
      <c r="S154" s="6" t="str">
        <f t="shared" si="37"/>
        <v>OK</v>
      </c>
    </row>
    <row r="155" spans="1:19" x14ac:dyDescent="0.25">
      <c r="A155" s="3" t="str">
        <f t="shared" si="38"/>
        <v>05.05.2026</v>
      </c>
      <c r="B155" s="5">
        <v>42</v>
      </c>
      <c r="C155" s="5" t="s">
        <v>76</v>
      </c>
      <c r="D155" s="3">
        <v>8.0970499999999994</v>
      </c>
      <c r="E155" s="3">
        <v>8.0115300000000005</v>
      </c>
      <c r="F155" s="6">
        <f t="shared" si="26"/>
        <v>-8.551999999999893E-2</v>
      </c>
      <c r="G155" s="6">
        <f t="shared" si="27"/>
        <v>-1.0561871298806223E-2</v>
      </c>
      <c r="H155" s="6" t="str">
        <f t="shared" si="28"/>
        <v>🔴 Under-injection</v>
      </c>
      <c r="I155" s="6">
        <f t="shared" si="29"/>
        <v>8.551999999999893E-2</v>
      </c>
      <c r="J155" s="3">
        <v>0.42710000000000004</v>
      </c>
      <c r="K155" s="6">
        <f t="shared" si="30"/>
        <v>1.2145575</v>
      </c>
      <c r="L155" s="6">
        <f t="shared" si="31"/>
        <v>1.61941</v>
      </c>
      <c r="M155" s="6">
        <f t="shared" si="32"/>
        <v>8.551999999999893E-2</v>
      </c>
      <c r="N155" s="6">
        <f t="shared" si="33"/>
        <v>0</v>
      </c>
      <c r="O155" s="6">
        <f t="shared" si="34"/>
        <v>0</v>
      </c>
      <c r="P155" s="6">
        <f t="shared" si="35"/>
        <v>9.5879678999998816</v>
      </c>
      <c r="Q155" s="3">
        <v>9.5879679000000007</v>
      </c>
      <c r="R155" s="6">
        <f t="shared" si="36"/>
        <v>-1.1901590823981678E-13</v>
      </c>
      <c r="S155" s="6" t="str">
        <f t="shared" si="37"/>
        <v>OK</v>
      </c>
    </row>
    <row r="156" spans="1:19" x14ac:dyDescent="0.25">
      <c r="A156" s="3" t="str">
        <f t="shared" si="38"/>
        <v>05.05.2026</v>
      </c>
      <c r="B156" s="5">
        <v>43</v>
      </c>
      <c r="C156" s="5" t="s">
        <v>75</v>
      </c>
      <c r="D156" s="3">
        <v>8.0970499999999994</v>
      </c>
      <c r="E156" s="3">
        <v>8.0115300000000005</v>
      </c>
      <c r="F156" s="6">
        <f t="shared" si="26"/>
        <v>-8.551999999999893E-2</v>
      </c>
      <c r="G156" s="6">
        <f t="shared" si="27"/>
        <v>-1.0561871298806223E-2</v>
      </c>
      <c r="H156" s="6" t="str">
        <f t="shared" si="28"/>
        <v>🔴 Under-injection</v>
      </c>
      <c r="I156" s="6">
        <f t="shared" si="29"/>
        <v>8.551999999999893E-2</v>
      </c>
      <c r="J156" s="3">
        <v>0.48</v>
      </c>
      <c r="K156" s="6">
        <f t="shared" si="30"/>
        <v>1.2145575</v>
      </c>
      <c r="L156" s="6">
        <f t="shared" si="31"/>
        <v>1.61941</v>
      </c>
      <c r="M156" s="6">
        <f t="shared" si="32"/>
        <v>8.551999999999893E-2</v>
      </c>
      <c r="N156" s="6">
        <f t="shared" si="33"/>
        <v>0</v>
      </c>
      <c r="O156" s="6">
        <f t="shared" si="34"/>
        <v>0</v>
      </c>
      <c r="P156" s="6">
        <f t="shared" si="35"/>
        <v>10.775519999999865</v>
      </c>
      <c r="Q156" s="3">
        <v>10.77552</v>
      </c>
      <c r="R156" s="6">
        <f t="shared" si="36"/>
        <v>-1.3500311979441904E-13</v>
      </c>
      <c r="S156" s="6" t="str">
        <f t="shared" si="37"/>
        <v>OK</v>
      </c>
    </row>
    <row r="157" spans="1:19" x14ac:dyDescent="0.25">
      <c r="A157" s="3" t="str">
        <f t="shared" si="38"/>
        <v>05.05.2026</v>
      </c>
      <c r="B157" s="5">
        <v>44</v>
      </c>
      <c r="C157" s="5" t="s">
        <v>74</v>
      </c>
      <c r="D157" s="3">
        <v>8.0970499999999994</v>
      </c>
      <c r="E157" s="3">
        <v>8.0115300000000005</v>
      </c>
      <c r="F157" s="6">
        <f t="shared" si="26"/>
        <v>-8.551999999999893E-2</v>
      </c>
      <c r="G157" s="6">
        <f t="shared" si="27"/>
        <v>-1.0561871298806223E-2</v>
      </c>
      <c r="H157" s="6" t="str">
        <f t="shared" si="28"/>
        <v>🔴 Under-injection</v>
      </c>
      <c r="I157" s="6">
        <f t="shared" si="29"/>
        <v>8.551999999999893E-2</v>
      </c>
      <c r="J157" s="3">
        <v>0.43740000000000001</v>
      </c>
      <c r="K157" s="6">
        <f t="shared" si="30"/>
        <v>1.2145575</v>
      </c>
      <c r="L157" s="6">
        <f t="shared" si="31"/>
        <v>1.61941</v>
      </c>
      <c r="M157" s="6">
        <f t="shared" si="32"/>
        <v>8.551999999999893E-2</v>
      </c>
      <c r="N157" s="6">
        <f t="shared" si="33"/>
        <v>0</v>
      </c>
      <c r="O157" s="6">
        <f t="shared" si="34"/>
        <v>0</v>
      </c>
      <c r="P157" s="6">
        <f t="shared" si="35"/>
        <v>9.8191925999998766</v>
      </c>
      <c r="Q157" s="3">
        <v>9.8191926000000009</v>
      </c>
      <c r="R157" s="6">
        <f t="shared" si="36"/>
        <v>-1.2434497875801753E-13</v>
      </c>
      <c r="S157" s="6" t="str">
        <f t="shared" si="37"/>
        <v>OK</v>
      </c>
    </row>
    <row r="158" spans="1:19" x14ac:dyDescent="0.25">
      <c r="A158" s="3" t="str">
        <f t="shared" si="38"/>
        <v>05.05.2026</v>
      </c>
      <c r="B158" s="5">
        <v>45</v>
      </c>
      <c r="C158" s="5" t="s">
        <v>73</v>
      </c>
      <c r="D158" s="3">
        <v>8.0970499999999994</v>
      </c>
      <c r="E158" s="3">
        <v>8.0115300000000005</v>
      </c>
      <c r="F158" s="6">
        <f t="shared" si="26"/>
        <v>-8.551999999999893E-2</v>
      </c>
      <c r="G158" s="6">
        <f t="shared" si="27"/>
        <v>-1.0561871298806223E-2</v>
      </c>
      <c r="H158" s="6" t="str">
        <f t="shared" si="28"/>
        <v>🔴 Under-injection</v>
      </c>
      <c r="I158" s="6">
        <f t="shared" si="29"/>
        <v>8.551999999999893E-2</v>
      </c>
      <c r="J158" s="3">
        <v>0.66739999999999999</v>
      </c>
      <c r="K158" s="6">
        <f t="shared" si="30"/>
        <v>1.2145575</v>
      </c>
      <c r="L158" s="6">
        <f t="shared" si="31"/>
        <v>1.61941</v>
      </c>
      <c r="M158" s="6">
        <f t="shared" si="32"/>
        <v>8.551999999999893E-2</v>
      </c>
      <c r="N158" s="6">
        <f t="shared" si="33"/>
        <v>0</v>
      </c>
      <c r="O158" s="6">
        <f t="shared" si="34"/>
        <v>0</v>
      </c>
      <c r="P158" s="6">
        <f t="shared" si="35"/>
        <v>14.982462599999812</v>
      </c>
      <c r="Q158" s="3">
        <v>14.9824626</v>
      </c>
      <c r="R158" s="6">
        <f t="shared" si="36"/>
        <v>-1.8829382497642655E-13</v>
      </c>
      <c r="S158" s="6" t="str">
        <f t="shared" si="37"/>
        <v>OK</v>
      </c>
    </row>
    <row r="159" spans="1:19" x14ac:dyDescent="0.25">
      <c r="A159" s="3" t="str">
        <f t="shared" si="38"/>
        <v>05.05.2026</v>
      </c>
      <c r="B159" s="5">
        <v>46</v>
      </c>
      <c r="C159" s="5" t="s">
        <v>72</v>
      </c>
      <c r="D159" s="3">
        <v>8.0970499999999994</v>
      </c>
      <c r="E159" s="3">
        <v>8.0115300000000005</v>
      </c>
      <c r="F159" s="6">
        <f t="shared" si="26"/>
        <v>-8.551999999999893E-2</v>
      </c>
      <c r="G159" s="6">
        <f t="shared" si="27"/>
        <v>-1.0561871298806223E-2</v>
      </c>
      <c r="H159" s="6" t="str">
        <f t="shared" si="28"/>
        <v>🔴 Under-injection</v>
      </c>
      <c r="I159" s="6">
        <f t="shared" si="29"/>
        <v>8.551999999999893E-2</v>
      </c>
      <c r="J159" s="3">
        <v>0.66739999999999999</v>
      </c>
      <c r="K159" s="6">
        <f t="shared" si="30"/>
        <v>1.2145575</v>
      </c>
      <c r="L159" s="6">
        <f t="shared" si="31"/>
        <v>1.61941</v>
      </c>
      <c r="M159" s="6">
        <f t="shared" si="32"/>
        <v>8.551999999999893E-2</v>
      </c>
      <c r="N159" s="6">
        <f t="shared" si="33"/>
        <v>0</v>
      </c>
      <c r="O159" s="6">
        <f t="shared" si="34"/>
        <v>0</v>
      </c>
      <c r="P159" s="6">
        <f t="shared" si="35"/>
        <v>14.982462599999812</v>
      </c>
      <c r="Q159" s="3">
        <v>14.9824626</v>
      </c>
      <c r="R159" s="6">
        <f t="shared" si="36"/>
        <v>-1.8829382497642655E-13</v>
      </c>
      <c r="S159" s="6" t="str">
        <f t="shared" si="37"/>
        <v>OK</v>
      </c>
    </row>
    <row r="160" spans="1:19" x14ac:dyDescent="0.25">
      <c r="A160" s="3" t="str">
        <f t="shared" si="38"/>
        <v>05.05.2026</v>
      </c>
      <c r="B160" s="5">
        <v>47</v>
      </c>
      <c r="C160" s="5" t="s">
        <v>71</v>
      </c>
      <c r="D160" s="3">
        <v>8.0970499999999994</v>
      </c>
      <c r="E160" s="3">
        <v>8.0115300000000005</v>
      </c>
      <c r="F160" s="6">
        <f t="shared" si="26"/>
        <v>-8.551999999999893E-2</v>
      </c>
      <c r="G160" s="6">
        <f t="shared" si="27"/>
        <v>-1.0561871298806223E-2</v>
      </c>
      <c r="H160" s="6" t="str">
        <f t="shared" si="28"/>
        <v>🔴 Under-injection</v>
      </c>
      <c r="I160" s="6">
        <f t="shared" si="29"/>
        <v>8.551999999999893E-2</v>
      </c>
      <c r="J160" s="3">
        <v>0.66930000000000012</v>
      </c>
      <c r="K160" s="6">
        <f t="shared" si="30"/>
        <v>1.2145575</v>
      </c>
      <c r="L160" s="6">
        <f t="shared" si="31"/>
        <v>1.61941</v>
      </c>
      <c r="M160" s="6">
        <f t="shared" si="32"/>
        <v>8.551999999999893E-2</v>
      </c>
      <c r="N160" s="6">
        <f t="shared" si="33"/>
        <v>0</v>
      </c>
      <c r="O160" s="6">
        <f t="shared" si="34"/>
        <v>0</v>
      </c>
      <c r="P160" s="6">
        <f t="shared" si="35"/>
        <v>15.025115699999816</v>
      </c>
      <c r="Q160" s="3">
        <v>15.025115700000004</v>
      </c>
      <c r="R160" s="6">
        <f t="shared" si="36"/>
        <v>-1.8829382497642655E-13</v>
      </c>
      <c r="S160" s="6" t="str">
        <f t="shared" si="37"/>
        <v>OK</v>
      </c>
    </row>
    <row r="161" spans="1:19" x14ac:dyDescent="0.25">
      <c r="A161" s="3" t="str">
        <f t="shared" si="38"/>
        <v>05.05.2026</v>
      </c>
      <c r="B161" s="5">
        <v>48</v>
      </c>
      <c r="C161" s="5" t="s">
        <v>70</v>
      </c>
      <c r="D161" s="3">
        <v>8.0970499999999994</v>
      </c>
      <c r="E161" s="3">
        <v>8.0228699999999993</v>
      </c>
      <c r="F161" s="6">
        <f t="shared" si="26"/>
        <v>-7.4180000000000135E-2</v>
      </c>
      <c r="G161" s="6">
        <f t="shared" si="27"/>
        <v>-9.1613612364997293E-3</v>
      </c>
      <c r="H161" s="6" t="str">
        <f t="shared" si="28"/>
        <v>🔴 Under-injection</v>
      </c>
      <c r="I161" s="6">
        <f t="shared" si="29"/>
        <v>7.4180000000000135E-2</v>
      </c>
      <c r="J161" s="3">
        <v>0.6694</v>
      </c>
      <c r="K161" s="6">
        <f t="shared" si="30"/>
        <v>1.2145575</v>
      </c>
      <c r="L161" s="6">
        <f t="shared" si="31"/>
        <v>1.61941</v>
      </c>
      <c r="M161" s="6">
        <f t="shared" si="32"/>
        <v>7.4180000000000135E-2</v>
      </c>
      <c r="N161" s="6">
        <f t="shared" si="33"/>
        <v>0</v>
      </c>
      <c r="O161" s="6">
        <f t="shared" si="34"/>
        <v>0</v>
      </c>
      <c r="P161" s="6">
        <f t="shared" si="35"/>
        <v>13.034724150000024</v>
      </c>
      <c r="Q161" s="3">
        <v>13.034724149999999</v>
      </c>
      <c r="R161" s="6">
        <f t="shared" si="36"/>
        <v>2.4868995751603507E-14</v>
      </c>
      <c r="S161" s="6" t="str">
        <f t="shared" si="37"/>
        <v>OK</v>
      </c>
    </row>
    <row r="162" spans="1:19" x14ac:dyDescent="0.25">
      <c r="A162" s="3" t="str">
        <f t="shared" si="38"/>
        <v>05.05.2026</v>
      </c>
      <c r="B162" s="5">
        <v>49</v>
      </c>
      <c r="C162" s="5" t="s">
        <v>69</v>
      </c>
      <c r="D162" s="3">
        <v>8.0970499999999994</v>
      </c>
      <c r="E162" s="3">
        <v>8.0115300000000005</v>
      </c>
      <c r="F162" s="6">
        <f t="shared" si="26"/>
        <v>-8.551999999999893E-2</v>
      </c>
      <c r="G162" s="6">
        <f t="shared" si="27"/>
        <v>-1.0561871298806223E-2</v>
      </c>
      <c r="H162" s="6" t="str">
        <f t="shared" si="28"/>
        <v>🔴 Under-injection</v>
      </c>
      <c r="I162" s="6">
        <f t="shared" si="29"/>
        <v>8.551999999999893E-2</v>
      </c>
      <c r="J162" s="3">
        <v>0.66890000000000005</v>
      </c>
      <c r="K162" s="6">
        <f t="shared" si="30"/>
        <v>1.2145575</v>
      </c>
      <c r="L162" s="6">
        <f t="shared" si="31"/>
        <v>1.61941</v>
      </c>
      <c r="M162" s="6">
        <f t="shared" si="32"/>
        <v>8.551999999999893E-2</v>
      </c>
      <c r="N162" s="6">
        <f t="shared" si="33"/>
        <v>0</v>
      </c>
      <c r="O162" s="6">
        <f t="shared" si="34"/>
        <v>0</v>
      </c>
      <c r="P162" s="6">
        <f t="shared" si="35"/>
        <v>15.016136099999814</v>
      </c>
      <c r="Q162" s="3">
        <v>15.016136100000002</v>
      </c>
      <c r="R162" s="6">
        <f t="shared" si="36"/>
        <v>-1.8829382497642655E-13</v>
      </c>
      <c r="S162" s="6" t="str">
        <f t="shared" si="37"/>
        <v>OK</v>
      </c>
    </row>
    <row r="163" spans="1:19" x14ac:dyDescent="0.25">
      <c r="A163" s="3" t="str">
        <f t="shared" si="38"/>
        <v>05.05.2026</v>
      </c>
      <c r="B163" s="5">
        <v>50</v>
      </c>
      <c r="C163" s="5" t="s">
        <v>68</v>
      </c>
      <c r="D163" s="3">
        <v>8.0970499999999994</v>
      </c>
      <c r="E163" s="3">
        <v>8.0115300000000005</v>
      </c>
      <c r="F163" s="6">
        <f t="shared" si="26"/>
        <v>-8.551999999999893E-2</v>
      </c>
      <c r="G163" s="6">
        <f t="shared" si="27"/>
        <v>-1.0561871298806223E-2</v>
      </c>
      <c r="H163" s="6" t="str">
        <f t="shared" si="28"/>
        <v>🔴 Under-injection</v>
      </c>
      <c r="I163" s="6">
        <f t="shared" si="29"/>
        <v>8.551999999999893E-2</v>
      </c>
      <c r="J163" s="3">
        <v>0.60309999999999997</v>
      </c>
      <c r="K163" s="6">
        <f t="shared" si="30"/>
        <v>1.2145575</v>
      </c>
      <c r="L163" s="6">
        <f t="shared" si="31"/>
        <v>1.61941</v>
      </c>
      <c r="M163" s="6">
        <f t="shared" si="32"/>
        <v>8.551999999999893E-2</v>
      </c>
      <c r="N163" s="6">
        <f t="shared" si="33"/>
        <v>0</v>
      </c>
      <c r="O163" s="6">
        <f t="shared" si="34"/>
        <v>0</v>
      </c>
      <c r="P163" s="6">
        <f t="shared" si="35"/>
        <v>13.53899189999983</v>
      </c>
      <c r="Q163" s="3">
        <v>13.538991900000001</v>
      </c>
      <c r="R163" s="6">
        <f t="shared" si="36"/>
        <v>-1.7053025658242404E-13</v>
      </c>
      <c r="S163" s="6" t="str">
        <f t="shared" si="37"/>
        <v>OK</v>
      </c>
    </row>
    <row r="164" spans="1:19" x14ac:dyDescent="0.25">
      <c r="A164" s="3" t="str">
        <f t="shared" si="38"/>
        <v>05.05.2026</v>
      </c>
      <c r="B164" s="5">
        <v>51</v>
      </c>
      <c r="C164" s="5" t="s">
        <v>67</v>
      </c>
      <c r="D164" s="3">
        <v>8.0970499999999994</v>
      </c>
      <c r="E164" s="3">
        <v>8.0115300000000005</v>
      </c>
      <c r="F164" s="6">
        <f t="shared" si="26"/>
        <v>-8.551999999999893E-2</v>
      </c>
      <c r="G164" s="6">
        <f t="shared" si="27"/>
        <v>-1.0561871298806223E-2</v>
      </c>
      <c r="H164" s="6" t="str">
        <f t="shared" si="28"/>
        <v>🔴 Under-injection</v>
      </c>
      <c r="I164" s="6">
        <f t="shared" si="29"/>
        <v>8.551999999999893E-2</v>
      </c>
      <c r="J164" s="3">
        <v>0.60260000000000002</v>
      </c>
      <c r="K164" s="6">
        <f t="shared" si="30"/>
        <v>1.2145575</v>
      </c>
      <c r="L164" s="6">
        <f t="shared" si="31"/>
        <v>1.61941</v>
      </c>
      <c r="M164" s="6">
        <f t="shared" si="32"/>
        <v>8.551999999999893E-2</v>
      </c>
      <c r="N164" s="6">
        <f t="shared" si="33"/>
        <v>0</v>
      </c>
      <c r="O164" s="6">
        <f t="shared" si="34"/>
        <v>0</v>
      </c>
      <c r="P164" s="6">
        <f t="shared" si="35"/>
        <v>13.527767399999831</v>
      </c>
      <c r="Q164" s="3">
        <v>13.5277674</v>
      </c>
      <c r="R164" s="6">
        <f t="shared" si="36"/>
        <v>-1.6875389974302379E-13</v>
      </c>
      <c r="S164" s="6" t="str">
        <f t="shared" si="37"/>
        <v>OK</v>
      </c>
    </row>
    <row r="165" spans="1:19" x14ac:dyDescent="0.25">
      <c r="A165" s="3" t="str">
        <f t="shared" si="38"/>
        <v>05.05.2026</v>
      </c>
      <c r="B165" s="5">
        <v>52</v>
      </c>
      <c r="C165" s="5" t="s">
        <v>66</v>
      </c>
      <c r="D165" s="3">
        <v>8.0970499999999994</v>
      </c>
      <c r="E165" s="3">
        <v>8.0115300000000005</v>
      </c>
      <c r="F165" s="6">
        <f t="shared" si="26"/>
        <v>-8.551999999999893E-2</v>
      </c>
      <c r="G165" s="6">
        <f t="shared" si="27"/>
        <v>-1.0561871298806223E-2</v>
      </c>
      <c r="H165" s="6" t="str">
        <f t="shared" si="28"/>
        <v>🔴 Under-injection</v>
      </c>
      <c r="I165" s="6">
        <f t="shared" si="29"/>
        <v>8.551999999999893E-2</v>
      </c>
      <c r="J165" s="3">
        <v>0.60009999999999997</v>
      </c>
      <c r="K165" s="6">
        <f t="shared" si="30"/>
        <v>1.2145575</v>
      </c>
      <c r="L165" s="6">
        <f t="shared" si="31"/>
        <v>1.61941</v>
      </c>
      <c r="M165" s="6">
        <f t="shared" si="32"/>
        <v>8.551999999999893E-2</v>
      </c>
      <c r="N165" s="6">
        <f t="shared" si="33"/>
        <v>0</v>
      </c>
      <c r="O165" s="6">
        <f t="shared" si="34"/>
        <v>0</v>
      </c>
      <c r="P165" s="6">
        <f t="shared" si="35"/>
        <v>13.471644899999831</v>
      </c>
      <c r="Q165" s="3">
        <v>13.471644899999999</v>
      </c>
      <c r="R165" s="6">
        <f t="shared" si="36"/>
        <v>-1.6875389974302379E-13</v>
      </c>
      <c r="S165" s="6" t="str">
        <f t="shared" si="37"/>
        <v>OK</v>
      </c>
    </row>
    <row r="166" spans="1:19" x14ac:dyDescent="0.25">
      <c r="A166" s="3" t="str">
        <f t="shared" si="38"/>
        <v>05.05.2026</v>
      </c>
      <c r="B166" s="5">
        <v>53</v>
      </c>
      <c r="C166" s="5" t="s">
        <v>65</v>
      </c>
      <c r="D166" s="3">
        <v>8.0970499999999994</v>
      </c>
      <c r="E166" s="3">
        <v>8.0001800000000003</v>
      </c>
      <c r="F166" s="6">
        <f t="shared" si="26"/>
        <v>-9.6869999999999123E-2</v>
      </c>
      <c r="G166" s="6">
        <f t="shared" si="27"/>
        <v>-1.1963616378804519E-2</v>
      </c>
      <c r="H166" s="6" t="str">
        <f t="shared" si="28"/>
        <v>🔴 Under-injection</v>
      </c>
      <c r="I166" s="6">
        <f t="shared" si="29"/>
        <v>9.6869999999999123E-2</v>
      </c>
      <c r="J166" s="3">
        <v>0.59860000000000002</v>
      </c>
      <c r="K166" s="6">
        <f t="shared" si="30"/>
        <v>1.2145575</v>
      </c>
      <c r="L166" s="6">
        <f t="shared" si="31"/>
        <v>1.61941</v>
      </c>
      <c r="M166" s="6">
        <f t="shared" si="32"/>
        <v>9.6869999999999123E-2</v>
      </c>
      <c r="N166" s="6">
        <f t="shared" si="33"/>
        <v>0</v>
      </c>
      <c r="O166" s="6">
        <f t="shared" si="34"/>
        <v>0</v>
      </c>
      <c r="P166" s="6">
        <f t="shared" si="35"/>
        <v>15.221425274999863</v>
      </c>
      <c r="Q166" s="3">
        <v>15.221425275</v>
      </c>
      <c r="R166" s="6">
        <f t="shared" si="36"/>
        <v>-1.3677947663381929E-13</v>
      </c>
      <c r="S166" s="6" t="str">
        <f t="shared" si="37"/>
        <v>OK</v>
      </c>
    </row>
    <row r="167" spans="1:19" x14ac:dyDescent="0.25">
      <c r="A167" s="3" t="str">
        <f t="shared" si="38"/>
        <v>05.05.2026</v>
      </c>
      <c r="B167" s="5">
        <v>54</v>
      </c>
      <c r="C167" s="5" t="s">
        <v>64</v>
      </c>
      <c r="D167" s="3">
        <v>8.0970499999999994</v>
      </c>
      <c r="E167" s="3">
        <v>8.0115300000000005</v>
      </c>
      <c r="F167" s="6">
        <f t="shared" si="26"/>
        <v>-8.551999999999893E-2</v>
      </c>
      <c r="G167" s="6">
        <f t="shared" si="27"/>
        <v>-1.0561871298806223E-2</v>
      </c>
      <c r="H167" s="6" t="str">
        <f t="shared" si="28"/>
        <v>🔴 Under-injection</v>
      </c>
      <c r="I167" s="6">
        <f t="shared" si="29"/>
        <v>8.551999999999893E-2</v>
      </c>
      <c r="J167" s="3">
        <v>0.6008</v>
      </c>
      <c r="K167" s="6">
        <f t="shared" si="30"/>
        <v>1.2145575</v>
      </c>
      <c r="L167" s="6">
        <f t="shared" si="31"/>
        <v>1.61941</v>
      </c>
      <c r="M167" s="6">
        <f t="shared" si="32"/>
        <v>8.551999999999893E-2</v>
      </c>
      <c r="N167" s="6">
        <f t="shared" si="33"/>
        <v>0</v>
      </c>
      <c r="O167" s="6">
        <f t="shared" si="34"/>
        <v>0</v>
      </c>
      <c r="P167" s="6">
        <f t="shared" si="35"/>
        <v>13.487359199999831</v>
      </c>
      <c r="Q167" s="3">
        <v>13.487359200000002</v>
      </c>
      <c r="R167" s="6">
        <f t="shared" si="36"/>
        <v>-1.7053025658242404E-13</v>
      </c>
      <c r="S167" s="6" t="str">
        <f t="shared" si="37"/>
        <v>OK</v>
      </c>
    </row>
    <row r="168" spans="1:19" x14ac:dyDescent="0.25">
      <c r="A168" s="3" t="str">
        <f t="shared" si="38"/>
        <v>05.05.2026</v>
      </c>
      <c r="B168" s="5">
        <v>55</v>
      </c>
      <c r="C168" s="5" t="s">
        <v>63</v>
      </c>
      <c r="D168" s="3">
        <v>8.0970499999999994</v>
      </c>
      <c r="E168" s="3">
        <v>8.0001800000000003</v>
      </c>
      <c r="F168" s="6">
        <f t="shared" si="26"/>
        <v>-9.6869999999999123E-2</v>
      </c>
      <c r="G168" s="6">
        <f t="shared" si="27"/>
        <v>-1.1963616378804519E-2</v>
      </c>
      <c r="H168" s="6" t="str">
        <f t="shared" si="28"/>
        <v>🔴 Under-injection</v>
      </c>
      <c r="I168" s="6">
        <f t="shared" si="29"/>
        <v>9.6869999999999123E-2</v>
      </c>
      <c r="J168" s="3">
        <v>0.60260000000000002</v>
      </c>
      <c r="K168" s="6">
        <f t="shared" si="30"/>
        <v>1.2145575</v>
      </c>
      <c r="L168" s="6">
        <f t="shared" si="31"/>
        <v>1.61941</v>
      </c>
      <c r="M168" s="6">
        <f t="shared" si="32"/>
        <v>9.6869999999999123E-2</v>
      </c>
      <c r="N168" s="6">
        <f t="shared" si="33"/>
        <v>0</v>
      </c>
      <c r="O168" s="6">
        <f t="shared" si="34"/>
        <v>0</v>
      </c>
      <c r="P168" s="6">
        <f t="shared" si="35"/>
        <v>15.323138774999864</v>
      </c>
      <c r="Q168" s="3">
        <v>15.323138775</v>
      </c>
      <c r="R168" s="6">
        <f t="shared" si="36"/>
        <v>-1.3677947663381929E-13</v>
      </c>
      <c r="S168" s="6" t="str">
        <f t="shared" si="37"/>
        <v>OK</v>
      </c>
    </row>
    <row r="169" spans="1:19" x14ac:dyDescent="0.25">
      <c r="A169" s="3" t="str">
        <f t="shared" si="38"/>
        <v>05.05.2026</v>
      </c>
      <c r="B169" s="5">
        <v>56</v>
      </c>
      <c r="C169" s="5" t="s">
        <v>62</v>
      </c>
      <c r="D169" s="3">
        <v>8.0970499999999994</v>
      </c>
      <c r="E169" s="3">
        <v>8.0115300000000005</v>
      </c>
      <c r="F169" s="6">
        <f t="shared" si="26"/>
        <v>-8.551999999999893E-2</v>
      </c>
      <c r="G169" s="6">
        <f t="shared" si="27"/>
        <v>-1.0561871298806223E-2</v>
      </c>
      <c r="H169" s="6" t="str">
        <f t="shared" si="28"/>
        <v>🔴 Under-injection</v>
      </c>
      <c r="I169" s="6">
        <f t="shared" si="29"/>
        <v>8.551999999999893E-2</v>
      </c>
      <c r="J169" s="3">
        <v>0.78890000000000005</v>
      </c>
      <c r="K169" s="6">
        <f t="shared" si="30"/>
        <v>1.2145575</v>
      </c>
      <c r="L169" s="6">
        <f t="shared" si="31"/>
        <v>1.61941</v>
      </c>
      <c r="M169" s="6">
        <f t="shared" si="32"/>
        <v>8.551999999999893E-2</v>
      </c>
      <c r="N169" s="6">
        <f t="shared" si="33"/>
        <v>0</v>
      </c>
      <c r="O169" s="6">
        <f t="shared" si="34"/>
        <v>0</v>
      </c>
      <c r="P169" s="6">
        <f t="shared" si="35"/>
        <v>17.710016099999777</v>
      </c>
      <c r="Q169" s="3">
        <v>17.710016100000004</v>
      </c>
      <c r="R169" s="6">
        <f t="shared" si="36"/>
        <v>-2.2737367544323206E-13</v>
      </c>
      <c r="S169" s="6" t="str">
        <f t="shared" si="37"/>
        <v>OK</v>
      </c>
    </row>
    <row r="170" spans="1:19" x14ac:dyDescent="0.25">
      <c r="A170" s="3" t="str">
        <f t="shared" si="38"/>
        <v>05.05.2026</v>
      </c>
      <c r="B170" s="5">
        <v>57</v>
      </c>
      <c r="C170" s="5" t="s">
        <v>61</v>
      </c>
      <c r="D170" s="3">
        <v>8.0970499999999994</v>
      </c>
      <c r="E170" s="3">
        <v>8.0115300000000005</v>
      </c>
      <c r="F170" s="6">
        <f t="shared" si="26"/>
        <v>-8.551999999999893E-2</v>
      </c>
      <c r="G170" s="6">
        <f t="shared" si="27"/>
        <v>-1.0561871298806223E-2</v>
      </c>
      <c r="H170" s="6" t="str">
        <f t="shared" si="28"/>
        <v>🔴 Under-injection</v>
      </c>
      <c r="I170" s="6">
        <f t="shared" si="29"/>
        <v>8.551999999999893E-2</v>
      </c>
      <c r="J170" s="3">
        <v>0.99419999999999997</v>
      </c>
      <c r="K170" s="6">
        <f t="shared" si="30"/>
        <v>1.2145575</v>
      </c>
      <c r="L170" s="6">
        <f t="shared" si="31"/>
        <v>1.61941</v>
      </c>
      <c r="M170" s="6">
        <f t="shared" si="32"/>
        <v>8.551999999999893E-2</v>
      </c>
      <c r="N170" s="6">
        <f t="shared" si="33"/>
        <v>0</v>
      </c>
      <c r="O170" s="6">
        <f t="shared" si="34"/>
        <v>0</v>
      </c>
      <c r="P170" s="6">
        <f t="shared" si="35"/>
        <v>22.318795799999723</v>
      </c>
      <c r="Q170" s="3">
        <v>22.318795800000004</v>
      </c>
      <c r="R170" s="6">
        <f t="shared" si="36"/>
        <v>-2.8066438062523957E-13</v>
      </c>
      <c r="S170" s="6" t="str">
        <f t="shared" si="37"/>
        <v>OK</v>
      </c>
    </row>
    <row r="171" spans="1:19" x14ac:dyDescent="0.25">
      <c r="A171" s="3" t="str">
        <f t="shared" si="38"/>
        <v>05.05.2026</v>
      </c>
      <c r="B171" s="5">
        <v>58</v>
      </c>
      <c r="C171" s="5" t="s">
        <v>60</v>
      </c>
      <c r="D171" s="3">
        <v>8.0970499999999994</v>
      </c>
      <c r="E171" s="3">
        <v>8.0001800000000003</v>
      </c>
      <c r="F171" s="6">
        <f t="shared" si="26"/>
        <v>-9.6869999999999123E-2</v>
      </c>
      <c r="G171" s="6">
        <f t="shared" si="27"/>
        <v>-1.1963616378804519E-2</v>
      </c>
      <c r="H171" s="6" t="str">
        <f t="shared" si="28"/>
        <v>🔴 Under-injection</v>
      </c>
      <c r="I171" s="6">
        <f t="shared" si="29"/>
        <v>9.6869999999999123E-2</v>
      </c>
      <c r="J171" s="3">
        <v>1.0002</v>
      </c>
      <c r="K171" s="6">
        <f t="shared" si="30"/>
        <v>1.2145575</v>
      </c>
      <c r="L171" s="6">
        <f t="shared" si="31"/>
        <v>1.61941</v>
      </c>
      <c r="M171" s="6">
        <f t="shared" si="32"/>
        <v>9.6869999999999123E-2</v>
      </c>
      <c r="N171" s="6">
        <f t="shared" si="33"/>
        <v>0</v>
      </c>
      <c r="O171" s="6">
        <f t="shared" si="34"/>
        <v>0</v>
      </c>
      <c r="P171" s="6">
        <f t="shared" si="35"/>
        <v>25.433460674999768</v>
      </c>
      <c r="Q171" s="3">
        <v>25.433460675000003</v>
      </c>
      <c r="R171" s="6">
        <f t="shared" si="36"/>
        <v>-2.3447910280083306E-13</v>
      </c>
      <c r="S171" s="6" t="str">
        <f t="shared" si="37"/>
        <v>OK</v>
      </c>
    </row>
    <row r="172" spans="1:19" x14ac:dyDescent="0.25">
      <c r="A172" s="3" t="str">
        <f t="shared" si="38"/>
        <v>05.05.2026</v>
      </c>
      <c r="B172" s="5">
        <v>59</v>
      </c>
      <c r="C172" s="5" t="s">
        <v>59</v>
      </c>
      <c r="D172" s="3">
        <v>8.0970499999999994</v>
      </c>
      <c r="E172" s="3">
        <v>8.0001800000000003</v>
      </c>
      <c r="F172" s="6">
        <f t="shared" si="26"/>
        <v>-9.6869999999999123E-2</v>
      </c>
      <c r="G172" s="6">
        <f t="shared" si="27"/>
        <v>-1.1963616378804519E-2</v>
      </c>
      <c r="H172" s="6" t="str">
        <f t="shared" si="28"/>
        <v>🔴 Under-injection</v>
      </c>
      <c r="I172" s="6">
        <f t="shared" si="29"/>
        <v>9.6869999999999123E-2</v>
      </c>
      <c r="J172" s="3">
        <v>1.2182999999999999</v>
      </c>
      <c r="K172" s="6">
        <f t="shared" si="30"/>
        <v>1.2145575</v>
      </c>
      <c r="L172" s="6">
        <f t="shared" si="31"/>
        <v>1.61941</v>
      </c>
      <c r="M172" s="6">
        <f t="shared" si="32"/>
        <v>9.6869999999999123E-2</v>
      </c>
      <c r="N172" s="6">
        <f t="shared" si="33"/>
        <v>0</v>
      </c>
      <c r="O172" s="6">
        <f t="shared" si="34"/>
        <v>0</v>
      </c>
      <c r="P172" s="6">
        <f t="shared" si="35"/>
        <v>30.979389262499719</v>
      </c>
      <c r="Q172" s="3">
        <v>30.9793892625</v>
      </c>
      <c r="R172" s="6">
        <f t="shared" si="36"/>
        <v>-2.8066438062523957E-13</v>
      </c>
      <c r="S172" s="6" t="str">
        <f t="shared" si="37"/>
        <v>OK</v>
      </c>
    </row>
    <row r="173" spans="1:19" x14ac:dyDescent="0.25">
      <c r="A173" s="3" t="str">
        <f t="shared" si="38"/>
        <v>05.05.2026</v>
      </c>
      <c r="B173" s="5">
        <v>60</v>
      </c>
      <c r="C173" s="5" t="s">
        <v>58</v>
      </c>
      <c r="D173" s="3">
        <v>8.0970499999999994</v>
      </c>
      <c r="E173" s="3">
        <v>8.0001800000000003</v>
      </c>
      <c r="F173" s="6">
        <f t="shared" si="26"/>
        <v>-9.6869999999999123E-2</v>
      </c>
      <c r="G173" s="6">
        <f t="shared" si="27"/>
        <v>-1.1963616378804519E-2</v>
      </c>
      <c r="H173" s="6" t="str">
        <f t="shared" si="28"/>
        <v>🔴 Under-injection</v>
      </c>
      <c r="I173" s="6">
        <f t="shared" si="29"/>
        <v>9.6869999999999123E-2</v>
      </c>
      <c r="J173" s="3">
        <v>1.2505999999999999</v>
      </c>
      <c r="K173" s="6">
        <f t="shared" si="30"/>
        <v>1.2145575</v>
      </c>
      <c r="L173" s="6">
        <f t="shared" si="31"/>
        <v>1.61941</v>
      </c>
      <c r="M173" s="6">
        <f t="shared" si="32"/>
        <v>9.6869999999999123E-2</v>
      </c>
      <c r="N173" s="6">
        <f t="shared" si="33"/>
        <v>0</v>
      </c>
      <c r="O173" s="6">
        <f t="shared" si="34"/>
        <v>0</v>
      </c>
      <c r="P173" s="6">
        <f t="shared" si="35"/>
        <v>31.800725774999712</v>
      </c>
      <c r="Q173" s="3">
        <v>31.800725774999997</v>
      </c>
      <c r="R173" s="6">
        <f t="shared" si="36"/>
        <v>-2.8421709430404007E-13</v>
      </c>
      <c r="S173" s="6" t="str">
        <f t="shared" si="37"/>
        <v>OK</v>
      </c>
    </row>
    <row r="174" spans="1:19" x14ac:dyDescent="0.25">
      <c r="A174" s="3" t="str">
        <f t="shared" si="38"/>
        <v>05.05.2026</v>
      </c>
      <c r="B174" s="5">
        <v>61</v>
      </c>
      <c r="C174" s="5" t="s">
        <v>57</v>
      </c>
      <c r="D174" s="3">
        <v>8.0970499999999994</v>
      </c>
      <c r="E174" s="3">
        <v>8.0001800000000003</v>
      </c>
      <c r="F174" s="6">
        <f t="shared" si="26"/>
        <v>-9.6869999999999123E-2</v>
      </c>
      <c r="G174" s="6">
        <f t="shared" si="27"/>
        <v>-1.1963616378804519E-2</v>
      </c>
      <c r="H174" s="6" t="str">
        <f t="shared" si="28"/>
        <v>🔴 Under-injection</v>
      </c>
      <c r="I174" s="6">
        <f t="shared" si="29"/>
        <v>9.6869999999999123E-2</v>
      </c>
      <c r="J174" s="3">
        <v>1.6503999999999999</v>
      </c>
      <c r="K174" s="6">
        <f t="shared" si="30"/>
        <v>1.2145575</v>
      </c>
      <c r="L174" s="6">
        <f t="shared" si="31"/>
        <v>1.61941</v>
      </c>
      <c r="M174" s="6">
        <f t="shared" si="32"/>
        <v>9.6869999999999123E-2</v>
      </c>
      <c r="N174" s="6">
        <f t="shared" si="33"/>
        <v>0</v>
      </c>
      <c r="O174" s="6">
        <f t="shared" si="34"/>
        <v>0</v>
      </c>
      <c r="P174" s="6">
        <f t="shared" si="35"/>
        <v>41.966990099999613</v>
      </c>
      <c r="Q174" s="3">
        <v>41.966990099999997</v>
      </c>
      <c r="R174" s="6">
        <f t="shared" si="36"/>
        <v>-3.836930773104541E-13</v>
      </c>
      <c r="S174" s="6" t="str">
        <f t="shared" si="37"/>
        <v>OK</v>
      </c>
    </row>
    <row r="175" spans="1:19" x14ac:dyDescent="0.25">
      <c r="A175" s="3" t="str">
        <f t="shared" si="38"/>
        <v>05.05.2026</v>
      </c>
      <c r="B175" s="5">
        <v>62</v>
      </c>
      <c r="C175" s="5" t="s">
        <v>56</v>
      </c>
      <c r="D175" s="3">
        <v>8.0970499999999994</v>
      </c>
      <c r="E175" s="3">
        <v>8.0001800000000003</v>
      </c>
      <c r="F175" s="6">
        <f t="shared" si="26"/>
        <v>-9.6869999999999123E-2</v>
      </c>
      <c r="G175" s="6">
        <f t="shared" si="27"/>
        <v>-1.1963616378804519E-2</v>
      </c>
      <c r="H175" s="6" t="str">
        <f t="shared" si="28"/>
        <v>🔴 Under-injection</v>
      </c>
      <c r="I175" s="6">
        <f t="shared" si="29"/>
        <v>9.6869999999999123E-2</v>
      </c>
      <c r="J175" s="3">
        <v>1.9021000000000001</v>
      </c>
      <c r="K175" s="6">
        <f t="shared" si="30"/>
        <v>1.2145575</v>
      </c>
      <c r="L175" s="6">
        <f t="shared" si="31"/>
        <v>1.61941</v>
      </c>
      <c r="M175" s="6">
        <f t="shared" si="32"/>
        <v>9.6869999999999123E-2</v>
      </c>
      <c r="N175" s="6">
        <f t="shared" si="33"/>
        <v>0</v>
      </c>
      <c r="O175" s="6">
        <f t="shared" si="34"/>
        <v>0</v>
      </c>
      <c r="P175" s="6">
        <f t="shared" si="35"/>
        <v>48.367312087499563</v>
      </c>
      <c r="Q175" s="3">
        <v>48.367312087500004</v>
      </c>
      <c r="R175" s="6">
        <f t="shared" si="36"/>
        <v>-4.4053649617126212E-13</v>
      </c>
      <c r="S175" s="6" t="str">
        <f t="shared" si="37"/>
        <v>OK</v>
      </c>
    </row>
    <row r="176" spans="1:19" x14ac:dyDescent="0.25">
      <c r="A176" s="3" t="str">
        <f t="shared" si="38"/>
        <v>05.05.2026</v>
      </c>
      <c r="B176" s="5">
        <v>63</v>
      </c>
      <c r="C176" s="5" t="s">
        <v>55</v>
      </c>
      <c r="D176" s="3">
        <v>8.0970499999999994</v>
      </c>
      <c r="E176" s="3">
        <v>8.0001800000000003</v>
      </c>
      <c r="F176" s="6">
        <f t="shared" si="26"/>
        <v>-9.6869999999999123E-2</v>
      </c>
      <c r="G176" s="6">
        <f t="shared" si="27"/>
        <v>-1.1963616378804519E-2</v>
      </c>
      <c r="H176" s="6" t="str">
        <f t="shared" si="28"/>
        <v>🔴 Under-injection</v>
      </c>
      <c r="I176" s="6">
        <f t="shared" si="29"/>
        <v>9.6869999999999123E-2</v>
      </c>
      <c r="J176" s="3">
        <v>1.9295</v>
      </c>
      <c r="K176" s="6">
        <f t="shared" si="30"/>
        <v>1.2145575</v>
      </c>
      <c r="L176" s="6">
        <f t="shared" si="31"/>
        <v>1.61941</v>
      </c>
      <c r="M176" s="6">
        <f t="shared" si="32"/>
        <v>9.6869999999999123E-2</v>
      </c>
      <c r="N176" s="6">
        <f t="shared" si="33"/>
        <v>0</v>
      </c>
      <c r="O176" s="6">
        <f t="shared" si="34"/>
        <v>0</v>
      </c>
      <c r="P176" s="6">
        <f t="shared" si="35"/>
        <v>49.064049562499562</v>
      </c>
      <c r="Q176" s="3">
        <v>49.064049562499996</v>
      </c>
      <c r="R176" s="6">
        <f t="shared" si="36"/>
        <v>-4.3343106881366111E-13</v>
      </c>
      <c r="S176" s="6" t="str">
        <f t="shared" si="37"/>
        <v>OK</v>
      </c>
    </row>
    <row r="177" spans="1:19" x14ac:dyDescent="0.25">
      <c r="A177" s="3" t="str">
        <f t="shared" si="38"/>
        <v>05.05.2026</v>
      </c>
      <c r="B177" s="5">
        <v>64</v>
      </c>
      <c r="C177" s="5" t="s">
        <v>54</v>
      </c>
      <c r="D177" s="3">
        <v>8.0970499999999994</v>
      </c>
      <c r="E177" s="3">
        <v>8.0001800000000003</v>
      </c>
      <c r="F177" s="6">
        <f t="shared" si="26"/>
        <v>-9.6869999999999123E-2</v>
      </c>
      <c r="G177" s="6">
        <f t="shared" si="27"/>
        <v>-1.1963616378804519E-2</v>
      </c>
      <c r="H177" s="6" t="str">
        <f t="shared" si="28"/>
        <v>🔴 Under-injection</v>
      </c>
      <c r="I177" s="6">
        <f t="shared" si="29"/>
        <v>9.6869999999999123E-2</v>
      </c>
      <c r="J177" s="3">
        <v>2.0444</v>
      </c>
      <c r="K177" s="6">
        <f t="shared" si="30"/>
        <v>1.2145575</v>
      </c>
      <c r="L177" s="6">
        <f t="shared" si="31"/>
        <v>1.61941</v>
      </c>
      <c r="M177" s="6">
        <f t="shared" si="32"/>
        <v>9.6869999999999123E-2</v>
      </c>
      <c r="N177" s="6">
        <f t="shared" si="33"/>
        <v>0</v>
      </c>
      <c r="O177" s="6">
        <f t="shared" si="34"/>
        <v>0</v>
      </c>
      <c r="P177" s="6">
        <f t="shared" si="35"/>
        <v>51.985769849999528</v>
      </c>
      <c r="Q177" s="3">
        <v>51.985769849999997</v>
      </c>
      <c r="R177" s="6">
        <f t="shared" si="36"/>
        <v>-4.6895820560166612E-13</v>
      </c>
      <c r="S177" s="6" t="str">
        <f t="shared" si="37"/>
        <v>OK</v>
      </c>
    </row>
    <row r="178" spans="1:19" x14ac:dyDescent="0.25">
      <c r="A178" s="3" t="str">
        <f t="shared" si="38"/>
        <v>05.05.2026</v>
      </c>
      <c r="B178" s="5">
        <v>65</v>
      </c>
      <c r="C178" s="5" t="s">
        <v>53</v>
      </c>
      <c r="D178" s="3">
        <v>8.0970499999999994</v>
      </c>
      <c r="E178" s="3">
        <v>8.0001800000000003</v>
      </c>
      <c r="F178" s="6">
        <f t="shared" si="26"/>
        <v>-9.6869999999999123E-2</v>
      </c>
      <c r="G178" s="6">
        <f t="shared" si="27"/>
        <v>-1.1963616378804519E-2</v>
      </c>
      <c r="H178" s="6" t="str">
        <f t="shared" si="28"/>
        <v>🔴 Under-injection</v>
      </c>
      <c r="I178" s="6">
        <f t="shared" si="29"/>
        <v>9.6869999999999123E-2</v>
      </c>
      <c r="J178" s="3">
        <v>1.8913</v>
      </c>
      <c r="K178" s="6">
        <f t="shared" si="30"/>
        <v>1.2145575</v>
      </c>
      <c r="L178" s="6">
        <f t="shared" si="31"/>
        <v>1.61941</v>
      </c>
      <c r="M178" s="6">
        <f t="shared" si="32"/>
        <v>9.6869999999999123E-2</v>
      </c>
      <c r="N178" s="6">
        <f t="shared" si="33"/>
        <v>0</v>
      </c>
      <c r="O178" s="6">
        <f t="shared" si="34"/>
        <v>0</v>
      </c>
      <c r="P178" s="6">
        <f t="shared" si="35"/>
        <v>48.092685637499564</v>
      </c>
      <c r="Q178" s="3">
        <v>48.092685637499997</v>
      </c>
      <c r="R178" s="6">
        <f t="shared" si="36"/>
        <v>-4.3343106881366111E-13</v>
      </c>
      <c r="S178" s="6" t="str">
        <f t="shared" si="37"/>
        <v>OK</v>
      </c>
    </row>
    <row r="179" spans="1:19" x14ac:dyDescent="0.25">
      <c r="A179" s="3" t="str">
        <f t="shared" si="38"/>
        <v>05.05.2026</v>
      </c>
      <c r="B179" s="5">
        <v>66</v>
      </c>
      <c r="C179" s="5" t="s">
        <v>52</v>
      </c>
      <c r="D179" s="3">
        <v>8.0970499999999994</v>
      </c>
      <c r="E179" s="3">
        <v>8.0001800000000003</v>
      </c>
      <c r="F179" s="6">
        <f t="shared" si="26"/>
        <v>-9.6869999999999123E-2</v>
      </c>
      <c r="G179" s="6">
        <f t="shared" si="27"/>
        <v>-1.1963616378804519E-2</v>
      </c>
      <c r="H179" s="6" t="str">
        <f t="shared" si="28"/>
        <v>🔴 Under-injection</v>
      </c>
      <c r="I179" s="6">
        <f t="shared" si="29"/>
        <v>9.6869999999999123E-2</v>
      </c>
      <c r="J179" s="3">
        <v>1.7333000000000001</v>
      </c>
      <c r="K179" s="6">
        <f t="shared" si="30"/>
        <v>1.2145575</v>
      </c>
      <c r="L179" s="6">
        <f t="shared" si="31"/>
        <v>1.61941</v>
      </c>
      <c r="M179" s="6">
        <f t="shared" si="32"/>
        <v>9.6869999999999123E-2</v>
      </c>
      <c r="N179" s="6">
        <f t="shared" si="33"/>
        <v>0</v>
      </c>
      <c r="O179" s="6">
        <f t="shared" si="34"/>
        <v>0</v>
      </c>
      <c r="P179" s="6">
        <f t="shared" si="35"/>
        <v>44.075002387499602</v>
      </c>
      <c r="Q179" s="3">
        <v>44.0750023875</v>
      </c>
      <c r="R179" s="6">
        <f t="shared" si="36"/>
        <v>-3.979039320256561E-13</v>
      </c>
      <c r="S179" s="6" t="str">
        <f t="shared" si="37"/>
        <v>OK</v>
      </c>
    </row>
    <row r="180" spans="1:19" x14ac:dyDescent="0.25">
      <c r="A180" s="3" t="str">
        <f t="shared" si="38"/>
        <v>05.05.2026</v>
      </c>
      <c r="B180" s="5">
        <v>67</v>
      </c>
      <c r="C180" s="5" t="s">
        <v>51</v>
      </c>
      <c r="D180" s="3">
        <v>8.0970499999999994</v>
      </c>
      <c r="E180" s="3">
        <v>8.0001800000000003</v>
      </c>
      <c r="F180" s="6">
        <f t="shared" si="26"/>
        <v>-9.6869999999999123E-2</v>
      </c>
      <c r="G180" s="6">
        <f t="shared" si="27"/>
        <v>-1.1963616378804519E-2</v>
      </c>
      <c r="H180" s="6" t="str">
        <f t="shared" si="28"/>
        <v>🔴 Under-injection</v>
      </c>
      <c r="I180" s="6">
        <f t="shared" si="29"/>
        <v>9.6869999999999123E-2</v>
      </c>
      <c r="J180" s="3">
        <v>1.9213999999999998</v>
      </c>
      <c r="K180" s="6">
        <f t="shared" si="30"/>
        <v>1.2145575</v>
      </c>
      <c r="L180" s="6">
        <f t="shared" si="31"/>
        <v>1.61941</v>
      </c>
      <c r="M180" s="6">
        <f t="shared" si="32"/>
        <v>9.6869999999999123E-2</v>
      </c>
      <c r="N180" s="6">
        <f t="shared" si="33"/>
        <v>0</v>
      </c>
      <c r="O180" s="6">
        <f t="shared" si="34"/>
        <v>0</v>
      </c>
      <c r="P180" s="6">
        <f t="shared" si="35"/>
        <v>48.858079724999556</v>
      </c>
      <c r="Q180" s="3">
        <v>48.858079724999996</v>
      </c>
      <c r="R180" s="6">
        <f t="shared" si="36"/>
        <v>-4.4053649617126212E-13</v>
      </c>
      <c r="S180" s="6" t="str">
        <f t="shared" si="37"/>
        <v>OK</v>
      </c>
    </row>
    <row r="181" spans="1:19" x14ac:dyDescent="0.25">
      <c r="A181" s="3" t="str">
        <f t="shared" si="38"/>
        <v>05.05.2026</v>
      </c>
      <c r="B181" s="5">
        <v>68</v>
      </c>
      <c r="C181" s="5" t="s">
        <v>50</v>
      </c>
      <c r="D181" s="3">
        <v>8.0970499999999994</v>
      </c>
      <c r="E181" s="3">
        <v>8.0001800000000003</v>
      </c>
      <c r="F181" s="6">
        <f t="shared" si="26"/>
        <v>-9.6869999999999123E-2</v>
      </c>
      <c r="G181" s="6">
        <f t="shared" si="27"/>
        <v>-1.1963616378804519E-2</v>
      </c>
      <c r="H181" s="6" t="str">
        <f t="shared" si="28"/>
        <v>🔴 Under-injection</v>
      </c>
      <c r="I181" s="6">
        <f t="shared" si="29"/>
        <v>9.6869999999999123E-2</v>
      </c>
      <c r="J181" s="3">
        <v>1.9579</v>
      </c>
      <c r="K181" s="6">
        <f t="shared" si="30"/>
        <v>1.2145575</v>
      </c>
      <c r="L181" s="6">
        <f t="shared" si="31"/>
        <v>1.61941</v>
      </c>
      <c r="M181" s="6">
        <f t="shared" si="32"/>
        <v>9.6869999999999123E-2</v>
      </c>
      <c r="N181" s="6">
        <f t="shared" si="33"/>
        <v>0</v>
      </c>
      <c r="O181" s="6">
        <f t="shared" si="34"/>
        <v>0</v>
      </c>
      <c r="P181" s="6">
        <f t="shared" si="35"/>
        <v>49.786215412499551</v>
      </c>
      <c r="Q181" s="3">
        <v>49.786215412500006</v>
      </c>
      <c r="R181" s="6">
        <f t="shared" si="36"/>
        <v>-4.5474735088646412E-13</v>
      </c>
      <c r="S181" s="6" t="str">
        <f t="shared" si="37"/>
        <v>OK</v>
      </c>
    </row>
    <row r="182" spans="1:19" x14ac:dyDescent="0.25">
      <c r="A182" s="3" t="str">
        <f t="shared" si="38"/>
        <v>05.05.2026</v>
      </c>
      <c r="B182" s="5">
        <v>69</v>
      </c>
      <c r="C182" s="5" t="s">
        <v>49</v>
      </c>
      <c r="D182" s="3">
        <v>8.0970499999999994</v>
      </c>
      <c r="E182" s="3">
        <v>8.0001800000000003</v>
      </c>
      <c r="F182" s="6">
        <f t="shared" si="26"/>
        <v>-9.6869999999999123E-2</v>
      </c>
      <c r="G182" s="6">
        <f t="shared" si="27"/>
        <v>-1.1963616378804519E-2</v>
      </c>
      <c r="H182" s="6" t="str">
        <f t="shared" si="28"/>
        <v>🔴 Under-injection</v>
      </c>
      <c r="I182" s="6">
        <f t="shared" si="29"/>
        <v>9.6869999999999123E-2</v>
      </c>
      <c r="J182" s="3">
        <v>2.1187999999999998</v>
      </c>
      <c r="K182" s="6">
        <f t="shared" si="30"/>
        <v>1.2145575</v>
      </c>
      <c r="L182" s="6">
        <f t="shared" si="31"/>
        <v>1.61941</v>
      </c>
      <c r="M182" s="6">
        <f t="shared" si="32"/>
        <v>9.6869999999999123E-2</v>
      </c>
      <c r="N182" s="6">
        <f t="shared" si="33"/>
        <v>0</v>
      </c>
      <c r="O182" s="6">
        <f t="shared" si="34"/>
        <v>0</v>
      </c>
      <c r="P182" s="6">
        <f t="shared" si="35"/>
        <v>53.87764094999951</v>
      </c>
      <c r="Q182" s="3">
        <v>53.877640949999993</v>
      </c>
      <c r="R182" s="6">
        <f t="shared" si="36"/>
        <v>-4.8316906031686813E-13</v>
      </c>
      <c r="S182" s="6" t="str">
        <f t="shared" si="37"/>
        <v>OK</v>
      </c>
    </row>
    <row r="183" spans="1:19" x14ac:dyDescent="0.25">
      <c r="A183" s="3" t="str">
        <f t="shared" si="38"/>
        <v>05.05.2026</v>
      </c>
      <c r="B183" s="5">
        <v>70</v>
      </c>
      <c r="C183" s="5" t="s">
        <v>48</v>
      </c>
      <c r="D183" s="3">
        <v>8.0970499999999994</v>
      </c>
      <c r="E183" s="3">
        <v>8.0001800000000003</v>
      </c>
      <c r="F183" s="6">
        <f t="shared" si="26"/>
        <v>-9.6869999999999123E-2</v>
      </c>
      <c r="G183" s="6">
        <f t="shared" si="27"/>
        <v>-1.1963616378804519E-2</v>
      </c>
      <c r="H183" s="6" t="str">
        <f t="shared" si="28"/>
        <v>🔴 Under-injection</v>
      </c>
      <c r="I183" s="6">
        <f t="shared" si="29"/>
        <v>9.6869999999999123E-2</v>
      </c>
      <c r="J183" s="3">
        <v>2.3513000000000002</v>
      </c>
      <c r="K183" s="6">
        <f t="shared" si="30"/>
        <v>1.2145575</v>
      </c>
      <c r="L183" s="6">
        <f t="shared" si="31"/>
        <v>1.61941</v>
      </c>
      <c r="M183" s="6">
        <f t="shared" si="32"/>
        <v>9.6869999999999123E-2</v>
      </c>
      <c r="N183" s="6">
        <f t="shared" si="33"/>
        <v>0</v>
      </c>
      <c r="O183" s="6">
        <f t="shared" si="34"/>
        <v>0</v>
      </c>
      <c r="P183" s="6">
        <f t="shared" si="35"/>
        <v>59.789738137499462</v>
      </c>
      <c r="Q183" s="3">
        <v>59.789738137500002</v>
      </c>
      <c r="R183" s="6">
        <f t="shared" si="36"/>
        <v>-5.4001247917767614E-13</v>
      </c>
      <c r="S183" s="6" t="str">
        <f t="shared" si="37"/>
        <v>OK</v>
      </c>
    </row>
    <row r="184" spans="1:19" x14ac:dyDescent="0.25">
      <c r="A184" s="3" t="str">
        <f t="shared" si="38"/>
        <v>05.05.2026</v>
      </c>
      <c r="B184" s="5">
        <v>71</v>
      </c>
      <c r="C184" s="5" t="s">
        <v>47</v>
      </c>
      <c r="D184" s="3">
        <v>8.0970499999999994</v>
      </c>
      <c r="E184" s="3">
        <v>8.0001800000000003</v>
      </c>
      <c r="F184" s="6">
        <f t="shared" si="26"/>
        <v>-9.6869999999999123E-2</v>
      </c>
      <c r="G184" s="6">
        <f t="shared" si="27"/>
        <v>-1.1963616378804519E-2</v>
      </c>
      <c r="H184" s="6" t="str">
        <f t="shared" si="28"/>
        <v>🔴 Under-injection</v>
      </c>
      <c r="I184" s="6">
        <f t="shared" si="29"/>
        <v>9.6869999999999123E-2</v>
      </c>
      <c r="J184" s="3">
        <v>2.9459</v>
      </c>
      <c r="K184" s="6">
        <f t="shared" si="30"/>
        <v>1.2145575</v>
      </c>
      <c r="L184" s="6">
        <f t="shared" si="31"/>
        <v>1.61941</v>
      </c>
      <c r="M184" s="6">
        <f t="shared" si="32"/>
        <v>9.6869999999999123E-2</v>
      </c>
      <c r="N184" s="6">
        <f t="shared" si="33"/>
        <v>0</v>
      </c>
      <c r="O184" s="6">
        <f t="shared" si="34"/>
        <v>0</v>
      </c>
      <c r="P184" s="6">
        <f t="shared" si="35"/>
        <v>74.909449912499326</v>
      </c>
      <c r="Q184" s="3">
        <v>74.909449912499994</v>
      </c>
      <c r="R184" s="6">
        <f t="shared" si="36"/>
        <v>-6.6791017161449417E-13</v>
      </c>
      <c r="S184" s="6" t="str">
        <f t="shared" si="37"/>
        <v>OK</v>
      </c>
    </row>
    <row r="185" spans="1:19" x14ac:dyDescent="0.25">
      <c r="A185" s="3" t="str">
        <f t="shared" si="38"/>
        <v>05.05.2026</v>
      </c>
      <c r="B185" s="5">
        <v>72</v>
      </c>
      <c r="C185" s="5" t="s">
        <v>46</v>
      </c>
      <c r="D185" s="3">
        <v>8.0970499999999994</v>
      </c>
      <c r="E185" s="3">
        <v>8.0001800000000003</v>
      </c>
      <c r="F185" s="6">
        <f t="shared" si="26"/>
        <v>-9.6869999999999123E-2</v>
      </c>
      <c r="G185" s="6">
        <f t="shared" si="27"/>
        <v>-1.1963616378804519E-2</v>
      </c>
      <c r="H185" s="6" t="str">
        <f t="shared" si="28"/>
        <v>🔴 Under-injection</v>
      </c>
      <c r="I185" s="6">
        <f t="shared" si="29"/>
        <v>9.6869999999999123E-2</v>
      </c>
      <c r="J185" s="3">
        <v>3.1793999999999998</v>
      </c>
      <c r="K185" s="6">
        <f t="shared" si="30"/>
        <v>1.2145575</v>
      </c>
      <c r="L185" s="6">
        <f t="shared" si="31"/>
        <v>1.61941</v>
      </c>
      <c r="M185" s="6">
        <f t="shared" si="32"/>
        <v>9.6869999999999123E-2</v>
      </c>
      <c r="N185" s="6">
        <f t="shared" si="33"/>
        <v>0</v>
      </c>
      <c r="O185" s="6">
        <f t="shared" si="34"/>
        <v>0</v>
      </c>
      <c r="P185" s="6">
        <f t="shared" si="35"/>
        <v>80.846975474999269</v>
      </c>
      <c r="Q185" s="3">
        <v>80.846975474999994</v>
      </c>
      <c r="R185" s="6">
        <f t="shared" si="36"/>
        <v>-7.2475359047530219E-13</v>
      </c>
      <c r="S185" s="6" t="str">
        <f t="shared" si="37"/>
        <v>OK</v>
      </c>
    </row>
    <row r="186" spans="1:19" x14ac:dyDescent="0.25">
      <c r="A186" s="3" t="str">
        <f t="shared" si="38"/>
        <v>05.05.2026</v>
      </c>
      <c r="B186" s="5">
        <v>73</v>
      </c>
      <c r="C186" s="5" t="s">
        <v>45</v>
      </c>
      <c r="D186" s="3">
        <v>8.0970499999999994</v>
      </c>
      <c r="E186" s="3">
        <v>8.0001800000000003</v>
      </c>
      <c r="F186" s="6">
        <f t="shared" si="26"/>
        <v>-9.6869999999999123E-2</v>
      </c>
      <c r="G186" s="6">
        <f t="shared" si="27"/>
        <v>-1.1963616378804519E-2</v>
      </c>
      <c r="H186" s="6" t="str">
        <f t="shared" si="28"/>
        <v>🔴 Under-injection</v>
      </c>
      <c r="I186" s="6">
        <f t="shared" si="29"/>
        <v>9.6869999999999123E-2</v>
      </c>
      <c r="J186" s="3">
        <v>3.5274999999999999</v>
      </c>
      <c r="K186" s="6">
        <f t="shared" si="30"/>
        <v>1.2145575</v>
      </c>
      <c r="L186" s="6">
        <f t="shared" si="31"/>
        <v>1.61941</v>
      </c>
      <c r="M186" s="6">
        <f t="shared" si="32"/>
        <v>9.6869999999999123E-2</v>
      </c>
      <c r="N186" s="6">
        <f t="shared" si="33"/>
        <v>0</v>
      </c>
      <c r="O186" s="6">
        <f t="shared" si="34"/>
        <v>0</v>
      </c>
      <c r="P186" s="6">
        <f t="shared" si="35"/>
        <v>89.698592812499186</v>
      </c>
      <c r="Q186" s="3">
        <v>89.69859281250001</v>
      </c>
      <c r="R186" s="6">
        <f t="shared" si="36"/>
        <v>-8.2422957348171622E-13</v>
      </c>
      <c r="S186" s="6" t="str">
        <f t="shared" si="37"/>
        <v>OK</v>
      </c>
    </row>
    <row r="187" spans="1:19" x14ac:dyDescent="0.25">
      <c r="A187" s="3" t="str">
        <f t="shared" si="38"/>
        <v>05.05.2026</v>
      </c>
      <c r="B187" s="5">
        <v>74</v>
      </c>
      <c r="C187" s="5" t="s">
        <v>44</v>
      </c>
      <c r="D187" s="3">
        <v>8.0970499999999994</v>
      </c>
      <c r="E187" s="3">
        <v>8.0115300000000005</v>
      </c>
      <c r="F187" s="6">
        <f t="shared" si="26"/>
        <v>-8.551999999999893E-2</v>
      </c>
      <c r="G187" s="6">
        <f t="shared" si="27"/>
        <v>-1.0561871298806223E-2</v>
      </c>
      <c r="H187" s="6" t="str">
        <f t="shared" si="28"/>
        <v>🔴 Under-injection</v>
      </c>
      <c r="I187" s="6">
        <f t="shared" si="29"/>
        <v>8.551999999999893E-2</v>
      </c>
      <c r="J187" s="3">
        <v>3.7681999999999998</v>
      </c>
      <c r="K187" s="6">
        <f t="shared" si="30"/>
        <v>1.2145575</v>
      </c>
      <c r="L187" s="6">
        <f t="shared" si="31"/>
        <v>1.61941</v>
      </c>
      <c r="M187" s="6">
        <f t="shared" si="32"/>
        <v>8.551999999999893E-2</v>
      </c>
      <c r="N187" s="6">
        <f t="shared" si="33"/>
        <v>0</v>
      </c>
      <c r="O187" s="6">
        <f t="shared" si="34"/>
        <v>0</v>
      </c>
      <c r="P187" s="6">
        <f t="shared" si="35"/>
        <v>84.592321799998942</v>
      </c>
      <c r="Q187" s="3">
        <v>84.592321799999993</v>
      </c>
      <c r="R187" s="6">
        <f t="shared" si="36"/>
        <v>-1.0516032489249483E-12</v>
      </c>
      <c r="S187" s="6" t="str">
        <f t="shared" si="37"/>
        <v>OK</v>
      </c>
    </row>
    <row r="188" spans="1:19" x14ac:dyDescent="0.25">
      <c r="A188" s="3" t="str">
        <f t="shared" si="38"/>
        <v>05.05.2026</v>
      </c>
      <c r="B188" s="5">
        <v>75</v>
      </c>
      <c r="C188" s="5" t="s">
        <v>43</v>
      </c>
      <c r="D188" s="3">
        <v>8.0970499999999994</v>
      </c>
      <c r="E188" s="3">
        <v>8.0001800000000003</v>
      </c>
      <c r="F188" s="6">
        <f t="shared" si="26"/>
        <v>-9.6869999999999123E-2</v>
      </c>
      <c r="G188" s="6">
        <f t="shared" si="27"/>
        <v>-1.1963616378804519E-2</v>
      </c>
      <c r="H188" s="6" t="str">
        <f t="shared" si="28"/>
        <v>🔴 Under-injection</v>
      </c>
      <c r="I188" s="6">
        <f t="shared" si="29"/>
        <v>9.6869999999999123E-2</v>
      </c>
      <c r="J188" s="3">
        <v>4.7770000000000001</v>
      </c>
      <c r="K188" s="6">
        <f t="shared" si="30"/>
        <v>1.2145575</v>
      </c>
      <c r="L188" s="6">
        <f t="shared" si="31"/>
        <v>1.61941</v>
      </c>
      <c r="M188" s="6">
        <f t="shared" si="32"/>
        <v>9.6869999999999123E-2</v>
      </c>
      <c r="N188" s="6">
        <f t="shared" si="33"/>
        <v>0</v>
      </c>
      <c r="O188" s="6">
        <f t="shared" si="34"/>
        <v>0</v>
      </c>
      <c r="P188" s="6">
        <f t="shared" si="35"/>
        <v>121.47134737499891</v>
      </c>
      <c r="Q188" s="3">
        <v>121.47134737500001</v>
      </c>
      <c r="R188" s="6">
        <f t="shared" si="36"/>
        <v>-1.0942358130705543E-12</v>
      </c>
      <c r="S188" s="6" t="str">
        <f t="shared" si="37"/>
        <v>OK</v>
      </c>
    </row>
    <row r="189" spans="1:19" x14ac:dyDescent="0.25">
      <c r="A189" s="3" t="str">
        <f t="shared" si="38"/>
        <v>05.05.2026</v>
      </c>
      <c r="B189" s="5">
        <v>76</v>
      </c>
      <c r="C189" s="5" t="s">
        <v>42</v>
      </c>
      <c r="D189" s="3">
        <v>8.0970499999999994</v>
      </c>
      <c r="E189" s="3">
        <v>8.0115300000000005</v>
      </c>
      <c r="F189" s="6">
        <f t="shared" si="26"/>
        <v>-8.551999999999893E-2</v>
      </c>
      <c r="G189" s="6">
        <f t="shared" si="27"/>
        <v>-1.0561871298806223E-2</v>
      </c>
      <c r="H189" s="6" t="str">
        <f t="shared" si="28"/>
        <v>🔴 Under-injection</v>
      </c>
      <c r="I189" s="6">
        <f t="shared" si="29"/>
        <v>8.551999999999893E-2</v>
      </c>
      <c r="J189" s="3">
        <v>5.2088999999999999</v>
      </c>
      <c r="K189" s="6">
        <f t="shared" si="30"/>
        <v>1.2145575</v>
      </c>
      <c r="L189" s="6">
        <f t="shared" si="31"/>
        <v>1.61941</v>
      </c>
      <c r="M189" s="6">
        <f t="shared" si="32"/>
        <v>8.551999999999893E-2</v>
      </c>
      <c r="N189" s="6">
        <f t="shared" si="33"/>
        <v>0</v>
      </c>
      <c r="O189" s="6">
        <f t="shared" si="34"/>
        <v>0</v>
      </c>
      <c r="P189" s="6">
        <f t="shared" si="35"/>
        <v>116.93459609999854</v>
      </c>
      <c r="Q189" s="3">
        <v>116.93459609999999</v>
      </c>
      <c r="R189" s="6">
        <f t="shared" si="36"/>
        <v>-1.4495071809506044E-12</v>
      </c>
      <c r="S189" s="6" t="str">
        <f t="shared" si="37"/>
        <v>OK</v>
      </c>
    </row>
    <row r="190" spans="1:19" x14ac:dyDescent="0.25">
      <c r="A190" s="3" t="str">
        <f t="shared" si="38"/>
        <v>05.05.2026</v>
      </c>
      <c r="B190" s="5">
        <v>77</v>
      </c>
      <c r="C190" s="5" t="s">
        <v>41</v>
      </c>
      <c r="D190" s="3">
        <v>8.0970499999999994</v>
      </c>
      <c r="E190" s="3">
        <v>8.0115300000000005</v>
      </c>
      <c r="F190" s="6">
        <f t="shared" si="26"/>
        <v>-8.551999999999893E-2</v>
      </c>
      <c r="G190" s="6">
        <f t="shared" si="27"/>
        <v>-1.0561871298806223E-2</v>
      </c>
      <c r="H190" s="6" t="str">
        <f t="shared" si="28"/>
        <v>🔴 Under-injection</v>
      </c>
      <c r="I190" s="6">
        <f t="shared" si="29"/>
        <v>8.551999999999893E-2</v>
      </c>
      <c r="J190" s="3">
        <v>5.9903999999999993</v>
      </c>
      <c r="K190" s="6">
        <f t="shared" si="30"/>
        <v>1.2145575</v>
      </c>
      <c r="L190" s="6">
        <f t="shared" si="31"/>
        <v>1.61941</v>
      </c>
      <c r="M190" s="6">
        <f t="shared" si="32"/>
        <v>8.551999999999893E-2</v>
      </c>
      <c r="N190" s="6">
        <f t="shared" si="33"/>
        <v>0</v>
      </c>
      <c r="O190" s="6">
        <f t="shared" si="34"/>
        <v>0</v>
      </c>
      <c r="P190" s="6">
        <f t="shared" si="35"/>
        <v>134.47848959999831</v>
      </c>
      <c r="Q190" s="3">
        <v>134.47848959999999</v>
      </c>
      <c r="R190" s="6">
        <f t="shared" si="36"/>
        <v>-1.6768808563938364E-12</v>
      </c>
      <c r="S190" s="6" t="str">
        <f t="shared" si="37"/>
        <v>OK</v>
      </c>
    </row>
    <row r="191" spans="1:19" x14ac:dyDescent="0.25">
      <c r="A191" s="3" t="str">
        <f t="shared" si="38"/>
        <v>05.05.2026</v>
      </c>
      <c r="B191" s="5">
        <v>78</v>
      </c>
      <c r="C191" s="5" t="s">
        <v>40</v>
      </c>
      <c r="D191" s="3">
        <v>8.0970499999999994</v>
      </c>
      <c r="E191" s="3">
        <v>8.0001800000000003</v>
      </c>
      <c r="F191" s="6">
        <f t="shared" si="26"/>
        <v>-9.6869999999999123E-2</v>
      </c>
      <c r="G191" s="6">
        <f t="shared" si="27"/>
        <v>-1.1963616378804519E-2</v>
      </c>
      <c r="H191" s="6" t="str">
        <f t="shared" si="28"/>
        <v>🔴 Under-injection</v>
      </c>
      <c r="I191" s="6">
        <f t="shared" si="29"/>
        <v>9.6869999999999123E-2</v>
      </c>
      <c r="J191" s="3">
        <v>5.9905999999999997</v>
      </c>
      <c r="K191" s="6">
        <f t="shared" si="30"/>
        <v>1.2145575</v>
      </c>
      <c r="L191" s="6">
        <f t="shared" si="31"/>
        <v>1.61941</v>
      </c>
      <c r="M191" s="6">
        <f t="shared" si="32"/>
        <v>9.6869999999999123E-2</v>
      </c>
      <c r="N191" s="6">
        <f t="shared" si="33"/>
        <v>0</v>
      </c>
      <c r="O191" s="6">
        <f t="shared" si="34"/>
        <v>0</v>
      </c>
      <c r="P191" s="6">
        <f t="shared" si="35"/>
        <v>152.33122327499862</v>
      </c>
      <c r="Q191" s="3">
        <v>152.33122327499999</v>
      </c>
      <c r="R191" s="6">
        <f t="shared" si="36"/>
        <v>-1.3642420526593924E-12</v>
      </c>
      <c r="S191" s="6" t="str">
        <f t="shared" si="37"/>
        <v>OK</v>
      </c>
    </row>
    <row r="192" spans="1:19" x14ac:dyDescent="0.25">
      <c r="A192" s="3" t="str">
        <f t="shared" si="38"/>
        <v>05.05.2026</v>
      </c>
      <c r="B192" s="5">
        <v>79</v>
      </c>
      <c r="C192" s="5" t="s">
        <v>39</v>
      </c>
      <c r="D192" s="3">
        <v>8.0970499999999994</v>
      </c>
      <c r="E192" s="3">
        <v>7.9888399999999997</v>
      </c>
      <c r="F192" s="6">
        <f t="shared" si="26"/>
        <v>-0.1082099999999997</v>
      </c>
      <c r="G192" s="6">
        <f t="shared" si="27"/>
        <v>-1.3364126441111233E-2</v>
      </c>
      <c r="H192" s="6" t="str">
        <f t="shared" si="28"/>
        <v>🔴 Under-injection</v>
      </c>
      <c r="I192" s="6">
        <f t="shared" si="29"/>
        <v>0.1082099999999997</v>
      </c>
      <c r="J192" s="3">
        <v>5.9901999999999997</v>
      </c>
      <c r="K192" s="6">
        <f t="shared" si="30"/>
        <v>1.2145575</v>
      </c>
      <c r="L192" s="6">
        <f t="shared" si="31"/>
        <v>1.61941</v>
      </c>
      <c r="M192" s="6">
        <f t="shared" si="32"/>
        <v>0.1082099999999997</v>
      </c>
      <c r="N192" s="6">
        <f t="shared" si="33"/>
        <v>0</v>
      </c>
      <c r="O192" s="6">
        <f t="shared" si="34"/>
        <v>0</v>
      </c>
      <c r="P192" s="6">
        <f t="shared" si="35"/>
        <v>170.1523797749995</v>
      </c>
      <c r="Q192" s="3">
        <v>170.15237977500001</v>
      </c>
      <c r="R192" s="6">
        <f t="shared" si="36"/>
        <v>-5.1159076974727213E-13</v>
      </c>
      <c r="S192" s="6" t="str">
        <f t="shared" si="37"/>
        <v>OK</v>
      </c>
    </row>
    <row r="193" spans="1:19" x14ac:dyDescent="0.25">
      <c r="A193" s="3" t="str">
        <f t="shared" si="38"/>
        <v>05.05.2026</v>
      </c>
      <c r="B193" s="5">
        <v>80</v>
      </c>
      <c r="C193" s="5" t="s">
        <v>38</v>
      </c>
      <c r="D193" s="3">
        <v>8.0970499999999994</v>
      </c>
      <c r="E193" s="3">
        <v>8.0001800000000003</v>
      </c>
      <c r="F193" s="6">
        <f t="shared" si="26"/>
        <v>-9.6869999999999123E-2</v>
      </c>
      <c r="G193" s="6">
        <f t="shared" si="27"/>
        <v>-1.1963616378804519E-2</v>
      </c>
      <c r="H193" s="6" t="str">
        <f t="shared" si="28"/>
        <v>🔴 Under-injection</v>
      </c>
      <c r="I193" s="6">
        <f t="shared" si="29"/>
        <v>9.6869999999999123E-2</v>
      </c>
      <c r="J193" s="3">
        <v>5.5142999999999995</v>
      </c>
      <c r="K193" s="6">
        <f t="shared" si="30"/>
        <v>1.2145575</v>
      </c>
      <c r="L193" s="6">
        <f t="shared" si="31"/>
        <v>1.61941</v>
      </c>
      <c r="M193" s="6">
        <f t="shared" si="32"/>
        <v>9.6869999999999123E-2</v>
      </c>
      <c r="N193" s="6">
        <f t="shared" si="33"/>
        <v>0</v>
      </c>
      <c r="O193" s="6">
        <f t="shared" si="34"/>
        <v>0</v>
      </c>
      <c r="P193" s="6">
        <f t="shared" si="35"/>
        <v>140.21968826249872</v>
      </c>
      <c r="Q193" s="3">
        <v>140.21968826249997</v>
      </c>
      <c r="R193" s="6">
        <f t="shared" si="36"/>
        <v>-1.2505552149377763E-12</v>
      </c>
      <c r="S193" s="6" t="str">
        <f t="shared" si="37"/>
        <v>OK</v>
      </c>
    </row>
    <row r="194" spans="1:19" x14ac:dyDescent="0.25">
      <c r="A194" s="3" t="str">
        <f t="shared" si="38"/>
        <v>05.05.2026</v>
      </c>
      <c r="B194" s="5">
        <v>81</v>
      </c>
      <c r="C194" s="5" t="s">
        <v>37</v>
      </c>
      <c r="D194" s="3">
        <v>8.0970499999999994</v>
      </c>
      <c r="E194" s="3">
        <v>7.9888399999999997</v>
      </c>
      <c r="F194" s="6">
        <f t="shared" si="26"/>
        <v>-0.1082099999999997</v>
      </c>
      <c r="G194" s="6">
        <f t="shared" si="27"/>
        <v>-1.3364126441111233E-2</v>
      </c>
      <c r="H194" s="6" t="str">
        <f t="shared" si="28"/>
        <v>🔴 Under-injection</v>
      </c>
      <c r="I194" s="6">
        <f t="shared" si="29"/>
        <v>0.1082099999999997</v>
      </c>
      <c r="J194" s="3">
        <v>5.2652000000000001</v>
      </c>
      <c r="K194" s="6">
        <f t="shared" si="30"/>
        <v>1.2145575</v>
      </c>
      <c r="L194" s="6">
        <f t="shared" si="31"/>
        <v>1.61941</v>
      </c>
      <c r="M194" s="6">
        <f t="shared" si="32"/>
        <v>0.1082099999999997</v>
      </c>
      <c r="N194" s="6">
        <f t="shared" si="33"/>
        <v>0</v>
      </c>
      <c r="O194" s="6">
        <f t="shared" si="34"/>
        <v>0</v>
      </c>
      <c r="P194" s="6">
        <f t="shared" si="35"/>
        <v>149.55866414999957</v>
      </c>
      <c r="Q194" s="3">
        <v>149.55866415</v>
      </c>
      <c r="R194" s="6">
        <f t="shared" si="36"/>
        <v>-4.2632564145606011E-13</v>
      </c>
      <c r="S194" s="6" t="str">
        <f t="shared" si="37"/>
        <v>OK</v>
      </c>
    </row>
    <row r="195" spans="1:19" x14ac:dyDescent="0.25">
      <c r="A195" s="3" t="str">
        <f t="shared" si="38"/>
        <v>05.05.2026</v>
      </c>
      <c r="B195" s="5">
        <v>82</v>
      </c>
      <c r="C195" s="5" t="s">
        <v>36</v>
      </c>
      <c r="D195" s="3">
        <v>8.0970499999999994</v>
      </c>
      <c r="E195" s="3">
        <v>7.9888399999999997</v>
      </c>
      <c r="F195" s="6">
        <f t="shared" si="26"/>
        <v>-0.1082099999999997</v>
      </c>
      <c r="G195" s="6">
        <f t="shared" si="27"/>
        <v>-1.3364126441111233E-2</v>
      </c>
      <c r="H195" s="6" t="str">
        <f t="shared" si="28"/>
        <v>🔴 Under-injection</v>
      </c>
      <c r="I195" s="6">
        <f t="shared" si="29"/>
        <v>0.1082099999999997</v>
      </c>
      <c r="J195" s="3">
        <v>5.4109000000000007</v>
      </c>
      <c r="K195" s="6">
        <f t="shared" si="30"/>
        <v>1.2145575</v>
      </c>
      <c r="L195" s="6">
        <f t="shared" si="31"/>
        <v>1.61941</v>
      </c>
      <c r="M195" s="6">
        <f t="shared" si="32"/>
        <v>0.1082099999999997</v>
      </c>
      <c r="N195" s="6">
        <f t="shared" si="33"/>
        <v>0</v>
      </c>
      <c r="O195" s="6">
        <f t="shared" si="34"/>
        <v>0</v>
      </c>
      <c r="P195" s="6">
        <f t="shared" si="35"/>
        <v>153.69729086249959</v>
      </c>
      <c r="Q195" s="3">
        <v>153.69729086250004</v>
      </c>
      <c r="R195" s="6">
        <f t="shared" si="36"/>
        <v>-4.5474735088646412E-13</v>
      </c>
      <c r="S195" s="6" t="str">
        <f t="shared" si="37"/>
        <v>OK</v>
      </c>
    </row>
    <row r="196" spans="1:19" x14ac:dyDescent="0.25">
      <c r="A196" s="3" t="str">
        <f t="shared" si="38"/>
        <v>05.05.2026</v>
      </c>
      <c r="B196" s="5">
        <v>83</v>
      </c>
      <c r="C196" s="5" t="s">
        <v>35</v>
      </c>
      <c r="D196" s="3">
        <v>8.0970499999999994</v>
      </c>
      <c r="E196" s="3">
        <v>7.9888399999999997</v>
      </c>
      <c r="F196" s="6">
        <f t="shared" si="26"/>
        <v>-0.1082099999999997</v>
      </c>
      <c r="G196" s="6">
        <f t="shared" si="27"/>
        <v>-1.3364126441111233E-2</v>
      </c>
      <c r="H196" s="6" t="str">
        <f t="shared" si="28"/>
        <v>🔴 Under-injection</v>
      </c>
      <c r="I196" s="6">
        <f t="shared" si="29"/>
        <v>0.1082099999999997</v>
      </c>
      <c r="J196" s="3">
        <v>5.8120000000000003</v>
      </c>
      <c r="K196" s="6">
        <f t="shared" si="30"/>
        <v>1.2145575</v>
      </c>
      <c r="L196" s="6">
        <f t="shared" si="31"/>
        <v>1.61941</v>
      </c>
      <c r="M196" s="6">
        <f t="shared" si="32"/>
        <v>0.1082099999999997</v>
      </c>
      <c r="N196" s="6">
        <f t="shared" si="33"/>
        <v>0</v>
      </c>
      <c r="O196" s="6">
        <f t="shared" si="34"/>
        <v>0</v>
      </c>
      <c r="P196" s="6">
        <f t="shared" si="35"/>
        <v>165.09058649999955</v>
      </c>
      <c r="Q196" s="3">
        <v>165.09058650000003</v>
      </c>
      <c r="R196" s="6">
        <f t="shared" si="36"/>
        <v>-4.8316906031686813E-13</v>
      </c>
      <c r="S196" s="6" t="str">
        <f t="shared" si="37"/>
        <v>OK</v>
      </c>
    </row>
    <row r="197" spans="1:19" x14ac:dyDescent="0.25">
      <c r="A197" s="3" t="str">
        <f t="shared" si="38"/>
        <v>05.05.2026</v>
      </c>
      <c r="B197" s="5">
        <v>84</v>
      </c>
      <c r="C197" s="5" t="s">
        <v>34</v>
      </c>
      <c r="D197" s="3">
        <v>8.0970499999999994</v>
      </c>
      <c r="E197" s="3">
        <v>7.9888399999999997</v>
      </c>
      <c r="F197" s="6">
        <f t="shared" si="26"/>
        <v>-0.1082099999999997</v>
      </c>
      <c r="G197" s="6">
        <f t="shared" si="27"/>
        <v>-1.3364126441111233E-2</v>
      </c>
      <c r="H197" s="6" t="str">
        <f t="shared" si="28"/>
        <v>🔴 Under-injection</v>
      </c>
      <c r="I197" s="6">
        <f t="shared" si="29"/>
        <v>0.1082099999999997</v>
      </c>
      <c r="J197" s="3">
        <v>6.0050999999999997</v>
      </c>
      <c r="K197" s="6">
        <f t="shared" si="30"/>
        <v>1.2145575</v>
      </c>
      <c r="L197" s="6">
        <f t="shared" si="31"/>
        <v>1.61941</v>
      </c>
      <c r="M197" s="6">
        <f t="shared" si="32"/>
        <v>0.1082099999999997</v>
      </c>
      <c r="N197" s="6">
        <f t="shared" si="33"/>
        <v>0</v>
      </c>
      <c r="O197" s="6">
        <f t="shared" si="34"/>
        <v>0</v>
      </c>
      <c r="P197" s="6">
        <f t="shared" si="35"/>
        <v>170.57561613749951</v>
      </c>
      <c r="Q197" s="3">
        <v>170.57561613749999</v>
      </c>
      <c r="R197" s="6">
        <f t="shared" si="36"/>
        <v>-4.8316906031686813E-13</v>
      </c>
      <c r="S197" s="6" t="str">
        <f t="shared" si="37"/>
        <v>OK</v>
      </c>
    </row>
    <row r="198" spans="1:19" x14ac:dyDescent="0.25">
      <c r="A198" s="3" t="str">
        <f t="shared" si="38"/>
        <v>05.05.2026</v>
      </c>
      <c r="B198" s="5">
        <v>85</v>
      </c>
      <c r="C198" s="5" t="s">
        <v>33</v>
      </c>
      <c r="D198" s="3">
        <v>7.7970499999999996</v>
      </c>
      <c r="E198" s="3">
        <v>7.9888399999999997</v>
      </c>
      <c r="F198" s="6">
        <f t="shared" si="26"/>
        <v>0.19179000000000013</v>
      </c>
      <c r="G198" s="6">
        <f t="shared" si="27"/>
        <v>2.4597764539152647E-2</v>
      </c>
      <c r="H198" s="6" t="str">
        <f t="shared" si="28"/>
        <v>🟢 Over-injection</v>
      </c>
      <c r="I198" s="6">
        <f t="shared" si="29"/>
        <v>-0.19179000000000013</v>
      </c>
      <c r="J198" s="3">
        <v>5.6149000000000004</v>
      </c>
      <c r="K198" s="6">
        <f t="shared" si="30"/>
        <v>1.1695574999999998</v>
      </c>
      <c r="L198" s="6">
        <f t="shared" si="31"/>
        <v>1.55941</v>
      </c>
      <c r="M198" s="6">
        <f t="shared" si="32"/>
        <v>0.19179000000000013</v>
      </c>
      <c r="N198" s="6">
        <f t="shared" si="33"/>
        <v>0</v>
      </c>
      <c r="O198" s="6">
        <f t="shared" si="34"/>
        <v>0</v>
      </c>
      <c r="P198" s="6">
        <f t="shared" si="35"/>
        <v>-215.37633420000017</v>
      </c>
      <c r="Q198" s="3">
        <v>-215.3763342</v>
      </c>
      <c r="R198" s="6">
        <f t="shared" si="36"/>
        <v>0</v>
      </c>
      <c r="S198" s="6" t="str">
        <f t="shared" si="37"/>
        <v>OK</v>
      </c>
    </row>
    <row r="199" spans="1:19" x14ac:dyDescent="0.25">
      <c r="A199" s="3" t="str">
        <f t="shared" si="38"/>
        <v>05.05.2026</v>
      </c>
      <c r="B199" s="5">
        <v>86</v>
      </c>
      <c r="C199" s="5" t="s">
        <v>32</v>
      </c>
      <c r="D199" s="3">
        <v>7.7970499999999996</v>
      </c>
      <c r="E199" s="3">
        <v>7.9888399999999997</v>
      </c>
      <c r="F199" s="6">
        <f t="shared" si="26"/>
        <v>0.19179000000000013</v>
      </c>
      <c r="G199" s="6">
        <f t="shared" si="27"/>
        <v>2.4597764539152647E-2</v>
      </c>
      <c r="H199" s="6" t="str">
        <f t="shared" si="28"/>
        <v>🟢 Over-injection</v>
      </c>
      <c r="I199" s="6">
        <f t="shared" si="29"/>
        <v>-0.19179000000000013</v>
      </c>
      <c r="J199" s="3">
        <v>5.8130999999999995</v>
      </c>
      <c r="K199" s="6">
        <f t="shared" si="30"/>
        <v>1.1695574999999998</v>
      </c>
      <c r="L199" s="6">
        <f t="shared" si="31"/>
        <v>1.55941</v>
      </c>
      <c r="M199" s="6">
        <f t="shared" si="32"/>
        <v>0.19179000000000013</v>
      </c>
      <c r="N199" s="6">
        <f t="shared" si="33"/>
        <v>0</v>
      </c>
      <c r="O199" s="6">
        <f t="shared" si="34"/>
        <v>0</v>
      </c>
      <c r="P199" s="6">
        <f t="shared" si="35"/>
        <v>-222.97888980000016</v>
      </c>
      <c r="Q199" s="3">
        <v>-222.97888979999999</v>
      </c>
      <c r="R199" s="6">
        <f t="shared" si="36"/>
        <v>0</v>
      </c>
      <c r="S199" s="6" t="str">
        <f t="shared" si="37"/>
        <v>OK</v>
      </c>
    </row>
    <row r="200" spans="1:19" x14ac:dyDescent="0.25">
      <c r="A200" s="3" t="str">
        <f t="shared" si="38"/>
        <v>05.05.2026</v>
      </c>
      <c r="B200" s="5">
        <v>87</v>
      </c>
      <c r="C200" s="5" t="s">
        <v>31</v>
      </c>
      <c r="D200" s="3">
        <v>7.7970499999999996</v>
      </c>
      <c r="E200" s="3">
        <v>7.9774799999999999</v>
      </c>
      <c r="F200" s="6">
        <f t="shared" si="26"/>
        <v>0.18043000000000031</v>
      </c>
      <c r="G200" s="6">
        <f t="shared" si="27"/>
        <v>2.3140803252512211E-2</v>
      </c>
      <c r="H200" s="6" t="str">
        <f t="shared" si="28"/>
        <v>🟢 Over-injection</v>
      </c>
      <c r="I200" s="6">
        <f t="shared" si="29"/>
        <v>-0.18043000000000031</v>
      </c>
      <c r="J200" s="3">
        <v>5.4144000000000005</v>
      </c>
      <c r="K200" s="6">
        <f t="shared" si="30"/>
        <v>1.1695574999999998</v>
      </c>
      <c r="L200" s="6">
        <f t="shared" si="31"/>
        <v>1.55941</v>
      </c>
      <c r="M200" s="6">
        <f t="shared" si="32"/>
        <v>0.18043000000000031</v>
      </c>
      <c r="N200" s="6">
        <f t="shared" si="33"/>
        <v>0</v>
      </c>
      <c r="O200" s="6">
        <f t="shared" si="34"/>
        <v>0</v>
      </c>
      <c r="P200" s="6">
        <f t="shared" si="35"/>
        <v>-195.38403840000035</v>
      </c>
      <c r="Q200" s="3">
        <v>-195.38403840000001</v>
      </c>
      <c r="R200" s="6">
        <f t="shared" si="36"/>
        <v>-3.4106051316484809E-13</v>
      </c>
      <c r="S200" s="6" t="str">
        <f t="shared" si="37"/>
        <v>OK</v>
      </c>
    </row>
    <row r="201" spans="1:19" x14ac:dyDescent="0.25">
      <c r="A201" s="3" t="str">
        <f t="shared" si="38"/>
        <v>05.05.2026</v>
      </c>
      <c r="B201" s="5">
        <v>88</v>
      </c>
      <c r="C201" s="5" t="s">
        <v>30</v>
      </c>
      <c r="D201" s="3">
        <v>7.7970499999999996</v>
      </c>
      <c r="E201" s="3">
        <v>7.6143599999999996</v>
      </c>
      <c r="F201" s="6">
        <f t="shared" si="26"/>
        <v>-0.18269000000000002</v>
      </c>
      <c r="G201" s="6">
        <f t="shared" si="27"/>
        <v>-2.3430656466227617E-2</v>
      </c>
      <c r="H201" s="6" t="str">
        <f t="shared" si="28"/>
        <v>🔴 Under-injection</v>
      </c>
      <c r="I201" s="6">
        <f t="shared" si="29"/>
        <v>0.18269000000000002</v>
      </c>
      <c r="J201" s="3">
        <v>5.4626999999999999</v>
      </c>
      <c r="K201" s="6">
        <f t="shared" si="30"/>
        <v>1.1695574999999998</v>
      </c>
      <c r="L201" s="6">
        <f t="shared" si="31"/>
        <v>1.55941</v>
      </c>
      <c r="M201" s="6">
        <f t="shared" si="32"/>
        <v>0.18269000000000002</v>
      </c>
      <c r="N201" s="6">
        <f t="shared" si="33"/>
        <v>0</v>
      </c>
      <c r="O201" s="6">
        <f t="shared" si="34"/>
        <v>0</v>
      </c>
      <c r="P201" s="6">
        <f t="shared" si="35"/>
        <v>261.96992403750005</v>
      </c>
      <c r="Q201" s="3">
        <v>261.96992403749999</v>
      </c>
      <c r="R201" s="6">
        <f t="shared" si="36"/>
        <v>0</v>
      </c>
      <c r="S201" s="6" t="str">
        <f t="shared" si="37"/>
        <v>OK</v>
      </c>
    </row>
    <row r="202" spans="1:19" x14ac:dyDescent="0.25">
      <c r="A202" s="3" t="str">
        <f t="shared" si="38"/>
        <v>05.05.2026</v>
      </c>
      <c r="B202" s="5">
        <v>89</v>
      </c>
      <c r="C202" s="5" t="s">
        <v>29</v>
      </c>
      <c r="D202" s="3">
        <v>7.7970499999999996</v>
      </c>
      <c r="E202" s="3">
        <v>7.6257099999999998</v>
      </c>
      <c r="F202" s="6">
        <f t="shared" si="26"/>
        <v>-0.17133999999999983</v>
      </c>
      <c r="G202" s="6">
        <f t="shared" si="27"/>
        <v>-2.1974977715931005E-2</v>
      </c>
      <c r="H202" s="6" t="str">
        <f t="shared" si="28"/>
        <v>🔴 Under-injection</v>
      </c>
      <c r="I202" s="6">
        <f t="shared" si="29"/>
        <v>0.17133999999999983</v>
      </c>
      <c r="J202" s="3">
        <v>5.9914999999999994</v>
      </c>
      <c r="K202" s="6">
        <f t="shared" si="30"/>
        <v>1.1695574999999998</v>
      </c>
      <c r="L202" s="6">
        <f t="shared" si="31"/>
        <v>1.55941</v>
      </c>
      <c r="M202" s="6">
        <f t="shared" si="32"/>
        <v>0.17133999999999983</v>
      </c>
      <c r="N202" s="6">
        <f t="shared" si="33"/>
        <v>0</v>
      </c>
      <c r="O202" s="6">
        <f t="shared" si="34"/>
        <v>0</v>
      </c>
      <c r="P202" s="6">
        <f t="shared" si="35"/>
        <v>269.47819762499967</v>
      </c>
      <c r="Q202" s="3">
        <v>269.47819762499995</v>
      </c>
      <c r="R202" s="6">
        <f t="shared" si="36"/>
        <v>0</v>
      </c>
      <c r="S202" s="6" t="str">
        <f t="shared" si="37"/>
        <v>OK</v>
      </c>
    </row>
    <row r="203" spans="1:19" x14ac:dyDescent="0.25">
      <c r="A203" s="3" t="str">
        <f t="shared" si="38"/>
        <v>05.05.2026</v>
      </c>
      <c r="B203" s="5">
        <v>90</v>
      </c>
      <c r="C203" s="5" t="s">
        <v>28</v>
      </c>
      <c r="D203" s="3">
        <v>7.7870499999999998</v>
      </c>
      <c r="E203" s="3">
        <v>7.6257099999999998</v>
      </c>
      <c r="F203" s="6">
        <f t="shared" si="26"/>
        <v>-0.16134000000000004</v>
      </c>
      <c r="G203" s="6">
        <f t="shared" si="27"/>
        <v>-2.0719014260856171E-2</v>
      </c>
      <c r="H203" s="6" t="str">
        <f t="shared" si="28"/>
        <v>🔴 Under-injection</v>
      </c>
      <c r="I203" s="6">
        <f t="shared" si="29"/>
        <v>0.16134000000000004</v>
      </c>
      <c r="J203" s="3">
        <v>9.9257000000000009</v>
      </c>
      <c r="K203" s="6">
        <f t="shared" si="30"/>
        <v>1.1680575</v>
      </c>
      <c r="L203" s="6">
        <f t="shared" si="31"/>
        <v>1.55741</v>
      </c>
      <c r="M203" s="6">
        <f t="shared" si="32"/>
        <v>0.16134000000000004</v>
      </c>
      <c r="N203" s="6">
        <f t="shared" si="33"/>
        <v>0</v>
      </c>
      <c r="O203" s="6">
        <f t="shared" si="34"/>
        <v>0</v>
      </c>
      <c r="P203" s="6">
        <f t="shared" si="35"/>
        <v>420.37076497500021</v>
      </c>
      <c r="Q203" s="3">
        <v>420.3707649750001</v>
      </c>
      <c r="R203" s="6">
        <f t="shared" si="36"/>
        <v>0</v>
      </c>
      <c r="S203" s="6" t="str">
        <f t="shared" si="37"/>
        <v>OK</v>
      </c>
    </row>
    <row r="204" spans="1:19" x14ac:dyDescent="0.25">
      <c r="A204" s="3" t="str">
        <f t="shared" si="38"/>
        <v>05.05.2026</v>
      </c>
      <c r="B204" s="5">
        <v>91</v>
      </c>
      <c r="C204" s="5" t="s">
        <v>27</v>
      </c>
      <c r="D204" s="3">
        <v>7.7570500000000004</v>
      </c>
      <c r="E204" s="3">
        <v>7.6257099999999998</v>
      </c>
      <c r="F204" s="6">
        <f t="shared" si="26"/>
        <v>-0.13134000000000068</v>
      </c>
      <c r="G204" s="6">
        <f t="shared" si="27"/>
        <v>-1.6931694394131877E-2</v>
      </c>
      <c r="H204" s="6" t="str">
        <f t="shared" si="28"/>
        <v>🔴 Under-injection</v>
      </c>
      <c r="I204" s="6">
        <f t="shared" si="29"/>
        <v>0.13134000000000068</v>
      </c>
      <c r="J204" s="3">
        <v>9.9267000000000003</v>
      </c>
      <c r="K204" s="6">
        <f t="shared" si="30"/>
        <v>1.1635575</v>
      </c>
      <c r="L204" s="6">
        <f t="shared" si="31"/>
        <v>1.5514100000000002</v>
      </c>
      <c r="M204" s="6">
        <f t="shared" si="32"/>
        <v>0.13134000000000068</v>
      </c>
      <c r="N204" s="6">
        <f t="shared" si="33"/>
        <v>0</v>
      </c>
      <c r="O204" s="6">
        <f t="shared" si="34"/>
        <v>0</v>
      </c>
      <c r="P204" s="6">
        <f t="shared" si="35"/>
        <v>342.24035422500179</v>
      </c>
      <c r="Q204" s="3">
        <v>342.24035422500003</v>
      </c>
      <c r="R204" s="6">
        <f t="shared" si="36"/>
        <v>1.7621459846850485E-12</v>
      </c>
      <c r="S204" s="6" t="str">
        <f t="shared" si="37"/>
        <v>OK</v>
      </c>
    </row>
    <row r="205" spans="1:19" x14ac:dyDescent="0.25">
      <c r="A205" s="3" t="str">
        <f t="shared" si="38"/>
        <v>05.05.2026</v>
      </c>
      <c r="B205" s="5">
        <v>92</v>
      </c>
      <c r="C205" s="5" t="s">
        <v>26</v>
      </c>
      <c r="D205" s="3">
        <v>7.77705</v>
      </c>
      <c r="E205" s="3">
        <v>7.6257099999999998</v>
      </c>
      <c r="F205" s="6">
        <f t="shared" si="26"/>
        <v>-0.15134000000000025</v>
      </c>
      <c r="G205" s="6">
        <f t="shared" si="27"/>
        <v>-1.9459820883239821E-2</v>
      </c>
      <c r="H205" s="6" t="str">
        <f t="shared" si="28"/>
        <v>🔴 Under-injection</v>
      </c>
      <c r="I205" s="6">
        <f t="shared" si="29"/>
        <v>0.15134000000000025</v>
      </c>
      <c r="J205" s="3">
        <v>9.9500999999999991</v>
      </c>
      <c r="K205" s="6">
        <f t="shared" si="30"/>
        <v>1.1665574999999999</v>
      </c>
      <c r="L205" s="6">
        <f t="shared" si="31"/>
        <v>1.5554100000000002</v>
      </c>
      <c r="M205" s="6">
        <f t="shared" si="32"/>
        <v>0.15134000000000025</v>
      </c>
      <c r="N205" s="6">
        <f t="shared" si="33"/>
        <v>0</v>
      </c>
      <c r="O205" s="6">
        <f t="shared" si="34"/>
        <v>0</v>
      </c>
      <c r="P205" s="6">
        <f t="shared" si="35"/>
        <v>395.28513517500062</v>
      </c>
      <c r="Q205" s="3">
        <v>395.28513517499999</v>
      </c>
      <c r="R205" s="6">
        <f t="shared" si="36"/>
        <v>6.2527760746888816E-13</v>
      </c>
      <c r="S205" s="6" t="str">
        <f t="shared" si="37"/>
        <v>OK</v>
      </c>
    </row>
    <row r="206" spans="1:19" x14ac:dyDescent="0.25">
      <c r="A206" s="3" t="str">
        <f t="shared" si="38"/>
        <v>05.05.2026</v>
      </c>
      <c r="B206" s="5">
        <v>93</v>
      </c>
      <c r="C206" s="5" t="s">
        <v>25</v>
      </c>
      <c r="D206" s="3">
        <v>7.7570500000000004</v>
      </c>
      <c r="E206" s="3">
        <v>7.6257099999999998</v>
      </c>
      <c r="F206" s="6">
        <f t="shared" si="26"/>
        <v>-0.13134000000000068</v>
      </c>
      <c r="G206" s="6">
        <f t="shared" si="27"/>
        <v>-1.6931694394131877E-2</v>
      </c>
      <c r="H206" s="6" t="str">
        <f t="shared" si="28"/>
        <v>🔴 Under-injection</v>
      </c>
      <c r="I206" s="6">
        <f t="shared" si="29"/>
        <v>0.13134000000000068</v>
      </c>
      <c r="J206" s="3">
        <v>9.9448000000000008</v>
      </c>
      <c r="K206" s="6">
        <f t="shared" si="30"/>
        <v>1.1635575</v>
      </c>
      <c r="L206" s="6">
        <f t="shared" si="31"/>
        <v>1.5514100000000002</v>
      </c>
      <c r="M206" s="6">
        <f t="shared" si="32"/>
        <v>0.13134000000000068</v>
      </c>
      <c r="N206" s="6">
        <f t="shared" si="33"/>
        <v>0</v>
      </c>
      <c r="O206" s="6">
        <f t="shared" si="34"/>
        <v>0</v>
      </c>
      <c r="P206" s="6">
        <f t="shared" si="35"/>
        <v>342.86438340000183</v>
      </c>
      <c r="Q206" s="3">
        <v>342.86438340000001</v>
      </c>
      <c r="R206" s="6">
        <f t="shared" si="36"/>
        <v>1.8189894035458565E-12</v>
      </c>
      <c r="S206" s="6" t="str">
        <f t="shared" si="37"/>
        <v>OK</v>
      </c>
    </row>
    <row r="207" spans="1:19" x14ac:dyDescent="0.25">
      <c r="A207" s="3" t="str">
        <f t="shared" si="38"/>
        <v>05.05.2026</v>
      </c>
      <c r="B207" s="5">
        <v>94</v>
      </c>
      <c r="C207" s="5" t="s">
        <v>24</v>
      </c>
      <c r="D207" s="3">
        <v>7.77705</v>
      </c>
      <c r="E207" s="3">
        <v>7.6257099999999998</v>
      </c>
      <c r="F207" s="6">
        <f t="shared" si="26"/>
        <v>-0.15134000000000025</v>
      </c>
      <c r="G207" s="6">
        <f t="shared" si="27"/>
        <v>-1.9459820883239821E-2</v>
      </c>
      <c r="H207" s="6" t="str">
        <f t="shared" si="28"/>
        <v>🔴 Under-injection</v>
      </c>
      <c r="I207" s="6">
        <f t="shared" si="29"/>
        <v>0.15134000000000025</v>
      </c>
      <c r="J207" s="3">
        <v>9.9497999999999998</v>
      </c>
      <c r="K207" s="6">
        <f t="shared" si="30"/>
        <v>1.1665574999999999</v>
      </c>
      <c r="L207" s="6">
        <f t="shared" si="31"/>
        <v>1.5554100000000002</v>
      </c>
      <c r="M207" s="6">
        <f t="shared" si="32"/>
        <v>0.15134000000000025</v>
      </c>
      <c r="N207" s="6">
        <f t="shared" si="33"/>
        <v>0</v>
      </c>
      <c r="O207" s="6">
        <f t="shared" si="34"/>
        <v>0</v>
      </c>
      <c r="P207" s="6">
        <f t="shared" si="35"/>
        <v>395.27321715000068</v>
      </c>
      <c r="Q207" s="3">
        <v>395.27321715000005</v>
      </c>
      <c r="R207" s="6">
        <f t="shared" si="36"/>
        <v>6.2527760746888816E-13</v>
      </c>
      <c r="S207" s="6" t="str">
        <f t="shared" si="37"/>
        <v>OK</v>
      </c>
    </row>
    <row r="208" spans="1:19" x14ac:dyDescent="0.25">
      <c r="A208" s="3" t="str">
        <f t="shared" si="38"/>
        <v>05.05.2026</v>
      </c>
      <c r="B208" s="5">
        <v>95</v>
      </c>
      <c r="C208" s="5" t="s">
        <v>23</v>
      </c>
      <c r="D208" s="3">
        <v>7.7870500000000016</v>
      </c>
      <c r="E208" s="3">
        <v>7.6257099999999998</v>
      </c>
      <c r="F208" s="6">
        <f t="shared" si="26"/>
        <v>-0.16134000000000182</v>
      </c>
      <c r="G208" s="6">
        <f t="shared" si="27"/>
        <v>-2.0719014260856393E-2</v>
      </c>
      <c r="H208" s="6" t="str">
        <f t="shared" si="28"/>
        <v>🔴 Under-injection</v>
      </c>
      <c r="I208" s="6">
        <f t="shared" si="29"/>
        <v>0.16134000000000182</v>
      </c>
      <c r="J208" s="3">
        <v>9.8998000000000008</v>
      </c>
      <c r="K208" s="6">
        <f t="shared" si="30"/>
        <v>1.1680575000000002</v>
      </c>
      <c r="L208" s="6">
        <f t="shared" si="31"/>
        <v>1.5574100000000004</v>
      </c>
      <c r="M208" s="6">
        <f t="shared" si="32"/>
        <v>0.16134000000000182</v>
      </c>
      <c r="N208" s="6">
        <f t="shared" si="33"/>
        <v>0</v>
      </c>
      <c r="O208" s="6">
        <f t="shared" si="34"/>
        <v>0</v>
      </c>
      <c r="P208" s="6">
        <f t="shared" si="35"/>
        <v>419.27385465000475</v>
      </c>
      <c r="Q208" s="3">
        <v>419.27385465000003</v>
      </c>
      <c r="R208" s="6">
        <f t="shared" si="36"/>
        <v>4.7180037654470652E-12</v>
      </c>
      <c r="S208" s="6" t="str">
        <f t="shared" si="37"/>
        <v>OK</v>
      </c>
    </row>
    <row r="209" spans="1:19" x14ac:dyDescent="0.25">
      <c r="A209" s="3" t="str">
        <f t="shared" si="38"/>
        <v>05.05.2026</v>
      </c>
      <c r="B209" s="5">
        <v>96</v>
      </c>
      <c r="C209" s="5" t="s">
        <v>22</v>
      </c>
      <c r="D209" s="3">
        <v>7.7870500000000016</v>
      </c>
      <c r="E209" s="3">
        <v>7.6257099999999998</v>
      </c>
      <c r="F209" s="6">
        <f t="shared" si="26"/>
        <v>-0.16134000000000182</v>
      </c>
      <c r="G209" s="6">
        <f t="shared" si="27"/>
        <v>-2.0719014260856393E-2</v>
      </c>
      <c r="H209" s="6" t="str">
        <f t="shared" si="28"/>
        <v>🔴 Under-injection</v>
      </c>
      <c r="I209" s="6">
        <f t="shared" si="29"/>
        <v>0.16134000000000182</v>
      </c>
      <c r="J209" s="3">
        <v>9.8932000000000002</v>
      </c>
      <c r="K209" s="6">
        <f t="shared" si="30"/>
        <v>1.1680575000000002</v>
      </c>
      <c r="L209" s="6">
        <f t="shared" si="31"/>
        <v>1.5574100000000004</v>
      </c>
      <c r="M209" s="6">
        <f t="shared" si="32"/>
        <v>0.16134000000000182</v>
      </c>
      <c r="N209" s="6">
        <f t="shared" si="33"/>
        <v>0</v>
      </c>
      <c r="O209" s="6">
        <f t="shared" si="34"/>
        <v>0</v>
      </c>
      <c r="P209" s="6">
        <f t="shared" si="35"/>
        <v>418.99433310000472</v>
      </c>
      <c r="Q209" s="3">
        <v>418.99433310000001</v>
      </c>
      <c r="R209" s="6">
        <f t="shared" si="36"/>
        <v>4.7180037654470652E-12</v>
      </c>
      <c r="S209" s="6" t="str">
        <f t="shared" si="37"/>
        <v>OK</v>
      </c>
    </row>
    <row r="210" spans="1:19" x14ac:dyDescent="0.25">
      <c r="A210" s="3" t="s">
        <v>170</v>
      </c>
      <c r="B210" s="5">
        <v>1</v>
      </c>
      <c r="C210" s="5" t="s">
        <v>117</v>
      </c>
      <c r="D210" s="3">
        <v>7.7970499999999996</v>
      </c>
      <c r="E210" s="3">
        <v>7.6143599999999996</v>
      </c>
      <c r="F210" s="6">
        <f t="shared" ref="F210:F273" si="39">E210-D210</f>
        <v>-0.18269000000000002</v>
      </c>
      <c r="G210" s="6">
        <f t="shared" ref="G210:G273" si="40">IF(D210=0,0,F210/D210)</f>
        <v>-2.3430656466227617E-2</v>
      </c>
      <c r="H210" s="6" t="str">
        <f t="shared" ref="H210:H273" si="41">IF(E210&gt;D210,"🟢 Over-injection",IF(E210&lt;D210,"🔴 Under-injection","⚪ Nil"))</f>
        <v>🔴 Under-injection</v>
      </c>
      <c r="I210" s="6">
        <f t="shared" ref="I210:I273" si="42">-F210</f>
        <v>0.18269000000000002</v>
      </c>
      <c r="J210" s="3">
        <v>4.2992999999999997</v>
      </c>
      <c r="K210" s="6">
        <f t="shared" ref="K210:K273" si="43">MIN(ABS(D210)*$B$7,$B$8)</f>
        <v>1.1695574999999998</v>
      </c>
      <c r="L210" s="6">
        <f t="shared" ref="L210:L273" si="44">MIN(ABS(D210)*$B$9,$B$10)</f>
        <v>1.55941</v>
      </c>
      <c r="M210" s="6">
        <f t="shared" ref="M210:M273" si="45">MIN(ABS(F210),K210)</f>
        <v>0.18269000000000002</v>
      </c>
      <c r="N210" s="6">
        <f t="shared" ref="N210:N273" si="46">IF(F210&lt;0,MIN(MAX(ABS(F210)-K210,0),MAX(L210-K210,0)),0)</f>
        <v>0</v>
      </c>
      <c r="O210" s="6">
        <f t="shared" ref="O210:O273" si="47">IF(F210&lt;0,MAX(ABS(F210)-L210,0),0)</f>
        <v>0</v>
      </c>
      <c r="P210" s="6">
        <f t="shared" ref="P210:P273" si="48">IF(F210&gt;0,-M210*$B$11*J210*$B$6*1000,IF(F210&lt;0,(M210*$B$12+N210*$B$13+O210*$B$14)*J210*$B$6*1000,0))</f>
        <v>206.17776821250004</v>
      </c>
      <c r="Q210" s="3">
        <v>206.17776821250001</v>
      </c>
      <c r="R210" s="6">
        <f t="shared" ref="R210:R273" si="49">P210-Q210</f>
        <v>0</v>
      </c>
      <c r="S210" s="6" t="str">
        <f t="shared" ref="S210:S273" si="50">IF(ABS(R210)&lt;=0.01,"OK","REVIEW")</f>
        <v>OK</v>
      </c>
    </row>
    <row r="211" spans="1:19" x14ac:dyDescent="0.25">
      <c r="A211" s="3" t="str">
        <f t="shared" si="38"/>
        <v>06.05.2026</v>
      </c>
      <c r="B211" s="5">
        <v>2</v>
      </c>
      <c r="C211" s="5" t="s">
        <v>116</v>
      </c>
      <c r="D211" s="3">
        <v>7.7970499999999996</v>
      </c>
      <c r="E211" s="3">
        <v>7.6597499999999998</v>
      </c>
      <c r="F211" s="6">
        <f t="shared" si="39"/>
        <v>-0.13729999999999976</v>
      </c>
      <c r="G211" s="6">
        <f t="shared" si="40"/>
        <v>-1.760922400138511E-2</v>
      </c>
      <c r="H211" s="6" t="str">
        <f t="shared" si="41"/>
        <v>🔴 Under-injection</v>
      </c>
      <c r="I211" s="6">
        <f t="shared" si="42"/>
        <v>0.13729999999999976</v>
      </c>
      <c r="J211" s="3">
        <v>4.2321</v>
      </c>
      <c r="K211" s="6">
        <f t="shared" si="43"/>
        <v>1.1695574999999998</v>
      </c>
      <c r="L211" s="6">
        <f t="shared" si="44"/>
        <v>1.55941</v>
      </c>
      <c r="M211" s="6">
        <f t="shared" si="45"/>
        <v>0.13729999999999976</v>
      </c>
      <c r="N211" s="6">
        <f t="shared" si="46"/>
        <v>0</v>
      </c>
      <c r="O211" s="6">
        <f t="shared" si="47"/>
        <v>0</v>
      </c>
      <c r="P211" s="6">
        <f t="shared" si="48"/>
        <v>152.53017412499972</v>
      </c>
      <c r="Q211" s="3">
        <v>152.53017412500003</v>
      </c>
      <c r="R211" s="6">
        <f t="shared" si="49"/>
        <v>-3.1263880373444408E-13</v>
      </c>
      <c r="S211" s="6" t="str">
        <f t="shared" si="50"/>
        <v>OK</v>
      </c>
    </row>
    <row r="212" spans="1:19" x14ac:dyDescent="0.25">
      <c r="A212" s="3" t="str">
        <f t="shared" ref="A212:A275" si="51">A211</f>
        <v>06.05.2026</v>
      </c>
      <c r="B212" s="5">
        <v>3</v>
      </c>
      <c r="C212" s="5" t="s">
        <v>115</v>
      </c>
      <c r="D212" s="3">
        <v>7.7970499999999996</v>
      </c>
      <c r="E212" s="3">
        <v>7.6597499999999998</v>
      </c>
      <c r="F212" s="6">
        <f t="shared" si="39"/>
        <v>-0.13729999999999976</v>
      </c>
      <c r="G212" s="6">
        <f t="shared" si="40"/>
        <v>-1.760922400138511E-2</v>
      </c>
      <c r="H212" s="6" t="str">
        <f t="shared" si="41"/>
        <v>🔴 Under-injection</v>
      </c>
      <c r="I212" s="6">
        <f t="shared" si="42"/>
        <v>0.13729999999999976</v>
      </c>
      <c r="J212" s="3">
        <v>4.0352999999999994</v>
      </c>
      <c r="K212" s="6">
        <f t="shared" si="43"/>
        <v>1.1695574999999998</v>
      </c>
      <c r="L212" s="6">
        <f t="shared" si="44"/>
        <v>1.55941</v>
      </c>
      <c r="M212" s="6">
        <f t="shared" si="45"/>
        <v>0.13729999999999976</v>
      </c>
      <c r="N212" s="6">
        <f t="shared" si="46"/>
        <v>0</v>
      </c>
      <c r="O212" s="6">
        <f t="shared" si="47"/>
        <v>0</v>
      </c>
      <c r="P212" s="6">
        <f t="shared" si="48"/>
        <v>145.43725612499972</v>
      </c>
      <c r="Q212" s="3">
        <v>145.437256125</v>
      </c>
      <c r="R212" s="6">
        <f t="shared" si="49"/>
        <v>-2.8421709430404007E-13</v>
      </c>
      <c r="S212" s="6" t="str">
        <f t="shared" si="50"/>
        <v>OK</v>
      </c>
    </row>
    <row r="213" spans="1:19" x14ac:dyDescent="0.25">
      <c r="A213" s="3" t="str">
        <f t="shared" si="51"/>
        <v>06.05.2026</v>
      </c>
      <c r="B213" s="5">
        <v>4</v>
      </c>
      <c r="C213" s="5" t="s">
        <v>114</v>
      </c>
      <c r="D213" s="3">
        <v>7.7970499999999996</v>
      </c>
      <c r="E213" s="3">
        <v>7.6597499999999998</v>
      </c>
      <c r="F213" s="6">
        <f t="shared" si="39"/>
        <v>-0.13729999999999976</v>
      </c>
      <c r="G213" s="6">
        <f t="shared" si="40"/>
        <v>-1.760922400138511E-2</v>
      </c>
      <c r="H213" s="6" t="str">
        <f t="shared" si="41"/>
        <v>🔴 Under-injection</v>
      </c>
      <c r="I213" s="6">
        <f t="shared" si="42"/>
        <v>0.13729999999999976</v>
      </c>
      <c r="J213" s="3">
        <v>4.0116000000000005</v>
      </c>
      <c r="K213" s="6">
        <f t="shared" si="43"/>
        <v>1.1695574999999998</v>
      </c>
      <c r="L213" s="6">
        <f t="shared" si="44"/>
        <v>1.55941</v>
      </c>
      <c r="M213" s="6">
        <f t="shared" si="45"/>
        <v>0.13729999999999976</v>
      </c>
      <c r="N213" s="6">
        <f t="shared" si="46"/>
        <v>0</v>
      </c>
      <c r="O213" s="6">
        <f t="shared" si="47"/>
        <v>0</v>
      </c>
      <c r="P213" s="6">
        <f t="shared" si="48"/>
        <v>144.58307849999977</v>
      </c>
      <c r="Q213" s="3">
        <v>144.58307850000006</v>
      </c>
      <c r="R213" s="6">
        <f t="shared" si="49"/>
        <v>-2.8421709430404007E-13</v>
      </c>
      <c r="S213" s="6" t="str">
        <f t="shared" si="50"/>
        <v>OK</v>
      </c>
    </row>
    <row r="214" spans="1:19" x14ac:dyDescent="0.25">
      <c r="A214" s="3" t="str">
        <f t="shared" si="51"/>
        <v>06.05.2026</v>
      </c>
      <c r="B214" s="5">
        <v>5</v>
      </c>
      <c r="C214" s="5" t="s">
        <v>113</v>
      </c>
      <c r="D214" s="3">
        <v>7.7970499999999996</v>
      </c>
      <c r="E214" s="3">
        <v>7.6597499999999998</v>
      </c>
      <c r="F214" s="6">
        <f t="shared" si="39"/>
        <v>-0.13729999999999976</v>
      </c>
      <c r="G214" s="6">
        <f t="shared" si="40"/>
        <v>-1.760922400138511E-2</v>
      </c>
      <c r="H214" s="6" t="str">
        <f t="shared" si="41"/>
        <v>🔴 Under-injection</v>
      </c>
      <c r="I214" s="6">
        <f t="shared" si="42"/>
        <v>0.13729999999999976</v>
      </c>
      <c r="J214" s="3">
        <v>3.8218000000000001</v>
      </c>
      <c r="K214" s="6">
        <f t="shared" si="43"/>
        <v>1.1695574999999998</v>
      </c>
      <c r="L214" s="6">
        <f t="shared" si="44"/>
        <v>1.55941</v>
      </c>
      <c r="M214" s="6">
        <f t="shared" si="45"/>
        <v>0.13729999999999976</v>
      </c>
      <c r="N214" s="6">
        <f t="shared" si="46"/>
        <v>0</v>
      </c>
      <c r="O214" s="6">
        <f t="shared" si="47"/>
        <v>0</v>
      </c>
      <c r="P214" s="6">
        <f t="shared" si="48"/>
        <v>137.74244924999977</v>
      </c>
      <c r="Q214" s="3">
        <v>137.74244925000002</v>
      </c>
      <c r="R214" s="6">
        <f t="shared" si="49"/>
        <v>-2.5579538487363607E-13</v>
      </c>
      <c r="S214" s="6" t="str">
        <f t="shared" si="50"/>
        <v>OK</v>
      </c>
    </row>
    <row r="215" spans="1:19" x14ac:dyDescent="0.25">
      <c r="A215" s="3" t="str">
        <f t="shared" si="51"/>
        <v>06.05.2026</v>
      </c>
      <c r="B215" s="5">
        <v>6</v>
      </c>
      <c r="C215" s="5" t="s">
        <v>112</v>
      </c>
      <c r="D215" s="3">
        <v>7.7970499999999996</v>
      </c>
      <c r="E215" s="3">
        <v>7.6597499999999998</v>
      </c>
      <c r="F215" s="6">
        <f t="shared" si="39"/>
        <v>-0.13729999999999976</v>
      </c>
      <c r="G215" s="6">
        <f t="shared" si="40"/>
        <v>-1.760922400138511E-2</v>
      </c>
      <c r="H215" s="6" t="str">
        <f t="shared" si="41"/>
        <v>🔴 Under-injection</v>
      </c>
      <c r="I215" s="6">
        <f t="shared" si="42"/>
        <v>0.13729999999999976</v>
      </c>
      <c r="J215" s="3">
        <v>3.6151999999999997</v>
      </c>
      <c r="K215" s="6">
        <f t="shared" si="43"/>
        <v>1.1695574999999998</v>
      </c>
      <c r="L215" s="6">
        <f t="shared" si="44"/>
        <v>1.55941</v>
      </c>
      <c r="M215" s="6">
        <f t="shared" si="45"/>
        <v>0.13729999999999976</v>
      </c>
      <c r="N215" s="6">
        <f t="shared" si="46"/>
        <v>0</v>
      </c>
      <c r="O215" s="6">
        <f t="shared" si="47"/>
        <v>0</v>
      </c>
      <c r="P215" s="6">
        <f t="shared" si="48"/>
        <v>130.29632699999976</v>
      </c>
      <c r="Q215" s="3">
        <v>130.29632700000002</v>
      </c>
      <c r="R215" s="6">
        <f t="shared" si="49"/>
        <v>-2.5579538487363607E-13</v>
      </c>
      <c r="S215" s="6" t="str">
        <f t="shared" si="50"/>
        <v>OK</v>
      </c>
    </row>
    <row r="216" spans="1:19" x14ac:dyDescent="0.25">
      <c r="A216" s="3" t="str">
        <f t="shared" si="51"/>
        <v>06.05.2026</v>
      </c>
      <c r="B216" s="5">
        <v>7</v>
      </c>
      <c r="C216" s="5" t="s">
        <v>111</v>
      </c>
      <c r="D216" s="3">
        <v>7.7970499999999996</v>
      </c>
      <c r="E216" s="3">
        <v>7.6597499999999998</v>
      </c>
      <c r="F216" s="6">
        <f t="shared" si="39"/>
        <v>-0.13729999999999976</v>
      </c>
      <c r="G216" s="6">
        <f t="shared" si="40"/>
        <v>-1.760922400138511E-2</v>
      </c>
      <c r="H216" s="6" t="str">
        <f t="shared" si="41"/>
        <v>🔴 Under-injection</v>
      </c>
      <c r="I216" s="6">
        <f t="shared" si="42"/>
        <v>0.13729999999999976</v>
      </c>
      <c r="J216" s="3">
        <v>3.5943999999999998</v>
      </c>
      <c r="K216" s="6">
        <f t="shared" si="43"/>
        <v>1.1695574999999998</v>
      </c>
      <c r="L216" s="6">
        <f t="shared" si="44"/>
        <v>1.55941</v>
      </c>
      <c r="M216" s="6">
        <f t="shared" si="45"/>
        <v>0.13729999999999976</v>
      </c>
      <c r="N216" s="6">
        <f t="shared" si="46"/>
        <v>0</v>
      </c>
      <c r="O216" s="6">
        <f t="shared" si="47"/>
        <v>0</v>
      </c>
      <c r="P216" s="6">
        <f t="shared" si="48"/>
        <v>129.54666899999975</v>
      </c>
      <c r="Q216" s="3">
        <v>129.54666900000001</v>
      </c>
      <c r="R216" s="6">
        <f t="shared" si="49"/>
        <v>-2.5579538487363607E-13</v>
      </c>
      <c r="S216" s="6" t="str">
        <f t="shared" si="50"/>
        <v>OK</v>
      </c>
    </row>
    <row r="217" spans="1:19" x14ac:dyDescent="0.25">
      <c r="A217" s="3" t="str">
        <f t="shared" si="51"/>
        <v>06.05.2026</v>
      </c>
      <c r="B217" s="5">
        <v>8</v>
      </c>
      <c r="C217" s="5" t="s">
        <v>110</v>
      </c>
      <c r="D217" s="3">
        <v>7.7970499999999996</v>
      </c>
      <c r="E217" s="3">
        <v>7.6597499999999998</v>
      </c>
      <c r="F217" s="6">
        <f t="shared" si="39"/>
        <v>-0.13729999999999976</v>
      </c>
      <c r="G217" s="6">
        <f t="shared" si="40"/>
        <v>-1.760922400138511E-2</v>
      </c>
      <c r="H217" s="6" t="str">
        <f t="shared" si="41"/>
        <v>🔴 Under-injection</v>
      </c>
      <c r="I217" s="6">
        <f t="shared" si="42"/>
        <v>0.13729999999999976</v>
      </c>
      <c r="J217" s="3">
        <v>3.5942000000000003</v>
      </c>
      <c r="K217" s="6">
        <f t="shared" si="43"/>
        <v>1.1695574999999998</v>
      </c>
      <c r="L217" s="6">
        <f t="shared" si="44"/>
        <v>1.55941</v>
      </c>
      <c r="M217" s="6">
        <f t="shared" si="45"/>
        <v>0.13729999999999976</v>
      </c>
      <c r="N217" s="6">
        <f t="shared" si="46"/>
        <v>0</v>
      </c>
      <c r="O217" s="6">
        <f t="shared" si="47"/>
        <v>0</v>
      </c>
      <c r="P217" s="6">
        <f t="shared" si="48"/>
        <v>129.53946074999979</v>
      </c>
      <c r="Q217" s="3">
        <v>129.53946075000002</v>
      </c>
      <c r="R217" s="6">
        <f t="shared" si="49"/>
        <v>-2.2737367544323206E-13</v>
      </c>
      <c r="S217" s="6" t="str">
        <f t="shared" si="50"/>
        <v>OK</v>
      </c>
    </row>
    <row r="218" spans="1:19" x14ac:dyDescent="0.25">
      <c r="A218" s="3" t="str">
        <f t="shared" si="51"/>
        <v>06.05.2026</v>
      </c>
      <c r="B218" s="5">
        <v>9</v>
      </c>
      <c r="C218" s="5" t="s">
        <v>109</v>
      </c>
      <c r="D218" s="3">
        <v>7.7970499999999996</v>
      </c>
      <c r="E218" s="3">
        <v>7.6710900000000004</v>
      </c>
      <c r="F218" s="6">
        <f t="shared" si="39"/>
        <v>-0.12595999999999918</v>
      </c>
      <c r="G218" s="6">
        <f t="shared" si="40"/>
        <v>-1.6154827787432321E-2</v>
      </c>
      <c r="H218" s="6" t="str">
        <f t="shared" si="41"/>
        <v>🔴 Under-injection</v>
      </c>
      <c r="I218" s="6">
        <f t="shared" si="42"/>
        <v>0.12595999999999918</v>
      </c>
      <c r="J218" s="3">
        <v>3.5388000000000002</v>
      </c>
      <c r="K218" s="6">
        <f t="shared" si="43"/>
        <v>1.1695574999999998</v>
      </c>
      <c r="L218" s="6">
        <f t="shared" si="44"/>
        <v>1.55941</v>
      </c>
      <c r="M218" s="6">
        <f t="shared" si="45"/>
        <v>0.12595999999999918</v>
      </c>
      <c r="N218" s="6">
        <f t="shared" si="46"/>
        <v>0</v>
      </c>
      <c r="O218" s="6">
        <f t="shared" si="47"/>
        <v>0</v>
      </c>
      <c r="P218" s="6">
        <f t="shared" si="48"/>
        <v>117.00865259999927</v>
      </c>
      <c r="Q218" s="3">
        <v>117.0086526</v>
      </c>
      <c r="R218" s="6">
        <f t="shared" si="49"/>
        <v>-7.3896444519050419E-13</v>
      </c>
      <c r="S218" s="6" t="str">
        <f t="shared" si="50"/>
        <v>OK</v>
      </c>
    </row>
    <row r="219" spans="1:19" x14ac:dyDescent="0.25">
      <c r="A219" s="3" t="str">
        <f t="shared" si="51"/>
        <v>06.05.2026</v>
      </c>
      <c r="B219" s="5">
        <v>10</v>
      </c>
      <c r="C219" s="5" t="s">
        <v>108</v>
      </c>
      <c r="D219" s="3">
        <v>7.7970499999999996</v>
      </c>
      <c r="E219" s="3">
        <v>7.6710900000000004</v>
      </c>
      <c r="F219" s="6">
        <f t="shared" si="39"/>
        <v>-0.12595999999999918</v>
      </c>
      <c r="G219" s="6">
        <f t="shared" si="40"/>
        <v>-1.6154827787432321E-2</v>
      </c>
      <c r="H219" s="6" t="str">
        <f t="shared" si="41"/>
        <v>🔴 Under-injection</v>
      </c>
      <c r="I219" s="6">
        <f t="shared" si="42"/>
        <v>0.12595999999999918</v>
      </c>
      <c r="J219" s="3">
        <v>3.5851999999999999</v>
      </c>
      <c r="K219" s="6">
        <f t="shared" si="43"/>
        <v>1.1695574999999998</v>
      </c>
      <c r="L219" s="6">
        <f t="shared" si="44"/>
        <v>1.55941</v>
      </c>
      <c r="M219" s="6">
        <f t="shared" si="45"/>
        <v>0.12595999999999918</v>
      </c>
      <c r="N219" s="6">
        <f t="shared" si="46"/>
        <v>0</v>
      </c>
      <c r="O219" s="6">
        <f t="shared" si="47"/>
        <v>0</v>
      </c>
      <c r="P219" s="6">
        <f t="shared" si="48"/>
        <v>118.54284539999924</v>
      </c>
      <c r="Q219" s="3">
        <v>118.5428454</v>
      </c>
      <c r="R219" s="6">
        <f t="shared" si="49"/>
        <v>-7.673861546209082E-13</v>
      </c>
      <c r="S219" s="6" t="str">
        <f t="shared" si="50"/>
        <v>OK</v>
      </c>
    </row>
    <row r="220" spans="1:19" x14ac:dyDescent="0.25">
      <c r="A220" s="3" t="str">
        <f t="shared" si="51"/>
        <v>06.05.2026</v>
      </c>
      <c r="B220" s="5">
        <v>11</v>
      </c>
      <c r="C220" s="5" t="s">
        <v>107</v>
      </c>
      <c r="D220" s="3">
        <v>7.7970499999999996</v>
      </c>
      <c r="E220" s="3">
        <v>7.6710900000000004</v>
      </c>
      <c r="F220" s="6">
        <f t="shared" si="39"/>
        <v>-0.12595999999999918</v>
      </c>
      <c r="G220" s="6">
        <f t="shared" si="40"/>
        <v>-1.6154827787432321E-2</v>
      </c>
      <c r="H220" s="6" t="str">
        <f t="shared" si="41"/>
        <v>🔴 Under-injection</v>
      </c>
      <c r="I220" s="6">
        <f t="shared" si="42"/>
        <v>0.12595999999999918</v>
      </c>
      <c r="J220" s="3">
        <v>3.5221</v>
      </c>
      <c r="K220" s="6">
        <f t="shared" si="43"/>
        <v>1.1695574999999998</v>
      </c>
      <c r="L220" s="6">
        <f t="shared" si="44"/>
        <v>1.55941</v>
      </c>
      <c r="M220" s="6">
        <f t="shared" si="45"/>
        <v>0.12595999999999918</v>
      </c>
      <c r="N220" s="6">
        <f t="shared" si="46"/>
        <v>0</v>
      </c>
      <c r="O220" s="6">
        <f t="shared" si="47"/>
        <v>0</v>
      </c>
      <c r="P220" s="6">
        <f t="shared" si="48"/>
        <v>116.45647544999925</v>
      </c>
      <c r="Q220" s="3">
        <v>116.45647545</v>
      </c>
      <c r="R220" s="6">
        <f t="shared" si="49"/>
        <v>-7.531752999057062E-13</v>
      </c>
      <c r="S220" s="6" t="str">
        <f t="shared" si="50"/>
        <v>OK</v>
      </c>
    </row>
    <row r="221" spans="1:19" x14ac:dyDescent="0.25">
      <c r="A221" s="3" t="str">
        <f t="shared" si="51"/>
        <v>06.05.2026</v>
      </c>
      <c r="B221" s="5">
        <v>12</v>
      </c>
      <c r="C221" s="5" t="s">
        <v>106</v>
      </c>
      <c r="D221" s="3">
        <v>7.7970499999999996</v>
      </c>
      <c r="E221" s="3">
        <v>7.6710900000000004</v>
      </c>
      <c r="F221" s="6">
        <f t="shared" si="39"/>
        <v>-0.12595999999999918</v>
      </c>
      <c r="G221" s="6">
        <f t="shared" si="40"/>
        <v>-1.6154827787432321E-2</v>
      </c>
      <c r="H221" s="6" t="str">
        <f t="shared" si="41"/>
        <v>🔴 Under-injection</v>
      </c>
      <c r="I221" s="6">
        <f t="shared" si="42"/>
        <v>0.12595999999999918</v>
      </c>
      <c r="J221" s="3">
        <v>3.5216000000000003</v>
      </c>
      <c r="K221" s="6">
        <f t="shared" si="43"/>
        <v>1.1695574999999998</v>
      </c>
      <c r="L221" s="6">
        <f t="shared" si="44"/>
        <v>1.55941</v>
      </c>
      <c r="M221" s="6">
        <f t="shared" si="45"/>
        <v>0.12595999999999918</v>
      </c>
      <c r="N221" s="6">
        <f t="shared" si="46"/>
        <v>0</v>
      </c>
      <c r="O221" s="6">
        <f t="shared" si="47"/>
        <v>0</v>
      </c>
      <c r="P221" s="6">
        <f t="shared" si="48"/>
        <v>116.43994319999928</v>
      </c>
      <c r="Q221" s="3">
        <v>116.4399432</v>
      </c>
      <c r="R221" s="6">
        <f t="shared" si="49"/>
        <v>-7.2475359047530219E-13</v>
      </c>
      <c r="S221" s="6" t="str">
        <f t="shared" si="50"/>
        <v>OK</v>
      </c>
    </row>
    <row r="222" spans="1:19" x14ac:dyDescent="0.25">
      <c r="A222" s="3" t="str">
        <f t="shared" si="51"/>
        <v>06.05.2026</v>
      </c>
      <c r="B222" s="5">
        <v>13</v>
      </c>
      <c r="C222" s="5" t="s">
        <v>105</v>
      </c>
      <c r="D222" s="3">
        <v>7.7970499999999996</v>
      </c>
      <c r="E222" s="3">
        <v>7.6597499999999998</v>
      </c>
      <c r="F222" s="6">
        <f t="shared" si="39"/>
        <v>-0.13729999999999976</v>
      </c>
      <c r="G222" s="6">
        <f t="shared" si="40"/>
        <v>-1.760922400138511E-2</v>
      </c>
      <c r="H222" s="6" t="str">
        <f t="shared" si="41"/>
        <v>🔴 Under-injection</v>
      </c>
      <c r="I222" s="6">
        <f t="shared" si="42"/>
        <v>0.13729999999999976</v>
      </c>
      <c r="J222" s="3">
        <v>3.5097000000000005</v>
      </c>
      <c r="K222" s="6">
        <f t="shared" si="43"/>
        <v>1.1695574999999998</v>
      </c>
      <c r="L222" s="6">
        <f t="shared" si="44"/>
        <v>1.55941</v>
      </c>
      <c r="M222" s="6">
        <f t="shared" si="45"/>
        <v>0.13729999999999976</v>
      </c>
      <c r="N222" s="6">
        <f t="shared" si="46"/>
        <v>0</v>
      </c>
      <c r="O222" s="6">
        <f t="shared" si="47"/>
        <v>0</v>
      </c>
      <c r="P222" s="6">
        <f t="shared" si="48"/>
        <v>126.49397512499979</v>
      </c>
      <c r="Q222" s="3">
        <v>126.49397512500002</v>
      </c>
      <c r="R222" s="6">
        <f t="shared" si="49"/>
        <v>-2.2737367544323206E-13</v>
      </c>
      <c r="S222" s="6" t="str">
        <f t="shared" si="50"/>
        <v>OK</v>
      </c>
    </row>
    <row r="223" spans="1:19" x14ac:dyDescent="0.25">
      <c r="A223" s="3" t="str">
        <f t="shared" si="51"/>
        <v>06.05.2026</v>
      </c>
      <c r="B223" s="5">
        <v>14</v>
      </c>
      <c r="C223" s="5" t="s">
        <v>104</v>
      </c>
      <c r="D223" s="3">
        <v>7.7970499999999996</v>
      </c>
      <c r="E223" s="3">
        <v>7.6710900000000004</v>
      </c>
      <c r="F223" s="6">
        <f t="shared" si="39"/>
        <v>-0.12595999999999918</v>
      </c>
      <c r="G223" s="6">
        <f t="shared" si="40"/>
        <v>-1.6154827787432321E-2</v>
      </c>
      <c r="H223" s="6" t="str">
        <f t="shared" si="41"/>
        <v>🔴 Under-injection</v>
      </c>
      <c r="I223" s="6">
        <f t="shared" si="42"/>
        <v>0.12595999999999918</v>
      </c>
      <c r="J223" s="3">
        <v>3.484</v>
      </c>
      <c r="K223" s="6">
        <f t="shared" si="43"/>
        <v>1.1695574999999998</v>
      </c>
      <c r="L223" s="6">
        <f t="shared" si="44"/>
        <v>1.55941</v>
      </c>
      <c r="M223" s="6">
        <f t="shared" si="45"/>
        <v>0.12595999999999918</v>
      </c>
      <c r="N223" s="6">
        <f t="shared" si="46"/>
        <v>0</v>
      </c>
      <c r="O223" s="6">
        <f t="shared" si="47"/>
        <v>0</v>
      </c>
      <c r="P223" s="6">
        <f t="shared" si="48"/>
        <v>115.19671799999927</v>
      </c>
      <c r="Q223" s="3">
        <v>115.196718</v>
      </c>
      <c r="R223" s="6">
        <f t="shared" si="49"/>
        <v>-7.3896444519050419E-13</v>
      </c>
      <c r="S223" s="6" t="str">
        <f t="shared" si="50"/>
        <v>OK</v>
      </c>
    </row>
    <row r="224" spans="1:19" x14ac:dyDescent="0.25">
      <c r="A224" s="3" t="str">
        <f t="shared" si="51"/>
        <v>06.05.2026</v>
      </c>
      <c r="B224" s="5">
        <v>15</v>
      </c>
      <c r="C224" s="5" t="s">
        <v>103</v>
      </c>
      <c r="D224" s="3">
        <v>7.7970499999999996</v>
      </c>
      <c r="E224" s="3">
        <v>7.6597499999999998</v>
      </c>
      <c r="F224" s="6">
        <f t="shared" si="39"/>
        <v>-0.13729999999999976</v>
      </c>
      <c r="G224" s="6">
        <f t="shared" si="40"/>
        <v>-1.760922400138511E-2</v>
      </c>
      <c r="H224" s="6" t="str">
        <f t="shared" si="41"/>
        <v>🔴 Under-injection</v>
      </c>
      <c r="I224" s="6">
        <f t="shared" si="42"/>
        <v>0.13729999999999976</v>
      </c>
      <c r="J224" s="3">
        <v>3.4566000000000003</v>
      </c>
      <c r="K224" s="6">
        <f t="shared" si="43"/>
        <v>1.1695574999999998</v>
      </c>
      <c r="L224" s="6">
        <f t="shared" si="44"/>
        <v>1.55941</v>
      </c>
      <c r="M224" s="6">
        <f t="shared" si="45"/>
        <v>0.13729999999999976</v>
      </c>
      <c r="N224" s="6">
        <f t="shared" si="46"/>
        <v>0</v>
      </c>
      <c r="O224" s="6">
        <f t="shared" si="47"/>
        <v>0</v>
      </c>
      <c r="P224" s="6">
        <f t="shared" si="48"/>
        <v>124.58018474999979</v>
      </c>
      <c r="Q224" s="3">
        <v>124.58018475000003</v>
      </c>
      <c r="R224" s="6">
        <f t="shared" si="49"/>
        <v>-2.4158453015843406E-13</v>
      </c>
      <c r="S224" s="6" t="str">
        <f t="shared" si="50"/>
        <v>OK</v>
      </c>
    </row>
    <row r="225" spans="1:19" x14ac:dyDescent="0.25">
      <c r="A225" s="3" t="str">
        <f t="shared" si="51"/>
        <v>06.05.2026</v>
      </c>
      <c r="B225" s="5">
        <v>16</v>
      </c>
      <c r="C225" s="5" t="s">
        <v>102</v>
      </c>
      <c r="D225" s="3">
        <v>7.7970499999999996</v>
      </c>
      <c r="E225" s="3">
        <v>7.6597499999999998</v>
      </c>
      <c r="F225" s="6">
        <f t="shared" si="39"/>
        <v>-0.13729999999999976</v>
      </c>
      <c r="G225" s="6">
        <f t="shared" si="40"/>
        <v>-1.760922400138511E-2</v>
      </c>
      <c r="H225" s="6" t="str">
        <f t="shared" si="41"/>
        <v>🔴 Under-injection</v>
      </c>
      <c r="I225" s="6">
        <f t="shared" si="42"/>
        <v>0.13729999999999976</v>
      </c>
      <c r="J225" s="3">
        <v>3.4342999999999999</v>
      </c>
      <c r="K225" s="6">
        <f t="shared" si="43"/>
        <v>1.1695574999999998</v>
      </c>
      <c r="L225" s="6">
        <f t="shared" si="44"/>
        <v>1.55941</v>
      </c>
      <c r="M225" s="6">
        <f t="shared" si="45"/>
        <v>0.13729999999999976</v>
      </c>
      <c r="N225" s="6">
        <f t="shared" si="46"/>
        <v>0</v>
      </c>
      <c r="O225" s="6">
        <f t="shared" si="47"/>
        <v>0</v>
      </c>
      <c r="P225" s="6">
        <f t="shared" si="48"/>
        <v>123.77646487499977</v>
      </c>
      <c r="Q225" s="3">
        <v>123.776464875</v>
      </c>
      <c r="R225" s="6">
        <f t="shared" si="49"/>
        <v>-2.2737367544323206E-13</v>
      </c>
      <c r="S225" s="6" t="str">
        <f t="shared" si="50"/>
        <v>OK</v>
      </c>
    </row>
    <row r="226" spans="1:19" x14ac:dyDescent="0.25">
      <c r="A226" s="3" t="str">
        <f t="shared" si="51"/>
        <v>06.05.2026</v>
      </c>
      <c r="B226" s="5">
        <v>17</v>
      </c>
      <c r="C226" s="5" t="s">
        <v>101</v>
      </c>
      <c r="D226" s="3">
        <v>7.7970499999999996</v>
      </c>
      <c r="E226" s="3">
        <v>7.6597499999999998</v>
      </c>
      <c r="F226" s="6">
        <f t="shared" si="39"/>
        <v>-0.13729999999999976</v>
      </c>
      <c r="G226" s="6">
        <f t="shared" si="40"/>
        <v>-1.760922400138511E-2</v>
      </c>
      <c r="H226" s="6" t="str">
        <f t="shared" si="41"/>
        <v>🔴 Under-injection</v>
      </c>
      <c r="I226" s="6">
        <f t="shared" si="42"/>
        <v>0.13729999999999976</v>
      </c>
      <c r="J226" s="3">
        <v>3.4077999999999999</v>
      </c>
      <c r="K226" s="6">
        <f t="shared" si="43"/>
        <v>1.1695574999999998</v>
      </c>
      <c r="L226" s="6">
        <f t="shared" si="44"/>
        <v>1.55941</v>
      </c>
      <c r="M226" s="6">
        <f t="shared" si="45"/>
        <v>0.13729999999999976</v>
      </c>
      <c r="N226" s="6">
        <f t="shared" si="46"/>
        <v>0</v>
      </c>
      <c r="O226" s="6">
        <f t="shared" si="47"/>
        <v>0</v>
      </c>
      <c r="P226" s="6">
        <f t="shared" si="48"/>
        <v>122.82137174999977</v>
      </c>
      <c r="Q226" s="3">
        <v>122.82137175000001</v>
      </c>
      <c r="R226" s="6">
        <f t="shared" si="49"/>
        <v>-2.4158453015843406E-13</v>
      </c>
      <c r="S226" s="6" t="str">
        <f t="shared" si="50"/>
        <v>OK</v>
      </c>
    </row>
    <row r="227" spans="1:19" x14ac:dyDescent="0.25">
      <c r="A227" s="3" t="str">
        <f t="shared" si="51"/>
        <v>06.05.2026</v>
      </c>
      <c r="B227" s="5">
        <v>18</v>
      </c>
      <c r="C227" s="5" t="s">
        <v>100</v>
      </c>
      <c r="D227" s="3">
        <v>7.7970499999999996</v>
      </c>
      <c r="E227" s="3">
        <v>7.6710900000000004</v>
      </c>
      <c r="F227" s="6">
        <f t="shared" si="39"/>
        <v>-0.12595999999999918</v>
      </c>
      <c r="G227" s="6">
        <f t="shared" si="40"/>
        <v>-1.6154827787432321E-2</v>
      </c>
      <c r="H227" s="6" t="str">
        <f t="shared" si="41"/>
        <v>🔴 Under-injection</v>
      </c>
      <c r="I227" s="6">
        <f t="shared" si="42"/>
        <v>0.12595999999999918</v>
      </c>
      <c r="J227" s="3">
        <v>3.4375</v>
      </c>
      <c r="K227" s="6">
        <f t="shared" si="43"/>
        <v>1.1695574999999998</v>
      </c>
      <c r="L227" s="6">
        <f t="shared" si="44"/>
        <v>1.55941</v>
      </c>
      <c r="M227" s="6">
        <f t="shared" si="45"/>
        <v>0.12595999999999918</v>
      </c>
      <c r="N227" s="6">
        <f t="shared" si="46"/>
        <v>0</v>
      </c>
      <c r="O227" s="6">
        <f t="shared" si="47"/>
        <v>0</v>
      </c>
      <c r="P227" s="6">
        <f t="shared" si="48"/>
        <v>113.65921874999928</v>
      </c>
      <c r="Q227" s="3">
        <v>113.65921874999998</v>
      </c>
      <c r="R227" s="6">
        <f t="shared" si="49"/>
        <v>-6.9633188104489818E-13</v>
      </c>
      <c r="S227" s="6" t="str">
        <f t="shared" si="50"/>
        <v>OK</v>
      </c>
    </row>
    <row r="228" spans="1:19" x14ac:dyDescent="0.25">
      <c r="A228" s="3" t="str">
        <f t="shared" si="51"/>
        <v>06.05.2026</v>
      </c>
      <c r="B228" s="5">
        <v>19</v>
      </c>
      <c r="C228" s="5" t="s">
        <v>99</v>
      </c>
      <c r="D228" s="3">
        <v>7.7970499999999996</v>
      </c>
      <c r="E228" s="3">
        <v>7.6710900000000004</v>
      </c>
      <c r="F228" s="6">
        <f t="shared" si="39"/>
        <v>-0.12595999999999918</v>
      </c>
      <c r="G228" s="6">
        <f t="shared" si="40"/>
        <v>-1.6154827787432321E-2</v>
      </c>
      <c r="H228" s="6" t="str">
        <f t="shared" si="41"/>
        <v>🔴 Under-injection</v>
      </c>
      <c r="I228" s="6">
        <f t="shared" si="42"/>
        <v>0.12595999999999918</v>
      </c>
      <c r="J228" s="3">
        <v>3.4885999999999999</v>
      </c>
      <c r="K228" s="6">
        <f t="shared" si="43"/>
        <v>1.1695574999999998</v>
      </c>
      <c r="L228" s="6">
        <f t="shared" si="44"/>
        <v>1.55941</v>
      </c>
      <c r="M228" s="6">
        <f t="shared" si="45"/>
        <v>0.12595999999999918</v>
      </c>
      <c r="N228" s="6">
        <f t="shared" si="46"/>
        <v>0</v>
      </c>
      <c r="O228" s="6">
        <f t="shared" si="47"/>
        <v>0</v>
      </c>
      <c r="P228" s="6">
        <f t="shared" si="48"/>
        <v>115.34881469999927</v>
      </c>
      <c r="Q228" s="3">
        <v>115.34881469999999</v>
      </c>
      <c r="R228" s="6">
        <f t="shared" si="49"/>
        <v>-7.2475359047530219E-13</v>
      </c>
      <c r="S228" s="6" t="str">
        <f t="shared" si="50"/>
        <v>OK</v>
      </c>
    </row>
    <row r="229" spans="1:19" x14ac:dyDescent="0.25">
      <c r="A229" s="3" t="str">
        <f t="shared" si="51"/>
        <v>06.05.2026</v>
      </c>
      <c r="B229" s="5">
        <v>20</v>
      </c>
      <c r="C229" s="5" t="s">
        <v>98</v>
      </c>
      <c r="D229" s="3">
        <v>7.7970499999999996</v>
      </c>
      <c r="E229" s="3">
        <v>7.6710900000000004</v>
      </c>
      <c r="F229" s="6">
        <f t="shared" si="39"/>
        <v>-0.12595999999999918</v>
      </c>
      <c r="G229" s="6">
        <f t="shared" si="40"/>
        <v>-1.6154827787432321E-2</v>
      </c>
      <c r="H229" s="6" t="str">
        <f t="shared" si="41"/>
        <v>🔴 Under-injection</v>
      </c>
      <c r="I229" s="6">
        <f t="shared" si="42"/>
        <v>0.12595999999999918</v>
      </c>
      <c r="J229" s="3">
        <v>3.5313999999999997</v>
      </c>
      <c r="K229" s="6">
        <f t="shared" si="43"/>
        <v>1.1695574999999998</v>
      </c>
      <c r="L229" s="6">
        <f t="shared" si="44"/>
        <v>1.55941</v>
      </c>
      <c r="M229" s="6">
        <f t="shared" si="45"/>
        <v>0.12595999999999918</v>
      </c>
      <c r="N229" s="6">
        <f t="shared" si="46"/>
        <v>0</v>
      </c>
      <c r="O229" s="6">
        <f t="shared" si="47"/>
        <v>0</v>
      </c>
      <c r="P229" s="6">
        <f t="shared" si="48"/>
        <v>116.76397529999925</v>
      </c>
      <c r="Q229" s="3">
        <v>116.76397529999998</v>
      </c>
      <c r="R229" s="6">
        <f t="shared" si="49"/>
        <v>-7.3896444519050419E-13</v>
      </c>
      <c r="S229" s="6" t="str">
        <f t="shared" si="50"/>
        <v>OK</v>
      </c>
    </row>
    <row r="230" spans="1:19" x14ac:dyDescent="0.25">
      <c r="A230" s="3" t="str">
        <f t="shared" si="51"/>
        <v>06.05.2026</v>
      </c>
      <c r="B230" s="5">
        <v>21</v>
      </c>
      <c r="C230" s="5" t="s">
        <v>97</v>
      </c>
      <c r="D230" s="3">
        <v>7.7970499999999996</v>
      </c>
      <c r="E230" s="3">
        <v>7.6710900000000004</v>
      </c>
      <c r="F230" s="6">
        <f t="shared" si="39"/>
        <v>-0.12595999999999918</v>
      </c>
      <c r="G230" s="6">
        <f t="shared" si="40"/>
        <v>-1.6154827787432321E-2</v>
      </c>
      <c r="H230" s="6" t="str">
        <f t="shared" si="41"/>
        <v>🔴 Under-injection</v>
      </c>
      <c r="I230" s="6">
        <f t="shared" si="42"/>
        <v>0.12595999999999918</v>
      </c>
      <c r="J230" s="3">
        <v>3.5331999999999999</v>
      </c>
      <c r="K230" s="6">
        <f t="shared" si="43"/>
        <v>1.1695574999999998</v>
      </c>
      <c r="L230" s="6">
        <f t="shared" si="44"/>
        <v>1.55941</v>
      </c>
      <c r="M230" s="6">
        <f t="shared" si="45"/>
        <v>0.12595999999999918</v>
      </c>
      <c r="N230" s="6">
        <f t="shared" si="46"/>
        <v>0</v>
      </c>
      <c r="O230" s="6">
        <f t="shared" si="47"/>
        <v>0</v>
      </c>
      <c r="P230" s="6">
        <f t="shared" si="48"/>
        <v>116.82349139999924</v>
      </c>
      <c r="Q230" s="3">
        <v>116.82349139999999</v>
      </c>
      <c r="R230" s="6">
        <f t="shared" si="49"/>
        <v>-7.531752999057062E-13</v>
      </c>
      <c r="S230" s="6" t="str">
        <f t="shared" si="50"/>
        <v>OK</v>
      </c>
    </row>
    <row r="231" spans="1:19" x14ac:dyDescent="0.25">
      <c r="A231" s="3" t="str">
        <f t="shared" si="51"/>
        <v>06.05.2026</v>
      </c>
      <c r="B231" s="5">
        <v>22</v>
      </c>
      <c r="C231" s="5" t="s">
        <v>96</v>
      </c>
      <c r="D231" s="3">
        <v>7.7970499999999996</v>
      </c>
      <c r="E231" s="3">
        <v>7.6710900000000004</v>
      </c>
      <c r="F231" s="6">
        <f t="shared" si="39"/>
        <v>-0.12595999999999918</v>
      </c>
      <c r="G231" s="6">
        <f t="shared" si="40"/>
        <v>-1.6154827787432321E-2</v>
      </c>
      <c r="H231" s="6" t="str">
        <f t="shared" si="41"/>
        <v>🔴 Under-injection</v>
      </c>
      <c r="I231" s="6">
        <f t="shared" si="42"/>
        <v>0.12595999999999918</v>
      </c>
      <c r="J231" s="3">
        <v>3.6382999999999996</v>
      </c>
      <c r="K231" s="6">
        <f t="shared" si="43"/>
        <v>1.1695574999999998</v>
      </c>
      <c r="L231" s="6">
        <f t="shared" si="44"/>
        <v>1.55941</v>
      </c>
      <c r="M231" s="6">
        <f t="shared" si="45"/>
        <v>0.12595999999999918</v>
      </c>
      <c r="N231" s="6">
        <f t="shared" si="46"/>
        <v>0</v>
      </c>
      <c r="O231" s="6">
        <f t="shared" si="47"/>
        <v>0</v>
      </c>
      <c r="P231" s="6">
        <f t="shared" si="48"/>
        <v>120.29857034999922</v>
      </c>
      <c r="Q231" s="3">
        <v>120.29857034999998</v>
      </c>
      <c r="R231" s="6">
        <f t="shared" si="49"/>
        <v>-7.531752999057062E-13</v>
      </c>
      <c r="S231" s="6" t="str">
        <f t="shared" si="50"/>
        <v>OK</v>
      </c>
    </row>
    <row r="232" spans="1:19" x14ac:dyDescent="0.25">
      <c r="A232" s="3" t="str">
        <f t="shared" si="51"/>
        <v>06.05.2026</v>
      </c>
      <c r="B232" s="5">
        <v>23</v>
      </c>
      <c r="C232" s="5" t="s">
        <v>95</v>
      </c>
      <c r="D232" s="3">
        <v>7.7970499999999996</v>
      </c>
      <c r="E232" s="3">
        <v>7.6597499999999998</v>
      </c>
      <c r="F232" s="6">
        <f t="shared" si="39"/>
        <v>-0.13729999999999976</v>
      </c>
      <c r="G232" s="6">
        <f t="shared" si="40"/>
        <v>-1.760922400138511E-2</v>
      </c>
      <c r="H232" s="6" t="str">
        <f t="shared" si="41"/>
        <v>🔴 Under-injection</v>
      </c>
      <c r="I232" s="6">
        <f t="shared" si="42"/>
        <v>0.13729999999999976</v>
      </c>
      <c r="J232" s="3">
        <v>3.7968000000000002</v>
      </c>
      <c r="K232" s="6">
        <f t="shared" si="43"/>
        <v>1.1695574999999998</v>
      </c>
      <c r="L232" s="6">
        <f t="shared" si="44"/>
        <v>1.55941</v>
      </c>
      <c r="M232" s="6">
        <f t="shared" si="45"/>
        <v>0.13729999999999976</v>
      </c>
      <c r="N232" s="6">
        <f t="shared" si="46"/>
        <v>0</v>
      </c>
      <c r="O232" s="6">
        <f t="shared" si="47"/>
        <v>0</v>
      </c>
      <c r="P232" s="6">
        <f t="shared" si="48"/>
        <v>136.84141799999978</v>
      </c>
      <c r="Q232" s="3">
        <v>136.84141800000003</v>
      </c>
      <c r="R232" s="6">
        <f t="shared" si="49"/>
        <v>-2.5579538487363607E-13</v>
      </c>
      <c r="S232" s="6" t="str">
        <f t="shared" si="50"/>
        <v>OK</v>
      </c>
    </row>
    <row r="233" spans="1:19" x14ac:dyDescent="0.25">
      <c r="A233" s="3" t="str">
        <f t="shared" si="51"/>
        <v>06.05.2026</v>
      </c>
      <c r="B233" s="5">
        <v>24</v>
      </c>
      <c r="C233" s="5" t="s">
        <v>94</v>
      </c>
      <c r="D233" s="3">
        <v>7.7970499999999996</v>
      </c>
      <c r="E233" s="3">
        <v>7.6597499999999998</v>
      </c>
      <c r="F233" s="6">
        <f t="shared" si="39"/>
        <v>-0.13729999999999976</v>
      </c>
      <c r="G233" s="6">
        <f t="shared" si="40"/>
        <v>-1.760922400138511E-2</v>
      </c>
      <c r="H233" s="6" t="str">
        <f t="shared" si="41"/>
        <v>🔴 Under-injection</v>
      </c>
      <c r="I233" s="6">
        <f t="shared" si="42"/>
        <v>0.13729999999999976</v>
      </c>
      <c r="J233" s="3">
        <v>3.6639999999999997</v>
      </c>
      <c r="K233" s="6">
        <f t="shared" si="43"/>
        <v>1.1695574999999998</v>
      </c>
      <c r="L233" s="6">
        <f t="shared" si="44"/>
        <v>1.55941</v>
      </c>
      <c r="M233" s="6">
        <f t="shared" si="45"/>
        <v>0.13729999999999976</v>
      </c>
      <c r="N233" s="6">
        <f t="shared" si="46"/>
        <v>0</v>
      </c>
      <c r="O233" s="6">
        <f t="shared" si="47"/>
        <v>0</v>
      </c>
      <c r="P233" s="6">
        <f t="shared" si="48"/>
        <v>132.05513999999974</v>
      </c>
      <c r="Q233" s="3">
        <v>132.05514000000002</v>
      </c>
      <c r="R233" s="6">
        <f t="shared" si="49"/>
        <v>-2.8421709430404007E-13</v>
      </c>
      <c r="S233" s="6" t="str">
        <f t="shared" si="50"/>
        <v>OK</v>
      </c>
    </row>
    <row r="234" spans="1:19" x14ac:dyDescent="0.25">
      <c r="A234" s="3" t="str">
        <f t="shared" si="51"/>
        <v>06.05.2026</v>
      </c>
      <c r="B234" s="5">
        <v>25</v>
      </c>
      <c r="C234" s="5" t="s">
        <v>93</v>
      </c>
      <c r="D234" s="3">
        <v>7.7970499999999996</v>
      </c>
      <c r="E234" s="3">
        <v>7.6597499999999998</v>
      </c>
      <c r="F234" s="6">
        <f t="shared" si="39"/>
        <v>-0.13729999999999976</v>
      </c>
      <c r="G234" s="6">
        <f t="shared" si="40"/>
        <v>-1.760922400138511E-2</v>
      </c>
      <c r="H234" s="6" t="str">
        <f t="shared" si="41"/>
        <v>🔴 Under-injection</v>
      </c>
      <c r="I234" s="6">
        <f t="shared" si="42"/>
        <v>0.13729999999999976</v>
      </c>
      <c r="J234" s="3">
        <v>3.6238999999999999</v>
      </c>
      <c r="K234" s="6">
        <f t="shared" si="43"/>
        <v>1.1695574999999998</v>
      </c>
      <c r="L234" s="6">
        <f t="shared" si="44"/>
        <v>1.55941</v>
      </c>
      <c r="M234" s="6">
        <f t="shared" si="45"/>
        <v>0.13729999999999976</v>
      </c>
      <c r="N234" s="6">
        <f t="shared" si="46"/>
        <v>0</v>
      </c>
      <c r="O234" s="6">
        <f t="shared" si="47"/>
        <v>0</v>
      </c>
      <c r="P234" s="6">
        <f t="shared" si="48"/>
        <v>130.60988587499975</v>
      </c>
      <c r="Q234" s="3">
        <v>130.609885875</v>
      </c>
      <c r="R234" s="6">
        <f t="shared" si="49"/>
        <v>-2.5579538487363607E-13</v>
      </c>
      <c r="S234" s="6" t="str">
        <f t="shared" si="50"/>
        <v>OK</v>
      </c>
    </row>
    <row r="235" spans="1:19" x14ac:dyDescent="0.25">
      <c r="A235" s="3" t="str">
        <f t="shared" si="51"/>
        <v>06.05.2026</v>
      </c>
      <c r="B235" s="5">
        <v>26</v>
      </c>
      <c r="C235" s="5" t="s">
        <v>92</v>
      </c>
      <c r="D235" s="3">
        <v>7.7970499999999996</v>
      </c>
      <c r="E235" s="3">
        <v>7.6597499999999998</v>
      </c>
      <c r="F235" s="6">
        <f t="shared" si="39"/>
        <v>-0.13729999999999976</v>
      </c>
      <c r="G235" s="6">
        <f t="shared" si="40"/>
        <v>-1.760922400138511E-2</v>
      </c>
      <c r="H235" s="6" t="str">
        <f t="shared" si="41"/>
        <v>🔴 Under-injection</v>
      </c>
      <c r="I235" s="6">
        <f t="shared" si="42"/>
        <v>0.13729999999999976</v>
      </c>
      <c r="J235" s="3">
        <v>3.6182999999999996</v>
      </c>
      <c r="K235" s="6">
        <f t="shared" si="43"/>
        <v>1.1695574999999998</v>
      </c>
      <c r="L235" s="6">
        <f t="shared" si="44"/>
        <v>1.55941</v>
      </c>
      <c r="M235" s="6">
        <f t="shared" si="45"/>
        <v>0.13729999999999976</v>
      </c>
      <c r="N235" s="6">
        <f t="shared" si="46"/>
        <v>0</v>
      </c>
      <c r="O235" s="6">
        <f t="shared" si="47"/>
        <v>0</v>
      </c>
      <c r="P235" s="6">
        <f t="shared" si="48"/>
        <v>130.40805487499975</v>
      </c>
      <c r="Q235" s="3">
        <v>130.40805487499998</v>
      </c>
      <c r="R235" s="6">
        <f t="shared" si="49"/>
        <v>-2.2737367544323206E-13</v>
      </c>
      <c r="S235" s="6" t="str">
        <f t="shared" si="50"/>
        <v>OK</v>
      </c>
    </row>
    <row r="236" spans="1:19" x14ac:dyDescent="0.25">
      <c r="A236" s="3" t="str">
        <f t="shared" si="51"/>
        <v>06.05.2026</v>
      </c>
      <c r="B236" s="5">
        <v>27</v>
      </c>
      <c r="C236" s="5" t="s">
        <v>91</v>
      </c>
      <c r="D236" s="3">
        <v>7.7970499999999996</v>
      </c>
      <c r="E236" s="3">
        <v>7.6597499999999998</v>
      </c>
      <c r="F236" s="6">
        <f t="shared" si="39"/>
        <v>-0.13729999999999976</v>
      </c>
      <c r="G236" s="6">
        <f t="shared" si="40"/>
        <v>-1.760922400138511E-2</v>
      </c>
      <c r="H236" s="6" t="str">
        <f t="shared" si="41"/>
        <v>🔴 Under-injection</v>
      </c>
      <c r="I236" s="6">
        <f t="shared" si="42"/>
        <v>0.13729999999999976</v>
      </c>
      <c r="J236" s="3">
        <v>3.3511000000000002</v>
      </c>
      <c r="K236" s="6">
        <f t="shared" si="43"/>
        <v>1.1695574999999998</v>
      </c>
      <c r="L236" s="6">
        <f t="shared" si="44"/>
        <v>1.55941</v>
      </c>
      <c r="M236" s="6">
        <f t="shared" si="45"/>
        <v>0.13729999999999976</v>
      </c>
      <c r="N236" s="6">
        <f t="shared" si="46"/>
        <v>0</v>
      </c>
      <c r="O236" s="6">
        <f t="shared" si="47"/>
        <v>0</v>
      </c>
      <c r="P236" s="6">
        <f t="shared" si="48"/>
        <v>120.77783287499979</v>
      </c>
      <c r="Q236" s="3">
        <v>120.77783287500002</v>
      </c>
      <c r="R236" s="6">
        <f t="shared" si="49"/>
        <v>-2.2737367544323206E-13</v>
      </c>
      <c r="S236" s="6" t="str">
        <f t="shared" si="50"/>
        <v>OK</v>
      </c>
    </row>
    <row r="237" spans="1:19" x14ac:dyDescent="0.25">
      <c r="A237" s="3" t="str">
        <f t="shared" si="51"/>
        <v>06.05.2026</v>
      </c>
      <c r="B237" s="5">
        <v>28</v>
      </c>
      <c r="C237" s="5" t="s">
        <v>90</v>
      </c>
      <c r="D237" s="3">
        <v>7.7970499999999996</v>
      </c>
      <c r="E237" s="3">
        <v>7.6597499999999998</v>
      </c>
      <c r="F237" s="6">
        <f t="shared" si="39"/>
        <v>-0.13729999999999976</v>
      </c>
      <c r="G237" s="6">
        <f t="shared" si="40"/>
        <v>-1.760922400138511E-2</v>
      </c>
      <c r="H237" s="6" t="str">
        <f t="shared" si="41"/>
        <v>🔴 Under-injection</v>
      </c>
      <c r="I237" s="6">
        <f t="shared" si="42"/>
        <v>0.13729999999999976</v>
      </c>
      <c r="J237" s="3">
        <v>3.2085000000000004</v>
      </c>
      <c r="K237" s="6">
        <f t="shared" si="43"/>
        <v>1.1695574999999998</v>
      </c>
      <c r="L237" s="6">
        <f t="shared" si="44"/>
        <v>1.55941</v>
      </c>
      <c r="M237" s="6">
        <f t="shared" si="45"/>
        <v>0.13729999999999976</v>
      </c>
      <c r="N237" s="6">
        <f t="shared" si="46"/>
        <v>0</v>
      </c>
      <c r="O237" s="6">
        <f t="shared" si="47"/>
        <v>0</v>
      </c>
      <c r="P237" s="6">
        <f t="shared" si="48"/>
        <v>115.6383506249998</v>
      </c>
      <c r="Q237" s="3">
        <v>115.63835062500003</v>
      </c>
      <c r="R237" s="6">
        <f t="shared" si="49"/>
        <v>-2.2737367544323206E-13</v>
      </c>
      <c r="S237" s="6" t="str">
        <f t="shared" si="50"/>
        <v>OK</v>
      </c>
    </row>
    <row r="238" spans="1:19" x14ac:dyDescent="0.25">
      <c r="A238" s="3" t="str">
        <f t="shared" si="51"/>
        <v>06.05.2026</v>
      </c>
      <c r="B238" s="5">
        <v>29</v>
      </c>
      <c r="C238" s="5" t="s">
        <v>89</v>
      </c>
      <c r="D238" s="3">
        <v>7.7970499999999996</v>
      </c>
      <c r="E238" s="3">
        <v>7.6710900000000004</v>
      </c>
      <c r="F238" s="6">
        <f t="shared" si="39"/>
        <v>-0.12595999999999918</v>
      </c>
      <c r="G238" s="6">
        <f t="shared" si="40"/>
        <v>-1.6154827787432321E-2</v>
      </c>
      <c r="H238" s="6" t="str">
        <f t="shared" si="41"/>
        <v>🔴 Under-injection</v>
      </c>
      <c r="I238" s="6">
        <f t="shared" si="42"/>
        <v>0.12595999999999918</v>
      </c>
      <c r="J238" s="3">
        <v>3.1298000000000004</v>
      </c>
      <c r="K238" s="6">
        <f t="shared" si="43"/>
        <v>1.1695574999999998</v>
      </c>
      <c r="L238" s="6">
        <f t="shared" si="44"/>
        <v>1.55941</v>
      </c>
      <c r="M238" s="6">
        <f t="shared" si="45"/>
        <v>0.12595999999999918</v>
      </c>
      <c r="N238" s="6">
        <f t="shared" si="46"/>
        <v>0</v>
      </c>
      <c r="O238" s="6">
        <f t="shared" si="47"/>
        <v>0</v>
      </c>
      <c r="P238" s="6">
        <f t="shared" si="48"/>
        <v>103.48527209999935</v>
      </c>
      <c r="Q238" s="3">
        <v>103.48527210000002</v>
      </c>
      <c r="R238" s="6">
        <f t="shared" si="49"/>
        <v>-6.6791017161449417E-13</v>
      </c>
      <c r="S238" s="6" t="str">
        <f t="shared" si="50"/>
        <v>OK</v>
      </c>
    </row>
    <row r="239" spans="1:19" x14ac:dyDescent="0.25">
      <c r="A239" s="3" t="str">
        <f t="shared" si="51"/>
        <v>06.05.2026</v>
      </c>
      <c r="B239" s="5">
        <v>30</v>
      </c>
      <c r="C239" s="5" t="s">
        <v>88</v>
      </c>
      <c r="D239" s="3">
        <v>7.7970499999999996</v>
      </c>
      <c r="E239" s="3">
        <v>7.6597499999999998</v>
      </c>
      <c r="F239" s="6">
        <f t="shared" si="39"/>
        <v>-0.13729999999999976</v>
      </c>
      <c r="G239" s="6">
        <f t="shared" si="40"/>
        <v>-1.760922400138511E-2</v>
      </c>
      <c r="H239" s="6" t="str">
        <f t="shared" si="41"/>
        <v>🔴 Under-injection</v>
      </c>
      <c r="I239" s="6">
        <f t="shared" si="42"/>
        <v>0.13729999999999976</v>
      </c>
      <c r="J239" s="3">
        <v>2.81</v>
      </c>
      <c r="K239" s="6">
        <f t="shared" si="43"/>
        <v>1.1695574999999998</v>
      </c>
      <c r="L239" s="6">
        <f t="shared" si="44"/>
        <v>1.55941</v>
      </c>
      <c r="M239" s="6">
        <f t="shared" si="45"/>
        <v>0.13729999999999976</v>
      </c>
      <c r="N239" s="6">
        <f t="shared" si="46"/>
        <v>0</v>
      </c>
      <c r="O239" s="6">
        <f t="shared" si="47"/>
        <v>0</v>
      </c>
      <c r="P239" s="6">
        <f t="shared" si="48"/>
        <v>101.27591249999982</v>
      </c>
      <c r="Q239" s="3">
        <v>101.2759125</v>
      </c>
      <c r="R239" s="6">
        <f t="shared" si="49"/>
        <v>-1.8474111129762605E-13</v>
      </c>
      <c r="S239" s="6" t="str">
        <f t="shared" si="50"/>
        <v>OK</v>
      </c>
    </row>
    <row r="240" spans="1:19" x14ac:dyDescent="0.25">
      <c r="A240" s="3" t="str">
        <f t="shared" si="51"/>
        <v>06.05.2026</v>
      </c>
      <c r="B240" s="5">
        <v>31</v>
      </c>
      <c r="C240" s="5" t="s">
        <v>87</v>
      </c>
      <c r="D240" s="3">
        <v>7.7970499999999996</v>
      </c>
      <c r="E240" s="3">
        <v>7.6597499999999998</v>
      </c>
      <c r="F240" s="6">
        <f t="shared" si="39"/>
        <v>-0.13729999999999976</v>
      </c>
      <c r="G240" s="6">
        <f t="shared" si="40"/>
        <v>-1.760922400138511E-2</v>
      </c>
      <c r="H240" s="6" t="str">
        <f t="shared" si="41"/>
        <v>🔴 Under-injection</v>
      </c>
      <c r="I240" s="6">
        <f t="shared" si="42"/>
        <v>0.13729999999999976</v>
      </c>
      <c r="J240" s="3">
        <v>2.1339999999999999</v>
      </c>
      <c r="K240" s="6">
        <f t="shared" si="43"/>
        <v>1.1695574999999998</v>
      </c>
      <c r="L240" s="6">
        <f t="shared" si="44"/>
        <v>1.55941</v>
      </c>
      <c r="M240" s="6">
        <f t="shared" si="45"/>
        <v>0.13729999999999976</v>
      </c>
      <c r="N240" s="6">
        <f t="shared" si="46"/>
        <v>0</v>
      </c>
      <c r="O240" s="6">
        <f t="shared" si="47"/>
        <v>0</v>
      </c>
      <c r="P240" s="6">
        <f t="shared" si="48"/>
        <v>76.912027499999851</v>
      </c>
      <c r="Q240" s="3">
        <v>76.912027499999994</v>
      </c>
      <c r="R240" s="6">
        <f t="shared" si="49"/>
        <v>-1.4210854715202004E-13</v>
      </c>
      <c r="S240" s="6" t="str">
        <f t="shared" si="50"/>
        <v>OK</v>
      </c>
    </row>
    <row r="241" spans="1:19" x14ac:dyDescent="0.25">
      <c r="A241" s="3" t="str">
        <f t="shared" si="51"/>
        <v>06.05.2026</v>
      </c>
      <c r="B241" s="5">
        <v>32</v>
      </c>
      <c r="C241" s="5" t="s">
        <v>86</v>
      </c>
      <c r="D241" s="3">
        <v>7.7970499999999996</v>
      </c>
      <c r="E241" s="3">
        <v>7.6597499999999998</v>
      </c>
      <c r="F241" s="6">
        <f t="shared" si="39"/>
        <v>-0.13729999999999976</v>
      </c>
      <c r="G241" s="6">
        <f t="shared" si="40"/>
        <v>-1.760922400138511E-2</v>
      </c>
      <c r="H241" s="6" t="str">
        <f t="shared" si="41"/>
        <v>🔴 Under-injection</v>
      </c>
      <c r="I241" s="6">
        <f t="shared" si="42"/>
        <v>0.13729999999999976</v>
      </c>
      <c r="J241" s="3">
        <v>1.7181999999999999</v>
      </c>
      <c r="K241" s="6">
        <f t="shared" si="43"/>
        <v>1.1695574999999998</v>
      </c>
      <c r="L241" s="6">
        <f t="shared" si="44"/>
        <v>1.55941</v>
      </c>
      <c r="M241" s="6">
        <f t="shared" si="45"/>
        <v>0.13729999999999976</v>
      </c>
      <c r="N241" s="6">
        <f t="shared" si="46"/>
        <v>0</v>
      </c>
      <c r="O241" s="6">
        <f t="shared" si="47"/>
        <v>0</v>
      </c>
      <c r="P241" s="6">
        <f t="shared" si="48"/>
        <v>61.926075749999889</v>
      </c>
      <c r="Q241" s="3">
        <v>61.926075750000003</v>
      </c>
      <c r="R241" s="6">
        <f t="shared" si="49"/>
        <v>-1.1368683772161603E-13</v>
      </c>
      <c r="S241" s="6" t="str">
        <f t="shared" si="50"/>
        <v>OK</v>
      </c>
    </row>
    <row r="242" spans="1:19" x14ac:dyDescent="0.25">
      <c r="A242" s="3" t="str">
        <f t="shared" si="51"/>
        <v>06.05.2026</v>
      </c>
      <c r="B242" s="5">
        <v>33</v>
      </c>
      <c r="C242" s="5" t="s">
        <v>85</v>
      </c>
      <c r="D242" s="3">
        <v>7.7970499999999996</v>
      </c>
      <c r="E242" s="3">
        <v>7.6597499999999998</v>
      </c>
      <c r="F242" s="6">
        <f t="shared" si="39"/>
        <v>-0.13729999999999976</v>
      </c>
      <c r="G242" s="6">
        <f t="shared" si="40"/>
        <v>-1.760922400138511E-2</v>
      </c>
      <c r="H242" s="6" t="str">
        <f t="shared" si="41"/>
        <v>🔴 Under-injection</v>
      </c>
      <c r="I242" s="6">
        <f t="shared" si="42"/>
        <v>0.13729999999999976</v>
      </c>
      <c r="J242" s="3">
        <v>1.1194999999999999</v>
      </c>
      <c r="K242" s="6">
        <f t="shared" si="43"/>
        <v>1.1695574999999998</v>
      </c>
      <c r="L242" s="6">
        <f t="shared" si="44"/>
        <v>1.55941</v>
      </c>
      <c r="M242" s="6">
        <f t="shared" si="45"/>
        <v>0.13729999999999976</v>
      </c>
      <c r="N242" s="6">
        <f t="shared" si="46"/>
        <v>0</v>
      </c>
      <c r="O242" s="6">
        <f t="shared" si="47"/>
        <v>0</v>
      </c>
      <c r="P242" s="6">
        <f t="shared" si="48"/>
        <v>40.348179374999923</v>
      </c>
      <c r="Q242" s="3">
        <v>40.348179375000001</v>
      </c>
      <c r="R242" s="6">
        <f t="shared" si="49"/>
        <v>-7.815970093361102E-14</v>
      </c>
      <c r="S242" s="6" t="str">
        <f t="shared" si="50"/>
        <v>OK</v>
      </c>
    </row>
    <row r="243" spans="1:19" x14ac:dyDescent="0.25">
      <c r="A243" s="3" t="str">
        <f t="shared" si="51"/>
        <v>06.05.2026</v>
      </c>
      <c r="B243" s="5">
        <v>34</v>
      </c>
      <c r="C243" s="5" t="s">
        <v>84</v>
      </c>
      <c r="D243" s="3">
        <v>7.7970499999999996</v>
      </c>
      <c r="E243" s="3">
        <v>7.6597499999999998</v>
      </c>
      <c r="F243" s="6">
        <f t="shared" si="39"/>
        <v>-0.13729999999999976</v>
      </c>
      <c r="G243" s="6">
        <f t="shared" si="40"/>
        <v>-1.760922400138511E-2</v>
      </c>
      <c r="H243" s="6" t="str">
        <f t="shared" si="41"/>
        <v>🔴 Under-injection</v>
      </c>
      <c r="I243" s="6">
        <f t="shared" si="42"/>
        <v>0.13729999999999976</v>
      </c>
      <c r="J243" s="3">
        <v>0.81530000000000002</v>
      </c>
      <c r="K243" s="6">
        <f t="shared" si="43"/>
        <v>1.1695574999999998</v>
      </c>
      <c r="L243" s="6">
        <f t="shared" si="44"/>
        <v>1.55941</v>
      </c>
      <c r="M243" s="6">
        <f t="shared" si="45"/>
        <v>0.13729999999999976</v>
      </c>
      <c r="N243" s="6">
        <f t="shared" si="46"/>
        <v>0</v>
      </c>
      <c r="O243" s="6">
        <f t="shared" si="47"/>
        <v>0</v>
      </c>
      <c r="P243" s="6">
        <f t="shared" si="48"/>
        <v>29.384431124999946</v>
      </c>
      <c r="Q243" s="3">
        <v>29.384431125000003</v>
      </c>
      <c r="R243" s="6">
        <f t="shared" si="49"/>
        <v>-5.6843418860808015E-14</v>
      </c>
      <c r="S243" s="6" t="str">
        <f t="shared" si="50"/>
        <v>OK</v>
      </c>
    </row>
    <row r="244" spans="1:19" x14ac:dyDescent="0.25">
      <c r="A244" s="3" t="str">
        <f t="shared" si="51"/>
        <v>06.05.2026</v>
      </c>
      <c r="B244" s="5">
        <v>35</v>
      </c>
      <c r="C244" s="5" t="s">
        <v>83</v>
      </c>
      <c r="D244" s="3">
        <v>7.9970499999999989</v>
      </c>
      <c r="E244" s="3">
        <v>7.7959199999999997</v>
      </c>
      <c r="F244" s="6">
        <f t="shared" si="39"/>
        <v>-0.20112999999999914</v>
      </c>
      <c r="G244" s="6">
        <f t="shared" si="40"/>
        <v>-2.5150524255819231E-2</v>
      </c>
      <c r="H244" s="6" t="str">
        <f t="shared" si="41"/>
        <v>🔴 Under-injection</v>
      </c>
      <c r="I244" s="6">
        <f t="shared" si="42"/>
        <v>0.20112999999999914</v>
      </c>
      <c r="J244" s="3">
        <v>0.73959999999999992</v>
      </c>
      <c r="K244" s="6">
        <f t="shared" si="43"/>
        <v>1.1995574999999998</v>
      </c>
      <c r="L244" s="6">
        <f t="shared" si="44"/>
        <v>1.5994099999999998</v>
      </c>
      <c r="M244" s="6">
        <f t="shared" si="45"/>
        <v>0.20112999999999914</v>
      </c>
      <c r="N244" s="6">
        <f t="shared" si="46"/>
        <v>0</v>
      </c>
      <c r="O244" s="6">
        <f t="shared" si="47"/>
        <v>0</v>
      </c>
      <c r="P244" s="6">
        <f t="shared" si="48"/>
        <v>39.04838384999983</v>
      </c>
      <c r="Q244" s="3">
        <v>39.04838385</v>
      </c>
      <c r="R244" s="6">
        <f t="shared" si="49"/>
        <v>-1.7053025658242404E-13</v>
      </c>
      <c r="S244" s="6" t="str">
        <f t="shared" si="50"/>
        <v>OK</v>
      </c>
    </row>
    <row r="245" spans="1:19" x14ac:dyDescent="0.25">
      <c r="A245" s="3" t="str">
        <f t="shared" si="51"/>
        <v>06.05.2026</v>
      </c>
      <c r="B245" s="5">
        <v>36</v>
      </c>
      <c r="C245" s="5" t="s">
        <v>82</v>
      </c>
      <c r="D245" s="3">
        <v>7.9970499999999989</v>
      </c>
      <c r="E245" s="3">
        <v>7.8072699999999999</v>
      </c>
      <c r="F245" s="6">
        <f t="shared" si="39"/>
        <v>-0.18977999999999895</v>
      </c>
      <c r="G245" s="6">
        <f t="shared" si="40"/>
        <v>-2.3731250898768794E-2</v>
      </c>
      <c r="H245" s="6" t="str">
        <f t="shared" si="41"/>
        <v>🔴 Under-injection</v>
      </c>
      <c r="I245" s="6">
        <f t="shared" si="42"/>
        <v>0.18977999999999895</v>
      </c>
      <c r="J245" s="3">
        <v>0.58700000000000008</v>
      </c>
      <c r="K245" s="6">
        <f t="shared" si="43"/>
        <v>1.1995574999999998</v>
      </c>
      <c r="L245" s="6">
        <f t="shared" si="44"/>
        <v>1.5994099999999998</v>
      </c>
      <c r="M245" s="6">
        <f t="shared" si="45"/>
        <v>0.18977999999999895</v>
      </c>
      <c r="N245" s="6">
        <f t="shared" si="46"/>
        <v>0</v>
      </c>
      <c r="O245" s="6">
        <f t="shared" si="47"/>
        <v>0</v>
      </c>
      <c r="P245" s="6">
        <f t="shared" si="48"/>
        <v>29.242725749999845</v>
      </c>
      <c r="Q245" s="3">
        <v>29.242725750000005</v>
      </c>
      <c r="R245" s="6">
        <f t="shared" si="49"/>
        <v>-1.5987211554602254E-13</v>
      </c>
      <c r="S245" s="6" t="str">
        <f t="shared" si="50"/>
        <v>OK</v>
      </c>
    </row>
    <row r="246" spans="1:19" x14ac:dyDescent="0.25">
      <c r="A246" s="3" t="str">
        <f t="shared" si="51"/>
        <v>06.05.2026</v>
      </c>
      <c r="B246" s="5">
        <v>37</v>
      </c>
      <c r="C246" s="5" t="s">
        <v>81</v>
      </c>
      <c r="D246" s="3">
        <v>7.9970499999999989</v>
      </c>
      <c r="E246" s="3">
        <v>7.8072699999999999</v>
      </c>
      <c r="F246" s="6">
        <f t="shared" si="39"/>
        <v>-0.18977999999999895</v>
      </c>
      <c r="G246" s="6">
        <f t="shared" si="40"/>
        <v>-2.3731250898768794E-2</v>
      </c>
      <c r="H246" s="6" t="str">
        <f t="shared" si="41"/>
        <v>🔴 Under-injection</v>
      </c>
      <c r="I246" s="6">
        <f t="shared" si="42"/>
        <v>0.18977999999999895</v>
      </c>
      <c r="J246" s="3">
        <v>0.67010000000000003</v>
      </c>
      <c r="K246" s="6">
        <f t="shared" si="43"/>
        <v>1.1995574999999998</v>
      </c>
      <c r="L246" s="6">
        <f t="shared" si="44"/>
        <v>1.5994099999999998</v>
      </c>
      <c r="M246" s="6">
        <f t="shared" si="45"/>
        <v>0.18977999999999895</v>
      </c>
      <c r="N246" s="6">
        <f t="shared" si="46"/>
        <v>0</v>
      </c>
      <c r="O246" s="6">
        <f t="shared" si="47"/>
        <v>0</v>
      </c>
      <c r="P246" s="6">
        <f t="shared" si="48"/>
        <v>33.382539224999817</v>
      </c>
      <c r="Q246" s="3">
        <v>33.382539225000002</v>
      </c>
      <c r="R246" s="6">
        <f t="shared" si="49"/>
        <v>-1.8474111129762605E-13</v>
      </c>
      <c r="S246" s="6" t="str">
        <f t="shared" si="50"/>
        <v>OK</v>
      </c>
    </row>
    <row r="247" spans="1:19" x14ac:dyDescent="0.25">
      <c r="A247" s="3" t="str">
        <f t="shared" si="51"/>
        <v>06.05.2026</v>
      </c>
      <c r="B247" s="5">
        <v>38</v>
      </c>
      <c r="C247" s="5" t="s">
        <v>80</v>
      </c>
      <c r="D247" s="3">
        <v>7.9970499999999989</v>
      </c>
      <c r="E247" s="3">
        <v>7.7959199999999997</v>
      </c>
      <c r="F247" s="6">
        <f t="shared" si="39"/>
        <v>-0.20112999999999914</v>
      </c>
      <c r="G247" s="6">
        <f t="shared" si="40"/>
        <v>-2.5150524255819231E-2</v>
      </c>
      <c r="H247" s="6" t="str">
        <f t="shared" si="41"/>
        <v>🔴 Under-injection</v>
      </c>
      <c r="I247" s="6">
        <f t="shared" si="42"/>
        <v>0.20112999999999914</v>
      </c>
      <c r="J247" s="3">
        <v>0.62729999999999997</v>
      </c>
      <c r="K247" s="6">
        <f t="shared" si="43"/>
        <v>1.1995574999999998</v>
      </c>
      <c r="L247" s="6">
        <f t="shared" si="44"/>
        <v>1.5994099999999998</v>
      </c>
      <c r="M247" s="6">
        <f t="shared" si="45"/>
        <v>0.20112999999999914</v>
      </c>
      <c r="N247" s="6">
        <f t="shared" si="46"/>
        <v>0</v>
      </c>
      <c r="O247" s="6">
        <f t="shared" si="47"/>
        <v>0</v>
      </c>
      <c r="P247" s="6">
        <f t="shared" si="48"/>
        <v>33.119322862499857</v>
      </c>
      <c r="Q247" s="3">
        <v>33.119322862499992</v>
      </c>
      <c r="R247" s="6">
        <f t="shared" si="49"/>
        <v>-1.3500311979441904E-13</v>
      </c>
      <c r="S247" s="6" t="str">
        <f t="shared" si="50"/>
        <v>OK</v>
      </c>
    </row>
    <row r="248" spans="1:19" x14ac:dyDescent="0.25">
      <c r="A248" s="3" t="str">
        <f t="shared" si="51"/>
        <v>06.05.2026</v>
      </c>
      <c r="B248" s="5">
        <v>39</v>
      </c>
      <c r="C248" s="5" t="s">
        <v>79</v>
      </c>
      <c r="D248" s="3">
        <v>7.9970499999999989</v>
      </c>
      <c r="E248" s="3">
        <v>7.7959199999999997</v>
      </c>
      <c r="F248" s="6">
        <f t="shared" si="39"/>
        <v>-0.20112999999999914</v>
      </c>
      <c r="G248" s="6">
        <f t="shared" si="40"/>
        <v>-2.5150524255819231E-2</v>
      </c>
      <c r="H248" s="6" t="str">
        <f t="shared" si="41"/>
        <v>🔴 Under-injection</v>
      </c>
      <c r="I248" s="6">
        <f t="shared" si="42"/>
        <v>0.20112999999999914</v>
      </c>
      <c r="J248" s="3">
        <v>0.43259999999999998</v>
      </c>
      <c r="K248" s="6">
        <f t="shared" si="43"/>
        <v>1.1995574999999998</v>
      </c>
      <c r="L248" s="6">
        <f t="shared" si="44"/>
        <v>1.5994099999999998</v>
      </c>
      <c r="M248" s="6">
        <f t="shared" si="45"/>
        <v>0.20112999999999914</v>
      </c>
      <c r="N248" s="6">
        <f t="shared" si="46"/>
        <v>0</v>
      </c>
      <c r="O248" s="6">
        <f t="shared" si="47"/>
        <v>0</v>
      </c>
      <c r="P248" s="6">
        <f t="shared" si="48"/>
        <v>22.839819974999905</v>
      </c>
      <c r="Q248" s="3">
        <v>22.839819975000001</v>
      </c>
      <c r="R248" s="6">
        <f t="shared" si="49"/>
        <v>-9.5923269327613525E-14</v>
      </c>
      <c r="S248" s="6" t="str">
        <f t="shared" si="50"/>
        <v>OK</v>
      </c>
    </row>
    <row r="249" spans="1:19" x14ac:dyDescent="0.25">
      <c r="A249" s="3" t="str">
        <f t="shared" si="51"/>
        <v>06.05.2026</v>
      </c>
      <c r="B249" s="5">
        <v>40</v>
      </c>
      <c r="C249" s="5" t="s">
        <v>78</v>
      </c>
      <c r="D249" s="3">
        <v>7.9970499999999989</v>
      </c>
      <c r="E249" s="3">
        <v>7.7959199999999997</v>
      </c>
      <c r="F249" s="6">
        <f t="shared" si="39"/>
        <v>-0.20112999999999914</v>
      </c>
      <c r="G249" s="6">
        <f t="shared" si="40"/>
        <v>-2.5150524255819231E-2</v>
      </c>
      <c r="H249" s="6" t="str">
        <f t="shared" si="41"/>
        <v>🔴 Under-injection</v>
      </c>
      <c r="I249" s="6">
        <f t="shared" si="42"/>
        <v>0.20112999999999914</v>
      </c>
      <c r="J249" s="3">
        <v>0.40720000000000001</v>
      </c>
      <c r="K249" s="6">
        <f t="shared" si="43"/>
        <v>1.1995574999999998</v>
      </c>
      <c r="L249" s="6">
        <f t="shared" si="44"/>
        <v>1.5994099999999998</v>
      </c>
      <c r="M249" s="6">
        <f t="shared" si="45"/>
        <v>0.20112999999999914</v>
      </c>
      <c r="N249" s="6">
        <f t="shared" si="46"/>
        <v>0</v>
      </c>
      <c r="O249" s="6">
        <f t="shared" si="47"/>
        <v>0</v>
      </c>
      <c r="P249" s="6">
        <f t="shared" si="48"/>
        <v>21.498785699999907</v>
      </c>
      <c r="Q249" s="3">
        <v>21.498785700000003</v>
      </c>
      <c r="R249" s="6">
        <f t="shared" si="49"/>
        <v>-9.5923269327613525E-14</v>
      </c>
      <c r="S249" s="6" t="str">
        <f t="shared" si="50"/>
        <v>OK</v>
      </c>
    </row>
    <row r="250" spans="1:19" x14ac:dyDescent="0.25">
      <c r="A250" s="3" t="str">
        <f t="shared" si="51"/>
        <v>06.05.2026</v>
      </c>
      <c r="B250" s="5">
        <v>41</v>
      </c>
      <c r="C250" s="5" t="s">
        <v>77</v>
      </c>
      <c r="D250" s="3">
        <v>7.9970499999999989</v>
      </c>
      <c r="E250" s="3">
        <v>7.7959199999999997</v>
      </c>
      <c r="F250" s="6">
        <f t="shared" si="39"/>
        <v>-0.20112999999999914</v>
      </c>
      <c r="G250" s="6">
        <f t="shared" si="40"/>
        <v>-2.5150524255819231E-2</v>
      </c>
      <c r="H250" s="6" t="str">
        <f t="shared" si="41"/>
        <v>🔴 Under-injection</v>
      </c>
      <c r="I250" s="6">
        <f t="shared" si="42"/>
        <v>0.20112999999999914</v>
      </c>
      <c r="J250" s="3">
        <v>0.47689999999999999</v>
      </c>
      <c r="K250" s="6">
        <f t="shared" si="43"/>
        <v>1.1995574999999998</v>
      </c>
      <c r="L250" s="6">
        <f t="shared" si="44"/>
        <v>1.5994099999999998</v>
      </c>
      <c r="M250" s="6">
        <f t="shared" si="45"/>
        <v>0.20112999999999914</v>
      </c>
      <c r="N250" s="6">
        <f t="shared" si="46"/>
        <v>0</v>
      </c>
      <c r="O250" s="6">
        <f t="shared" si="47"/>
        <v>0</v>
      </c>
      <c r="P250" s="6">
        <f t="shared" si="48"/>
        <v>25.178710462499893</v>
      </c>
      <c r="Q250" s="3">
        <v>25.1787104625</v>
      </c>
      <c r="R250" s="6">
        <f t="shared" si="49"/>
        <v>-1.0658141036401503E-13</v>
      </c>
      <c r="S250" s="6" t="str">
        <f t="shared" si="50"/>
        <v>OK</v>
      </c>
    </row>
    <row r="251" spans="1:19" x14ac:dyDescent="0.25">
      <c r="A251" s="3" t="str">
        <f t="shared" si="51"/>
        <v>06.05.2026</v>
      </c>
      <c r="B251" s="5">
        <v>42</v>
      </c>
      <c r="C251" s="5" t="s">
        <v>76</v>
      </c>
      <c r="D251" s="3">
        <v>7.9970499999999989</v>
      </c>
      <c r="E251" s="3">
        <v>7.7959199999999997</v>
      </c>
      <c r="F251" s="6">
        <f t="shared" si="39"/>
        <v>-0.20112999999999914</v>
      </c>
      <c r="G251" s="6">
        <f t="shared" si="40"/>
        <v>-2.5150524255819231E-2</v>
      </c>
      <c r="H251" s="6" t="str">
        <f t="shared" si="41"/>
        <v>🔴 Under-injection</v>
      </c>
      <c r="I251" s="6">
        <f t="shared" si="42"/>
        <v>0.20112999999999914</v>
      </c>
      <c r="J251" s="3">
        <v>0.4768</v>
      </c>
      <c r="K251" s="6">
        <f t="shared" si="43"/>
        <v>1.1995574999999998</v>
      </c>
      <c r="L251" s="6">
        <f t="shared" si="44"/>
        <v>1.5994099999999998</v>
      </c>
      <c r="M251" s="6">
        <f t="shared" si="45"/>
        <v>0.20112999999999914</v>
      </c>
      <c r="N251" s="6">
        <f t="shared" si="46"/>
        <v>0</v>
      </c>
      <c r="O251" s="6">
        <f t="shared" si="47"/>
        <v>0</v>
      </c>
      <c r="P251" s="6">
        <f t="shared" si="48"/>
        <v>25.173430799999892</v>
      </c>
      <c r="Q251" s="3">
        <v>25.173430800000002</v>
      </c>
      <c r="R251" s="6">
        <f t="shared" si="49"/>
        <v>-1.1013412404281553E-13</v>
      </c>
      <c r="S251" s="6" t="str">
        <f t="shared" si="50"/>
        <v>OK</v>
      </c>
    </row>
    <row r="252" spans="1:19" x14ac:dyDescent="0.25">
      <c r="A252" s="3" t="str">
        <f t="shared" si="51"/>
        <v>06.05.2026</v>
      </c>
      <c r="B252" s="5">
        <v>43</v>
      </c>
      <c r="C252" s="5" t="s">
        <v>75</v>
      </c>
      <c r="D252" s="3">
        <v>7.9970499999999989</v>
      </c>
      <c r="E252" s="3">
        <v>7.7959199999999997</v>
      </c>
      <c r="F252" s="6">
        <f t="shared" si="39"/>
        <v>-0.20112999999999914</v>
      </c>
      <c r="G252" s="6">
        <f t="shared" si="40"/>
        <v>-2.5150524255819231E-2</v>
      </c>
      <c r="H252" s="6" t="str">
        <f t="shared" si="41"/>
        <v>🔴 Under-injection</v>
      </c>
      <c r="I252" s="6">
        <f t="shared" si="42"/>
        <v>0.20112999999999914</v>
      </c>
      <c r="J252" s="3">
        <v>0.48020000000000002</v>
      </c>
      <c r="K252" s="6">
        <f t="shared" si="43"/>
        <v>1.1995574999999998</v>
      </c>
      <c r="L252" s="6">
        <f t="shared" si="44"/>
        <v>1.5994099999999998</v>
      </c>
      <c r="M252" s="6">
        <f t="shared" si="45"/>
        <v>0.20112999999999914</v>
      </c>
      <c r="N252" s="6">
        <f t="shared" si="46"/>
        <v>0</v>
      </c>
      <c r="O252" s="6">
        <f t="shared" si="47"/>
        <v>0</v>
      </c>
      <c r="P252" s="6">
        <f t="shared" si="48"/>
        <v>25.352939324999895</v>
      </c>
      <c r="Q252" s="3">
        <v>25.352939325000005</v>
      </c>
      <c r="R252" s="6">
        <f t="shared" si="49"/>
        <v>-1.1013412404281553E-13</v>
      </c>
      <c r="S252" s="6" t="str">
        <f t="shared" si="50"/>
        <v>OK</v>
      </c>
    </row>
    <row r="253" spans="1:19" x14ac:dyDescent="0.25">
      <c r="A253" s="3" t="str">
        <f t="shared" si="51"/>
        <v>06.05.2026</v>
      </c>
      <c r="B253" s="5">
        <v>44</v>
      </c>
      <c r="C253" s="5" t="s">
        <v>74</v>
      </c>
      <c r="D253" s="3">
        <v>7.9970499999999989</v>
      </c>
      <c r="E253" s="3">
        <v>7.7959199999999997</v>
      </c>
      <c r="F253" s="6">
        <f t="shared" si="39"/>
        <v>-0.20112999999999914</v>
      </c>
      <c r="G253" s="6">
        <f t="shared" si="40"/>
        <v>-2.5150524255819231E-2</v>
      </c>
      <c r="H253" s="6" t="str">
        <f t="shared" si="41"/>
        <v>🔴 Under-injection</v>
      </c>
      <c r="I253" s="6">
        <f t="shared" si="42"/>
        <v>0.20112999999999914</v>
      </c>
      <c r="J253" s="3">
        <v>0.44939999999999997</v>
      </c>
      <c r="K253" s="6">
        <f t="shared" si="43"/>
        <v>1.1995574999999998</v>
      </c>
      <c r="L253" s="6">
        <f t="shared" si="44"/>
        <v>1.5994099999999998</v>
      </c>
      <c r="M253" s="6">
        <f t="shared" si="45"/>
        <v>0.20112999999999914</v>
      </c>
      <c r="N253" s="6">
        <f t="shared" si="46"/>
        <v>0</v>
      </c>
      <c r="O253" s="6">
        <f t="shared" si="47"/>
        <v>0</v>
      </c>
      <c r="P253" s="6">
        <f t="shared" si="48"/>
        <v>23.726803274999899</v>
      </c>
      <c r="Q253" s="3">
        <v>23.726803274999998</v>
      </c>
      <c r="R253" s="6">
        <f t="shared" si="49"/>
        <v>-9.9475983006414026E-14</v>
      </c>
      <c r="S253" s="6" t="str">
        <f t="shared" si="50"/>
        <v>OK</v>
      </c>
    </row>
    <row r="254" spans="1:19" x14ac:dyDescent="0.25">
      <c r="A254" s="3" t="str">
        <f t="shared" si="51"/>
        <v>06.05.2026</v>
      </c>
      <c r="B254" s="5">
        <v>45</v>
      </c>
      <c r="C254" s="5" t="s">
        <v>73</v>
      </c>
      <c r="D254" s="3">
        <v>7.9970499999999989</v>
      </c>
      <c r="E254" s="3">
        <v>7.7959199999999997</v>
      </c>
      <c r="F254" s="6">
        <f t="shared" si="39"/>
        <v>-0.20112999999999914</v>
      </c>
      <c r="G254" s="6">
        <f t="shared" si="40"/>
        <v>-2.5150524255819231E-2</v>
      </c>
      <c r="H254" s="6" t="str">
        <f t="shared" si="41"/>
        <v>🔴 Under-injection</v>
      </c>
      <c r="I254" s="6">
        <f t="shared" si="42"/>
        <v>0.20112999999999914</v>
      </c>
      <c r="J254" s="3">
        <v>0.44729999999999998</v>
      </c>
      <c r="K254" s="6">
        <f t="shared" si="43"/>
        <v>1.1995574999999998</v>
      </c>
      <c r="L254" s="6">
        <f t="shared" si="44"/>
        <v>1.5994099999999998</v>
      </c>
      <c r="M254" s="6">
        <f t="shared" si="45"/>
        <v>0.20112999999999914</v>
      </c>
      <c r="N254" s="6">
        <f t="shared" si="46"/>
        <v>0</v>
      </c>
      <c r="O254" s="6">
        <f t="shared" si="47"/>
        <v>0</v>
      </c>
      <c r="P254" s="6">
        <f t="shared" si="48"/>
        <v>23.615930362499899</v>
      </c>
      <c r="Q254" s="3">
        <v>23.615930362499999</v>
      </c>
      <c r="R254" s="6">
        <f t="shared" si="49"/>
        <v>-9.9475983006414026E-14</v>
      </c>
      <c r="S254" s="6" t="str">
        <f t="shared" si="50"/>
        <v>OK</v>
      </c>
    </row>
    <row r="255" spans="1:19" x14ac:dyDescent="0.25">
      <c r="A255" s="3" t="str">
        <f t="shared" si="51"/>
        <v>06.05.2026</v>
      </c>
      <c r="B255" s="5">
        <v>46</v>
      </c>
      <c r="C255" s="5" t="s">
        <v>72</v>
      </c>
      <c r="D255" s="3">
        <v>7.9970499999999989</v>
      </c>
      <c r="E255" s="3">
        <v>7.7959199999999997</v>
      </c>
      <c r="F255" s="6">
        <f t="shared" si="39"/>
        <v>-0.20112999999999914</v>
      </c>
      <c r="G255" s="6">
        <f t="shared" si="40"/>
        <v>-2.5150524255819231E-2</v>
      </c>
      <c r="H255" s="6" t="str">
        <f t="shared" si="41"/>
        <v>🔴 Under-injection</v>
      </c>
      <c r="I255" s="6">
        <f t="shared" si="42"/>
        <v>0.20112999999999914</v>
      </c>
      <c r="J255" s="3">
        <v>0.50350000000000006</v>
      </c>
      <c r="K255" s="6">
        <f t="shared" si="43"/>
        <v>1.1995574999999998</v>
      </c>
      <c r="L255" s="6">
        <f t="shared" si="44"/>
        <v>1.5994099999999998</v>
      </c>
      <c r="M255" s="6">
        <f t="shared" si="45"/>
        <v>0.20112999999999914</v>
      </c>
      <c r="N255" s="6">
        <f t="shared" si="46"/>
        <v>0</v>
      </c>
      <c r="O255" s="6">
        <f t="shared" si="47"/>
        <v>0</v>
      </c>
      <c r="P255" s="6">
        <f t="shared" si="48"/>
        <v>26.583100687499893</v>
      </c>
      <c r="Q255" s="3">
        <v>26.583100687500007</v>
      </c>
      <c r="R255" s="6">
        <f t="shared" si="49"/>
        <v>-1.1368683772161603E-13</v>
      </c>
      <c r="S255" s="6" t="str">
        <f t="shared" si="50"/>
        <v>OK</v>
      </c>
    </row>
    <row r="256" spans="1:19" x14ac:dyDescent="0.25">
      <c r="A256" s="3" t="str">
        <f t="shared" si="51"/>
        <v>06.05.2026</v>
      </c>
      <c r="B256" s="5">
        <v>47</v>
      </c>
      <c r="C256" s="5" t="s">
        <v>71</v>
      </c>
      <c r="D256" s="3">
        <v>7.9970499999999989</v>
      </c>
      <c r="E256" s="3">
        <v>7.7959199999999997</v>
      </c>
      <c r="F256" s="6">
        <f t="shared" si="39"/>
        <v>-0.20112999999999914</v>
      </c>
      <c r="G256" s="6">
        <f t="shared" si="40"/>
        <v>-2.5150524255819231E-2</v>
      </c>
      <c r="H256" s="6" t="str">
        <f t="shared" si="41"/>
        <v>🔴 Under-injection</v>
      </c>
      <c r="I256" s="6">
        <f t="shared" si="42"/>
        <v>0.20112999999999914</v>
      </c>
      <c r="J256" s="3">
        <v>0.57299999999999995</v>
      </c>
      <c r="K256" s="6">
        <f t="shared" si="43"/>
        <v>1.1995574999999998</v>
      </c>
      <c r="L256" s="6">
        <f t="shared" si="44"/>
        <v>1.5994099999999998</v>
      </c>
      <c r="M256" s="6">
        <f t="shared" si="45"/>
        <v>0.20112999999999914</v>
      </c>
      <c r="N256" s="6">
        <f t="shared" si="46"/>
        <v>0</v>
      </c>
      <c r="O256" s="6">
        <f t="shared" si="47"/>
        <v>0</v>
      </c>
      <c r="P256" s="6">
        <f t="shared" si="48"/>
        <v>30.25246612499987</v>
      </c>
      <c r="Q256" s="3">
        <v>30.252466125000002</v>
      </c>
      <c r="R256" s="6">
        <f t="shared" si="49"/>
        <v>-1.3145040611561853E-13</v>
      </c>
      <c r="S256" s="6" t="str">
        <f t="shared" si="50"/>
        <v>OK</v>
      </c>
    </row>
    <row r="257" spans="1:19" x14ac:dyDescent="0.25">
      <c r="A257" s="3" t="str">
        <f t="shared" si="51"/>
        <v>06.05.2026</v>
      </c>
      <c r="B257" s="5">
        <v>48</v>
      </c>
      <c r="C257" s="5" t="s">
        <v>70</v>
      </c>
      <c r="D257" s="3">
        <v>7.9970499999999989</v>
      </c>
      <c r="E257" s="3">
        <v>7.7959199999999997</v>
      </c>
      <c r="F257" s="6">
        <f t="shared" si="39"/>
        <v>-0.20112999999999914</v>
      </c>
      <c r="G257" s="6">
        <f t="shared" si="40"/>
        <v>-2.5150524255819231E-2</v>
      </c>
      <c r="H257" s="6" t="str">
        <f t="shared" si="41"/>
        <v>🔴 Under-injection</v>
      </c>
      <c r="I257" s="6">
        <f t="shared" si="42"/>
        <v>0.20112999999999914</v>
      </c>
      <c r="J257" s="3">
        <v>0.62630000000000008</v>
      </c>
      <c r="K257" s="6">
        <f t="shared" si="43"/>
        <v>1.1995574999999998</v>
      </c>
      <c r="L257" s="6">
        <f t="shared" si="44"/>
        <v>1.5994099999999998</v>
      </c>
      <c r="M257" s="6">
        <f t="shared" si="45"/>
        <v>0.20112999999999914</v>
      </c>
      <c r="N257" s="6">
        <f t="shared" si="46"/>
        <v>0</v>
      </c>
      <c r="O257" s="6">
        <f t="shared" si="47"/>
        <v>0</v>
      </c>
      <c r="P257" s="6">
        <f t="shared" si="48"/>
        <v>33.066526237499865</v>
      </c>
      <c r="Q257" s="3">
        <v>33.066526237500007</v>
      </c>
      <c r="R257" s="6">
        <f t="shared" si="49"/>
        <v>-1.4210854715202004E-13</v>
      </c>
      <c r="S257" s="6" t="str">
        <f t="shared" si="50"/>
        <v>OK</v>
      </c>
    </row>
    <row r="258" spans="1:19" x14ac:dyDescent="0.25">
      <c r="A258" s="3" t="str">
        <f t="shared" si="51"/>
        <v>06.05.2026</v>
      </c>
      <c r="B258" s="5">
        <v>49</v>
      </c>
      <c r="C258" s="5" t="s">
        <v>69</v>
      </c>
      <c r="D258" s="3">
        <v>7.9970499999999989</v>
      </c>
      <c r="E258" s="3">
        <v>7.7959199999999997</v>
      </c>
      <c r="F258" s="6">
        <f t="shared" si="39"/>
        <v>-0.20112999999999914</v>
      </c>
      <c r="G258" s="6">
        <f t="shared" si="40"/>
        <v>-2.5150524255819231E-2</v>
      </c>
      <c r="H258" s="6" t="str">
        <f t="shared" si="41"/>
        <v>🔴 Under-injection</v>
      </c>
      <c r="I258" s="6">
        <f t="shared" si="42"/>
        <v>0.20112999999999914</v>
      </c>
      <c r="J258" s="3">
        <v>0.62309999999999999</v>
      </c>
      <c r="K258" s="6">
        <f t="shared" si="43"/>
        <v>1.1995574999999998</v>
      </c>
      <c r="L258" s="6">
        <f t="shared" si="44"/>
        <v>1.5994099999999998</v>
      </c>
      <c r="M258" s="6">
        <f t="shared" si="45"/>
        <v>0.20112999999999914</v>
      </c>
      <c r="N258" s="6">
        <f t="shared" si="46"/>
        <v>0</v>
      </c>
      <c r="O258" s="6">
        <f t="shared" si="47"/>
        <v>0</v>
      </c>
      <c r="P258" s="6">
        <f t="shared" si="48"/>
        <v>32.897577037499865</v>
      </c>
      <c r="Q258" s="3">
        <v>32.8975770375</v>
      </c>
      <c r="R258" s="6">
        <f t="shared" si="49"/>
        <v>-1.3500311979441904E-13</v>
      </c>
      <c r="S258" s="6" t="str">
        <f t="shared" si="50"/>
        <v>OK</v>
      </c>
    </row>
    <row r="259" spans="1:19" x14ac:dyDescent="0.25">
      <c r="A259" s="3" t="str">
        <f t="shared" si="51"/>
        <v>06.05.2026</v>
      </c>
      <c r="B259" s="5">
        <v>50</v>
      </c>
      <c r="C259" s="5" t="s">
        <v>68</v>
      </c>
      <c r="D259" s="3">
        <v>7.9970499999999989</v>
      </c>
      <c r="E259" s="3">
        <v>7.7959199999999997</v>
      </c>
      <c r="F259" s="6">
        <f t="shared" si="39"/>
        <v>-0.20112999999999914</v>
      </c>
      <c r="G259" s="6">
        <f t="shared" si="40"/>
        <v>-2.5150524255819231E-2</v>
      </c>
      <c r="H259" s="6" t="str">
        <f t="shared" si="41"/>
        <v>🔴 Under-injection</v>
      </c>
      <c r="I259" s="6">
        <f t="shared" si="42"/>
        <v>0.20112999999999914</v>
      </c>
      <c r="J259" s="3">
        <v>0.56950000000000001</v>
      </c>
      <c r="K259" s="6">
        <f t="shared" si="43"/>
        <v>1.1995574999999998</v>
      </c>
      <c r="L259" s="6">
        <f t="shared" si="44"/>
        <v>1.5994099999999998</v>
      </c>
      <c r="M259" s="6">
        <f t="shared" si="45"/>
        <v>0.20112999999999914</v>
      </c>
      <c r="N259" s="6">
        <f t="shared" si="46"/>
        <v>0</v>
      </c>
      <c r="O259" s="6">
        <f t="shared" si="47"/>
        <v>0</v>
      </c>
      <c r="P259" s="6">
        <f t="shared" si="48"/>
        <v>30.067677937499873</v>
      </c>
      <c r="Q259" s="3">
        <v>30.067677937500001</v>
      </c>
      <c r="R259" s="6">
        <f t="shared" si="49"/>
        <v>-1.2789769243681803E-13</v>
      </c>
      <c r="S259" s="6" t="str">
        <f t="shared" si="50"/>
        <v>OK</v>
      </c>
    </row>
    <row r="260" spans="1:19" x14ac:dyDescent="0.25">
      <c r="A260" s="3" t="str">
        <f t="shared" si="51"/>
        <v>06.05.2026</v>
      </c>
      <c r="B260" s="5">
        <v>51</v>
      </c>
      <c r="C260" s="5" t="s">
        <v>67</v>
      </c>
      <c r="D260" s="3">
        <v>7.9970499999999989</v>
      </c>
      <c r="E260" s="3">
        <v>7.7959199999999997</v>
      </c>
      <c r="F260" s="6">
        <f t="shared" si="39"/>
        <v>-0.20112999999999914</v>
      </c>
      <c r="G260" s="6">
        <f t="shared" si="40"/>
        <v>-2.5150524255819231E-2</v>
      </c>
      <c r="H260" s="6" t="str">
        <f t="shared" si="41"/>
        <v>🔴 Under-injection</v>
      </c>
      <c r="I260" s="6">
        <f t="shared" si="42"/>
        <v>0.20112999999999914</v>
      </c>
      <c r="J260" s="3">
        <v>0.56320000000000003</v>
      </c>
      <c r="K260" s="6">
        <f t="shared" si="43"/>
        <v>1.1995574999999998</v>
      </c>
      <c r="L260" s="6">
        <f t="shared" si="44"/>
        <v>1.5994099999999998</v>
      </c>
      <c r="M260" s="6">
        <f t="shared" si="45"/>
        <v>0.20112999999999914</v>
      </c>
      <c r="N260" s="6">
        <f t="shared" si="46"/>
        <v>0</v>
      </c>
      <c r="O260" s="6">
        <f t="shared" si="47"/>
        <v>0</v>
      </c>
      <c r="P260" s="6">
        <f t="shared" si="48"/>
        <v>29.735059199999874</v>
      </c>
      <c r="Q260" s="3">
        <v>29.735059200000006</v>
      </c>
      <c r="R260" s="6">
        <f t="shared" si="49"/>
        <v>-1.3145040611561853E-13</v>
      </c>
      <c r="S260" s="6" t="str">
        <f t="shared" si="50"/>
        <v>OK</v>
      </c>
    </row>
    <row r="261" spans="1:19" x14ac:dyDescent="0.25">
      <c r="A261" s="3" t="str">
        <f t="shared" si="51"/>
        <v>06.05.2026</v>
      </c>
      <c r="B261" s="5">
        <v>52</v>
      </c>
      <c r="C261" s="5" t="s">
        <v>66</v>
      </c>
      <c r="D261" s="3">
        <v>7.9970499999999989</v>
      </c>
      <c r="E261" s="3">
        <v>7.7959199999999997</v>
      </c>
      <c r="F261" s="6">
        <f t="shared" si="39"/>
        <v>-0.20112999999999914</v>
      </c>
      <c r="G261" s="6">
        <f t="shared" si="40"/>
        <v>-2.5150524255819231E-2</v>
      </c>
      <c r="H261" s="6" t="str">
        <f t="shared" si="41"/>
        <v>🔴 Under-injection</v>
      </c>
      <c r="I261" s="6">
        <f t="shared" si="42"/>
        <v>0.20112999999999914</v>
      </c>
      <c r="J261" s="3">
        <v>0.57040000000000002</v>
      </c>
      <c r="K261" s="6">
        <f t="shared" si="43"/>
        <v>1.1995574999999998</v>
      </c>
      <c r="L261" s="6">
        <f t="shared" si="44"/>
        <v>1.5994099999999998</v>
      </c>
      <c r="M261" s="6">
        <f t="shared" si="45"/>
        <v>0.20112999999999914</v>
      </c>
      <c r="N261" s="6">
        <f t="shared" si="46"/>
        <v>0</v>
      </c>
      <c r="O261" s="6">
        <f t="shared" si="47"/>
        <v>0</v>
      </c>
      <c r="P261" s="6">
        <f t="shared" si="48"/>
        <v>30.115194899999874</v>
      </c>
      <c r="Q261" s="3">
        <v>30.115194899999999</v>
      </c>
      <c r="R261" s="6">
        <f t="shared" si="49"/>
        <v>-1.2434497875801753E-13</v>
      </c>
      <c r="S261" s="6" t="str">
        <f t="shared" si="50"/>
        <v>OK</v>
      </c>
    </row>
    <row r="262" spans="1:19" x14ac:dyDescent="0.25">
      <c r="A262" s="3" t="str">
        <f t="shared" si="51"/>
        <v>06.05.2026</v>
      </c>
      <c r="B262" s="5">
        <v>53</v>
      </c>
      <c r="C262" s="5" t="s">
        <v>65</v>
      </c>
      <c r="D262" s="3">
        <v>7.9970499999999989</v>
      </c>
      <c r="E262" s="3">
        <v>7.7959199999999997</v>
      </c>
      <c r="F262" s="6">
        <f t="shared" si="39"/>
        <v>-0.20112999999999914</v>
      </c>
      <c r="G262" s="6">
        <f t="shared" si="40"/>
        <v>-2.5150524255819231E-2</v>
      </c>
      <c r="H262" s="6" t="str">
        <f t="shared" si="41"/>
        <v>🔴 Under-injection</v>
      </c>
      <c r="I262" s="6">
        <f t="shared" si="42"/>
        <v>0.20112999999999914</v>
      </c>
      <c r="J262" s="3">
        <v>0.56999999999999995</v>
      </c>
      <c r="K262" s="6">
        <f t="shared" si="43"/>
        <v>1.1995574999999998</v>
      </c>
      <c r="L262" s="6">
        <f t="shared" si="44"/>
        <v>1.5994099999999998</v>
      </c>
      <c r="M262" s="6">
        <f t="shared" si="45"/>
        <v>0.20112999999999914</v>
      </c>
      <c r="N262" s="6">
        <f t="shared" si="46"/>
        <v>0</v>
      </c>
      <c r="O262" s="6">
        <f t="shared" si="47"/>
        <v>0</v>
      </c>
      <c r="P262" s="6">
        <f t="shared" si="48"/>
        <v>30.094076249999873</v>
      </c>
      <c r="Q262" s="3">
        <v>30.094076249999997</v>
      </c>
      <c r="R262" s="6">
        <f t="shared" si="49"/>
        <v>-1.2434497875801753E-13</v>
      </c>
      <c r="S262" s="6" t="str">
        <f t="shared" si="50"/>
        <v>OK</v>
      </c>
    </row>
    <row r="263" spans="1:19" x14ac:dyDescent="0.25">
      <c r="A263" s="3" t="str">
        <f t="shared" si="51"/>
        <v>06.05.2026</v>
      </c>
      <c r="B263" s="5">
        <v>54</v>
      </c>
      <c r="C263" s="5" t="s">
        <v>64</v>
      </c>
      <c r="D263" s="3">
        <v>7.9970499999999989</v>
      </c>
      <c r="E263" s="3">
        <v>7.7959199999999997</v>
      </c>
      <c r="F263" s="6">
        <f t="shared" si="39"/>
        <v>-0.20112999999999914</v>
      </c>
      <c r="G263" s="6">
        <f t="shared" si="40"/>
        <v>-2.5150524255819231E-2</v>
      </c>
      <c r="H263" s="6" t="str">
        <f t="shared" si="41"/>
        <v>🔴 Under-injection</v>
      </c>
      <c r="I263" s="6">
        <f t="shared" si="42"/>
        <v>0.20112999999999914</v>
      </c>
      <c r="J263" s="3">
        <v>0.57009999999999994</v>
      </c>
      <c r="K263" s="6">
        <f t="shared" si="43"/>
        <v>1.1995574999999998</v>
      </c>
      <c r="L263" s="6">
        <f t="shared" si="44"/>
        <v>1.5994099999999998</v>
      </c>
      <c r="M263" s="6">
        <f t="shared" si="45"/>
        <v>0.20112999999999914</v>
      </c>
      <c r="N263" s="6">
        <f t="shared" si="46"/>
        <v>0</v>
      </c>
      <c r="O263" s="6">
        <f t="shared" si="47"/>
        <v>0</v>
      </c>
      <c r="P263" s="6">
        <f t="shared" si="48"/>
        <v>30.099355912499867</v>
      </c>
      <c r="Q263" s="3">
        <v>30.099355912499998</v>
      </c>
      <c r="R263" s="6">
        <f t="shared" si="49"/>
        <v>-1.3145040611561853E-13</v>
      </c>
      <c r="S263" s="6" t="str">
        <f t="shared" si="50"/>
        <v>OK</v>
      </c>
    </row>
    <row r="264" spans="1:19" x14ac:dyDescent="0.25">
      <c r="A264" s="3" t="str">
        <f t="shared" si="51"/>
        <v>06.05.2026</v>
      </c>
      <c r="B264" s="5">
        <v>55</v>
      </c>
      <c r="C264" s="5" t="s">
        <v>63</v>
      </c>
      <c r="D264" s="3">
        <v>7.9970499999999989</v>
      </c>
      <c r="E264" s="3">
        <v>7.7959199999999997</v>
      </c>
      <c r="F264" s="6">
        <f t="shared" si="39"/>
        <v>-0.20112999999999914</v>
      </c>
      <c r="G264" s="6">
        <f t="shared" si="40"/>
        <v>-2.5150524255819231E-2</v>
      </c>
      <c r="H264" s="6" t="str">
        <f t="shared" si="41"/>
        <v>🔴 Under-injection</v>
      </c>
      <c r="I264" s="6">
        <f t="shared" si="42"/>
        <v>0.20112999999999914</v>
      </c>
      <c r="J264" s="3">
        <v>0.56889999999999996</v>
      </c>
      <c r="K264" s="6">
        <f t="shared" si="43"/>
        <v>1.1995574999999998</v>
      </c>
      <c r="L264" s="6">
        <f t="shared" si="44"/>
        <v>1.5994099999999998</v>
      </c>
      <c r="M264" s="6">
        <f t="shared" si="45"/>
        <v>0.20112999999999914</v>
      </c>
      <c r="N264" s="6">
        <f t="shared" si="46"/>
        <v>0</v>
      </c>
      <c r="O264" s="6">
        <f t="shared" si="47"/>
        <v>0</v>
      </c>
      <c r="P264" s="6">
        <f t="shared" si="48"/>
        <v>30.035999962499872</v>
      </c>
      <c r="Q264" s="3">
        <v>30.0359999625</v>
      </c>
      <c r="R264" s="6">
        <f t="shared" si="49"/>
        <v>-1.2789769243681803E-13</v>
      </c>
      <c r="S264" s="6" t="str">
        <f t="shared" si="50"/>
        <v>OK</v>
      </c>
    </row>
    <row r="265" spans="1:19" x14ac:dyDescent="0.25">
      <c r="A265" s="3" t="str">
        <f t="shared" si="51"/>
        <v>06.05.2026</v>
      </c>
      <c r="B265" s="5">
        <v>56</v>
      </c>
      <c r="C265" s="5" t="s">
        <v>62</v>
      </c>
      <c r="D265" s="3">
        <v>7.9970499999999989</v>
      </c>
      <c r="E265" s="3">
        <v>7.8072699999999999</v>
      </c>
      <c r="F265" s="6">
        <f t="shared" si="39"/>
        <v>-0.18977999999999895</v>
      </c>
      <c r="G265" s="6">
        <f t="shared" si="40"/>
        <v>-2.3731250898768794E-2</v>
      </c>
      <c r="H265" s="6" t="str">
        <f t="shared" si="41"/>
        <v>🔴 Under-injection</v>
      </c>
      <c r="I265" s="6">
        <f t="shared" si="42"/>
        <v>0.18977999999999895</v>
      </c>
      <c r="J265" s="3">
        <v>0.56430000000000002</v>
      </c>
      <c r="K265" s="6">
        <f t="shared" si="43"/>
        <v>1.1995574999999998</v>
      </c>
      <c r="L265" s="6">
        <f t="shared" si="44"/>
        <v>1.5994099999999998</v>
      </c>
      <c r="M265" s="6">
        <f t="shared" si="45"/>
        <v>0.18977999999999895</v>
      </c>
      <c r="N265" s="6">
        <f t="shared" si="46"/>
        <v>0</v>
      </c>
      <c r="O265" s="6">
        <f t="shared" si="47"/>
        <v>0</v>
      </c>
      <c r="P265" s="6">
        <f t="shared" si="48"/>
        <v>28.111874174999851</v>
      </c>
      <c r="Q265" s="3">
        <v>28.111874175000004</v>
      </c>
      <c r="R265" s="6">
        <f t="shared" si="49"/>
        <v>-1.5276668818842154E-13</v>
      </c>
      <c r="S265" s="6" t="str">
        <f t="shared" si="50"/>
        <v>OK</v>
      </c>
    </row>
    <row r="266" spans="1:19" x14ac:dyDescent="0.25">
      <c r="A266" s="3" t="str">
        <f t="shared" si="51"/>
        <v>06.05.2026</v>
      </c>
      <c r="B266" s="5">
        <v>57</v>
      </c>
      <c r="C266" s="5" t="s">
        <v>61</v>
      </c>
      <c r="D266" s="3">
        <v>7.9970499999999989</v>
      </c>
      <c r="E266" s="3">
        <v>7.8072699999999999</v>
      </c>
      <c r="F266" s="6">
        <f t="shared" si="39"/>
        <v>-0.18977999999999895</v>
      </c>
      <c r="G266" s="6">
        <f t="shared" si="40"/>
        <v>-2.3731250898768794E-2</v>
      </c>
      <c r="H266" s="6" t="str">
        <f t="shared" si="41"/>
        <v>🔴 Under-injection</v>
      </c>
      <c r="I266" s="6">
        <f t="shared" si="42"/>
        <v>0.18977999999999895</v>
      </c>
      <c r="J266" s="3">
        <v>0.69159999999999999</v>
      </c>
      <c r="K266" s="6">
        <f t="shared" si="43"/>
        <v>1.1995574999999998</v>
      </c>
      <c r="L266" s="6">
        <f t="shared" si="44"/>
        <v>1.5994099999999998</v>
      </c>
      <c r="M266" s="6">
        <f t="shared" si="45"/>
        <v>0.18977999999999895</v>
      </c>
      <c r="N266" s="6">
        <f t="shared" si="46"/>
        <v>0</v>
      </c>
      <c r="O266" s="6">
        <f t="shared" si="47"/>
        <v>0</v>
      </c>
      <c r="P266" s="6">
        <f t="shared" si="48"/>
        <v>34.453610099999807</v>
      </c>
      <c r="Q266" s="3">
        <v>34.453610100000006</v>
      </c>
      <c r="R266" s="6">
        <f t="shared" si="49"/>
        <v>-1.9895196601282805E-13</v>
      </c>
      <c r="S266" s="6" t="str">
        <f t="shared" si="50"/>
        <v>OK</v>
      </c>
    </row>
    <row r="267" spans="1:19" x14ac:dyDescent="0.25">
      <c r="A267" s="3" t="str">
        <f t="shared" si="51"/>
        <v>06.05.2026</v>
      </c>
      <c r="B267" s="5">
        <v>58</v>
      </c>
      <c r="C267" s="5" t="s">
        <v>60</v>
      </c>
      <c r="D267" s="3">
        <v>7.9970499999999989</v>
      </c>
      <c r="E267" s="3">
        <v>7.8072699999999999</v>
      </c>
      <c r="F267" s="6">
        <f t="shared" si="39"/>
        <v>-0.18977999999999895</v>
      </c>
      <c r="G267" s="6">
        <f t="shared" si="40"/>
        <v>-2.3731250898768794E-2</v>
      </c>
      <c r="H267" s="6" t="str">
        <f t="shared" si="41"/>
        <v>🔴 Under-injection</v>
      </c>
      <c r="I267" s="6">
        <f t="shared" si="42"/>
        <v>0.18977999999999895</v>
      </c>
      <c r="J267" s="3">
        <v>1.0014000000000001</v>
      </c>
      <c r="K267" s="6">
        <f t="shared" si="43"/>
        <v>1.1995574999999998</v>
      </c>
      <c r="L267" s="6">
        <f t="shared" si="44"/>
        <v>1.5994099999999998</v>
      </c>
      <c r="M267" s="6">
        <f t="shared" si="45"/>
        <v>0.18977999999999895</v>
      </c>
      <c r="N267" s="6">
        <f t="shared" si="46"/>
        <v>0</v>
      </c>
      <c r="O267" s="6">
        <f t="shared" si="47"/>
        <v>0</v>
      </c>
      <c r="P267" s="6">
        <f t="shared" si="48"/>
        <v>49.88699414999973</v>
      </c>
      <c r="Q267" s="3">
        <v>49.886994150000007</v>
      </c>
      <c r="R267" s="6">
        <f t="shared" si="49"/>
        <v>-2.7711166694643907E-13</v>
      </c>
      <c r="S267" s="6" t="str">
        <f t="shared" si="50"/>
        <v>OK</v>
      </c>
    </row>
    <row r="268" spans="1:19" x14ac:dyDescent="0.25">
      <c r="A268" s="3" t="str">
        <f t="shared" si="51"/>
        <v>06.05.2026</v>
      </c>
      <c r="B268" s="5">
        <v>59</v>
      </c>
      <c r="C268" s="5" t="s">
        <v>59</v>
      </c>
      <c r="D268" s="3">
        <v>7.9970499999999989</v>
      </c>
      <c r="E268" s="3">
        <v>7.8072699999999999</v>
      </c>
      <c r="F268" s="6">
        <f t="shared" si="39"/>
        <v>-0.18977999999999895</v>
      </c>
      <c r="G268" s="6">
        <f t="shared" si="40"/>
        <v>-2.3731250898768794E-2</v>
      </c>
      <c r="H268" s="6" t="str">
        <f t="shared" si="41"/>
        <v>🔴 Under-injection</v>
      </c>
      <c r="I268" s="6">
        <f t="shared" si="42"/>
        <v>0.18977999999999895</v>
      </c>
      <c r="J268" s="3">
        <v>1.4786000000000001</v>
      </c>
      <c r="K268" s="6">
        <f t="shared" si="43"/>
        <v>1.1995574999999998</v>
      </c>
      <c r="L268" s="6">
        <f t="shared" si="44"/>
        <v>1.5994099999999998</v>
      </c>
      <c r="M268" s="6">
        <f t="shared" si="45"/>
        <v>0.18977999999999895</v>
      </c>
      <c r="N268" s="6">
        <f t="shared" si="46"/>
        <v>0</v>
      </c>
      <c r="O268" s="6">
        <f t="shared" si="47"/>
        <v>0</v>
      </c>
      <c r="P268" s="6">
        <f t="shared" si="48"/>
        <v>73.659785849999608</v>
      </c>
      <c r="Q268" s="3">
        <v>73.659785850000006</v>
      </c>
      <c r="R268" s="6">
        <f t="shared" si="49"/>
        <v>-3.979039320256561E-13</v>
      </c>
      <c r="S268" s="6" t="str">
        <f t="shared" si="50"/>
        <v>OK</v>
      </c>
    </row>
    <row r="269" spans="1:19" x14ac:dyDescent="0.25">
      <c r="A269" s="3" t="str">
        <f t="shared" si="51"/>
        <v>06.05.2026</v>
      </c>
      <c r="B269" s="5">
        <v>60</v>
      </c>
      <c r="C269" s="5" t="s">
        <v>58</v>
      </c>
      <c r="D269" s="3">
        <v>7.9970499999999989</v>
      </c>
      <c r="E269" s="3">
        <v>7.8072699999999999</v>
      </c>
      <c r="F269" s="6">
        <f t="shared" si="39"/>
        <v>-0.18977999999999895</v>
      </c>
      <c r="G269" s="6">
        <f t="shared" si="40"/>
        <v>-2.3731250898768794E-2</v>
      </c>
      <c r="H269" s="6" t="str">
        <f t="shared" si="41"/>
        <v>🔴 Under-injection</v>
      </c>
      <c r="I269" s="6">
        <f t="shared" si="42"/>
        <v>0.18977999999999895</v>
      </c>
      <c r="J269" s="3">
        <v>1.5363999999999998</v>
      </c>
      <c r="K269" s="6">
        <f t="shared" si="43"/>
        <v>1.1995574999999998</v>
      </c>
      <c r="L269" s="6">
        <f t="shared" si="44"/>
        <v>1.5994099999999998</v>
      </c>
      <c r="M269" s="6">
        <f t="shared" si="45"/>
        <v>0.18977999999999895</v>
      </c>
      <c r="N269" s="6">
        <f t="shared" si="46"/>
        <v>0</v>
      </c>
      <c r="O269" s="6">
        <f t="shared" si="47"/>
        <v>0</v>
      </c>
      <c r="P269" s="6">
        <f t="shared" si="48"/>
        <v>76.539222899999572</v>
      </c>
      <c r="Q269" s="3">
        <v>76.539222899999999</v>
      </c>
      <c r="R269" s="6">
        <f t="shared" si="49"/>
        <v>-4.2632564145606011E-13</v>
      </c>
      <c r="S269" s="6" t="str">
        <f t="shared" si="50"/>
        <v>OK</v>
      </c>
    </row>
    <row r="270" spans="1:19" x14ac:dyDescent="0.25">
      <c r="A270" s="3" t="str">
        <f t="shared" si="51"/>
        <v>06.05.2026</v>
      </c>
      <c r="B270" s="5">
        <v>61</v>
      </c>
      <c r="C270" s="5" t="s">
        <v>57</v>
      </c>
      <c r="D270" s="3">
        <v>7.9970499999999989</v>
      </c>
      <c r="E270" s="3">
        <v>7.8072699999999999</v>
      </c>
      <c r="F270" s="6">
        <f t="shared" si="39"/>
        <v>-0.18977999999999895</v>
      </c>
      <c r="G270" s="6">
        <f t="shared" si="40"/>
        <v>-2.3731250898768794E-2</v>
      </c>
      <c r="H270" s="6" t="str">
        <f t="shared" si="41"/>
        <v>🔴 Under-injection</v>
      </c>
      <c r="I270" s="6">
        <f t="shared" si="42"/>
        <v>0.18977999999999895</v>
      </c>
      <c r="J270" s="3">
        <v>2.0191999999999997</v>
      </c>
      <c r="K270" s="6">
        <f t="shared" si="43"/>
        <v>1.1995574999999998</v>
      </c>
      <c r="L270" s="6">
        <f t="shared" si="44"/>
        <v>1.5994099999999998</v>
      </c>
      <c r="M270" s="6">
        <f t="shared" si="45"/>
        <v>0.18977999999999895</v>
      </c>
      <c r="N270" s="6">
        <f t="shared" si="46"/>
        <v>0</v>
      </c>
      <c r="O270" s="6">
        <f t="shared" si="47"/>
        <v>0</v>
      </c>
      <c r="P270" s="6">
        <f t="shared" si="48"/>
        <v>100.59099119999944</v>
      </c>
      <c r="Q270" s="3">
        <v>100.59099119999999</v>
      </c>
      <c r="R270" s="6">
        <f t="shared" si="49"/>
        <v>-5.5422333389287814E-13</v>
      </c>
      <c r="S270" s="6" t="str">
        <f t="shared" si="50"/>
        <v>OK</v>
      </c>
    </row>
    <row r="271" spans="1:19" x14ac:dyDescent="0.25">
      <c r="A271" s="3" t="str">
        <f t="shared" si="51"/>
        <v>06.05.2026</v>
      </c>
      <c r="B271" s="5">
        <v>62</v>
      </c>
      <c r="C271" s="5" t="s">
        <v>56</v>
      </c>
      <c r="D271" s="3">
        <v>7.9970499999999989</v>
      </c>
      <c r="E271" s="3">
        <v>7.8072699999999999</v>
      </c>
      <c r="F271" s="6">
        <f t="shared" si="39"/>
        <v>-0.18977999999999895</v>
      </c>
      <c r="G271" s="6">
        <f t="shared" si="40"/>
        <v>-2.3731250898768794E-2</v>
      </c>
      <c r="H271" s="6" t="str">
        <f t="shared" si="41"/>
        <v>🔴 Under-injection</v>
      </c>
      <c r="I271" s="6">
        <f t="shared" si="42"/>
        <v>0.18977999999999895</v>
      </c>
      <c r="J271" s="3">
        <v>2.1004</v>
      </c>
      <c r="K271" s="6">
        <f t="shared" si="43"/>
        <v>1.1995574999999998</v>
      </c>
      <c r="L271" s="6">
        <f t="shared" si="44"/>
        <v>1.5994099999999998</v>
      </c>
      <c r="M271" s="6">
        <f t="shared" si="45"/>
        <v>0.18977999999999895</v>
      </c>
      <c r="N271" s="6">
        <f t="shared" si="46"/>
        <v>0</v>
      </c>
      <c r="O271" s="6">
        <f t="shared" si="47"/>
        <v>0</v>
      </c>
      <c r="P271" s="6">
        <f t="shared" si="48"/>
        <v>104.63615189999943</v>
      </c>
      <c r="Q271" s="3">
        <v>104.63615190000002</v>
      </c>
      <c r="R271" s="6">
        <f t="shared" si="49"/>
        <v>-5.8264504332328215E-13</v>
      </c>
      <c r="S271" s="6" t="str">
        <f t="shared" si="50"/>
        <v>OK</v>
      </c>
    </row>
    <row r="272" spans="1:19" x14ac:dyDescent="0.25">
      <c r="A272" s="3" t="str">
        <f t="shared" si="51"/>
        <v>06.05.2026</v>
      </c>
      <c r="B272" s="5">
        <v>63</v>
      </c>
      <c r="C272" s="5" t="s">
        <v>55</v>
      </c>
      <c r="D272" s="3">
        <v>8.3970499999999983</v>
      </c>
      <c r="E272" s="3">
        <v>8.2838700000000003</v>
      </c>
      <c r="F272" s="6">
        <f t="shared" si="39"/>
        <v>-0.11317999999999806</v>
      </c>
      <c r="G272" s="6">
        <f t="shared" si="40"/>
        <v>-1.3478543059764809E-2</v>
      </c>
      <c r="H272" s="6" t="str">
        <f t="shared" si="41"/>
        <v>🔴 Under-injection</v>
      </c>
      <c r="I272" s="6">
        <f t="shared" si="42"/>
        <v>0.11317999999999806</v>
      </c>
      <c r="J272" s="3">
        <v>2.2115999999999998</v>
      </c>
      <c r="K272" s="6">
        <f t="shared" si="43"/>
        <v>1.2595574999999997</v>
      </c>
      <c r="L272" s="6">
        <f t="shared" si="44"/>
        <v>1.6794099999999998</v>
      </c>
      <c r="M272" s="6">
        <f t="shared" si="45"/>
        <v>0.11317999999999806</v>
      </c>
      <c r="N272" s="6">
        <f t="shared" si="46"/>
        <v>0</v>
      </c>
      <c r="O272" s="6">
        <f t="shared" si="47"/>
        <v>0</v>
      </c>
      <c r="P272" s="6">
        <f t="shared" si="48"/>
        <v>65.706083099998864</v>
      </c>
      <c r="Q272" s="3">
        <v>65.706083099999987</v>
      </c>
      <c r="R272" s="6">
        <f t="shared" si="49"/>
        <v>-1.1226575225009583E-12</v>
      </c>
      <c r="S272" s="6" t="str">
        <f t="shared" si="50"/>
        <v>OK</v>
      </c>
    </row>
    <row r="273" spans="1:19" x14ac:dyDescent="0.25">
      <c r="A273" s="3" t="str">
        <f t="shared" si="51"/>
        <v>06.05.2026</v>
      </c>
      <c r="B273" s="5">
        <v>64</v>
      </c>
      <c r="C273" s="5" t="s">
        <v>54</v>
      </c>
      <c r="D273" s="3">
        <v>8.3970499999999983</v>
      </c>
      <c r="E273" s="3">
        <v>8.3065700000000007</v>
      </c>
      <c r="F273" s="6">
        <f t="shared" si="39"/>
        <v>-9.0479999999997673E-2</v>
      </c>
      <c r="G273" s="6">
        <f t="shared" si="40"/>
        <v>-1.0775212723515722E-2</v>
      </c>
      <c r="H273" s="6" t="str">
        <f t="shared" si="41"/>
        <v>🔴 Under-injection</v>
      </c>
      <c r="I273" s="6">
        <f t="shared" si="42"/>
        <v>9.0479999999997673E-2</v>
      </c>
      <c r="J273" s="3">
        <v>2.2907999999999999</v>
      </c>
      <c r="K273" s="6">
        <f t="shared" si="43"/>
        <v>1.2595574999999997</v>
      </c>
      <c r="L273" s="6">
        <f t="shared" si="44"/>
        <v>1.6794099999999998</v>
      </c>
      <c r="M273" s="6">
        <f t="shared" si="45"/>
        <v>9.0479999999997673E-2</v>
      </c>
      <c r="N273" s="6">
        <f t="shared" si="46"/>
        <v>0</v>
      </c>
      <c r="O273" s="6">
        <f t="shared" si="47"/>
        <v>0</v>
      </c>
      <c r="P273" s="6">
        <f t="shared" si="48"/>
        <v>54.408790799998599</v>
      </c>
      <c r="Q273" s="3">
        <v>54.408790800000013</v>
      </c>
      <c r="R273" s="6">
        <f t="shared" si="49"/>
        <v>-1.4139800441625994E-12</v>
      </c>
      <c r="S273" s="6" t="str">
        <f t="shared" si="50"/>
        <v>OK</v>
      </c>
    </row>
    <row r="274" spans="1:19" x14ac:dyDescent="0.25">
      <c r="A274" s="3" t="str">
        <f t="shared" si="51"/>
        <v>06.05.2026</v>
      </c>
      <c r="B274" s="5">
        <v>65</v>
      </c>
      <c r="C274" s="5" t="s">
        <v>53</v>
      </c>
      <c r="D274" s="3">
        <v>8.3970499999999983</v>
      </c>
      <c r="E274" s="3">
        <v>8.3065700000000007</v>
      </c>
      <c r="F274" s="6">
        <f t="shared" ref="F274:F337" si="52">E274-D274</f>
        <v>-9.0479999999997673E-2</v>
      </c>
      <c r="G274" s="6">
        <f t="shared" ref="G274:G337" si="53">IF(D274=0,0,F274/D274)</f>
        <v>-1.0775212723515722E-2</v>
      </c>
      <c r="H274" s="6" t="str">
        <f t="shared" ref="H274:H337" si="54">IF(E274&gt;D274,"🟢 Over-injection",IF(E274&lt;D274,"🔴 Under-injection","⚪ Nil"))</f>
        <v>🔴 Under-injection</v>
      </c>
      <c r="I274" s="6">
        <f t="shared" ref="I274:I337" si="55">-F274</f>
        <v>9.0479999999997673E-2</v>
      </c>
      <c r="J274" s="3">
        <v>2.1726000000000001</v>
      </c>
      <c r="K274" s="6">
        <f t="shared" ref="K274:K337" si="56">MIN(ABS(D274)*$B$7,$B$8)</f>
        <v>1.2595574999999997</v>
      </c>
      <c r="L274" s="6">
        <f t="shared" ref="L274:L337" si="57">MIN(ABS(D274)*$B$9,$B$10)</f>
        <v>1.6794099999999998</v>
      </c>
      <c r="M274" s="6">
        <f t="shared" ref="M274:M337" si="58">MIN(ABS(F274),K274)</f>
        <v>9.0479999999997673E-2</v>
      </c>
      <c r="N274" s="6">
        <f t="shared" ref="N274:N337" si="59">IF(F274&lt;0,MIN(MAX(ABS(F274)-K274,0),MAX(L274-K274,0)),0)</f>
        <v>0</v>
      </c>
      <c r="O274" s="6">
        <f t="shared" ref="O274:O337" si="60">IF(F274&lt;0,MAX(ABS(F274)-L274,0),0)</f>
        <v>0</v>
      </c>
      <c r="P274" s="6">
        <f t="shared" ref="P274:P337" si="61">IF(F274&gt;0,-M274*$B$11*J274*$B$6*1000,IF(F274&lt;0,(M274*$B$12+N274*$B$13+O274*$B$14)*J274*$B$6*1000,0))</f>
        <v>51.601422599998678</v>
      </c>
      <c r="Q274" s="3">
        <v>51.601422600000006</v>
      </c>
      <c r="R274" s="6">
        <f t="shared" ref="R274:R337" si="62">P274-Q274</f>
        <v>-1.3287149158713873E-12</v>
      </c>
      <c r="S274" s="6" t="str">
        <f t="shared" ref="S274:S337" si="63">IF(ABS(R274)&lt;=0.01,"OK","REVIEW")</f>
        <v>OK</v>
      </c>
    </row>
    <row r="275" spans="1:19" x14ac:dyDescent="0.25">
      <c r="A275" s="3" t="str">
        <f t="shared" si="51"/>
        <v>06.05.2026</v>
      </c>
      <c r="B275" s="5">
        <v>66</v>
      </c>
      <c r="C275" s="5" t="s">
        <v>52</v>
      </c>
      <c r="D275" s="3">
        <v>8.3970499999999983</v>
      </c>
      <c r="E275" s="3">
        <v>8.3065700000000007</v>
      </c>
      <c r="F275" s="6">
        <f t="shared" si="52"/>
        <v>-9.0479999999997673E-2</v>
      </c>
      <c r="G275" s="6">
        <f t="shared" si="53"/>
        <v>-1.0775212723515722E-2</v>
      </c>
      <c r="H275" s="6" t="str">
        <f t="shared" si="54"/>
        <v>🔴 Under-injection</v>
      </c>
      <c r="I275" s="6">
        <f t="shared" si="55"/>
        <v>9.0479999999997673E-2</v>
      </c>
      <c r="J275" s="3">
        <v>2.1722999999999999</v>
      </c>
      <c r="K275" s="6">
        <f t="shared" si="56"/>
        <v>1.2595574999999997</v>
      </c>
      <c r="L275" s="6">
        <f t="shared" si="57"/>
        <v>1.6794099999999998</v>
      </c>
      <c r="M275" s="6">
        <f t="shared" si="58"/>
        <v>9.0479999999997673E-2</v>
      </c>
      <c r="N275" s="6">
        <f t="shared" si="59"/>
        <v>0</v>
      </c>
      <c r="O275" s="6">
        <f t="shared" si="60"/>
        <v>0</v>
      </c>
      <c r="P275" s="6">
        <f t="shared" si="61"/>
        <v>51.594297299998679</v>
      </c>
      <c r="Q275" s="3">
        <v>51.594297300000001</v>
      </c>
      <c r="R275" s="6">
        <f t="shared" si="62"/>
        <v>-1.3216094885137863E-12</v>
      </c>
      <c r="S275" s="6" t="str">
        <f t="shared" si="63"/>
        <v>OK</v>
      </c>
    </row>
    <row r="276" spans="1:19" x14ac:dyDescent="0.25">
      <c r="A276" s="3" t="str">
        <f t="shared" ref="A276:A339" si="64">A275</f>
        <v>06.05.2026</v>
      </c>
      <c r="B276" s="5">
        <v>67</v>
      </c>
      <c r="C276" s="5" t="s">
        <v>51</v>
      </c>
      <c r="D276" s="3">
        <v>8.3970499999999983</v>
      </c>
      <c r="E276" s="3">
        <v>8.3065700000000007</v>
      </c>
      <c r="F276" s="6">
        <f t="shared" si="52"/>
        <v>-9.0479999999997673E-2</v>
      </c>
      <c r="G276" s="6">
        <f t="shared" si="53"/>
        <v>-1.0775212723515722E-2</v>
      </c>
      <c r="H276" s="6" t="str">
        <f t="shared" si="54"/>
        <v>🔴 Under-injection</v>
      </c>
      <c r="I276" s="6">
        <f t="shared" si="55"/>
        <v>9.0479999999997673E-2</v>
      </c>
      <c r="J276" s="3">
        <v>2.2439</v>
      </c>
      <c r="K276" s="6">
        <f t="shared" si="56"/>
        <v>1.2595574999999997</v>
      </c>
      <c r="L276" s="6">
        <f t="shared" si="57"/>
        <v>1.6794099999999998</v>
      </c>
      <c r="M276" s="6">
        <f t="shared" si="58"/>
        <v>9.0479999999997673E-2</v>
      </c>
      <c r="N276" s="6">
        <f t="shared" si="59"/>
        <v>0</v>
      </c>
      <c r="O276" s="6">
        <f t="shared" si="60"/>
        <v>0</v>
      </c>
      <c r="P276" s="6">
        <f t="shared" si="61"/>
        <v>53.294868899998633</v>
      </c>
      <c r="Q276" s="3">
        <v>53.294868900000004</v>
      </c>
      <c r="R276" s="6">
        <f t="shared" si="62"/>
        <v>-1.3713474800169934E-12</v>
      </c>
      <c r="S276" s="6" t="str">
        <f t="shared" si="63"/>
        <v>OK</v>
      </c>
    </row>
    <row r="277" spans="1:19" x14ac:dyDescent="0.25">
      <c r="A277" s="3" t="str">
        <f t="shared" si="64"/>
        <v>06.05.2026</v>
      </c>
      <c r="B277" s="5">
        <v>68</v>
      </c>
      <c r="C277" s="5" t="s">
        <v>50</v>
      </c>
      <c r="D277" s="3">
        <v>8.3970499999999983</v>
      </c>
      <c r="E277" s="3">
        <v>8.3065700000000007</v>
      </c>
      <c r="F277" s="6">
        <f t="shared" si="52"/>
        <v>-9.0479999999997673E-2</v>
      </c>
      <c r="G277" s="6">
        <f t="shared" si="53"/>
        <v>-1.0775212723515722E-2</v>
      </c>
      <c r="H277" s="6" t="str">
        <f t="shared" si="54"/>
        <v>🔴 Under-injection</v>
      </c>
      <c r="I277" s="6">
        <f t="shared" si="55"/>
        <v>9.0479999999997673E-2</v>
      </c>
      <c r="J277" s="3">
        <v>2.2803</v>
      </c>
      <c r="K277" s="6">
        <f t="shared" si="56"/>
        <v>1.2595574999999997</v>
      </c>
      <c r="L277" s="6">
        <f t="shared" si="57"/>
        <v>1.6794099999999998</v>
      </c>
      <c r="M277" s="6">
        <f t="shared" si="58"/>
        <v>9.0479999999997673E-2</v>
      </c>
      <c r="N277" s="6">
        <f t="shared" si="59"/>
        <v>0</v>
      </c>
      <c r="O277" s="6">
        <f t="shared" si="60"/>
        <v>0</v>
      </c>
      <c r="P277" s="6">
        <f t="shared" si="61"/>
        <v>54.15940529999861</v>
      </c>
      <c r="Q277" s="3">
        <v>54.159405300000003</v>
      </c>
      <c r="R277" s="6">
        <f t="shared" si="62"/>
        <v>-1.3926637620897964E-12</v>
      </c>
      <c r="S277" s="6" t="str">
        <f t="shared" si="63"/>
        <v>OK</v>
      </c>
    </row>
    <row r="278" spans="1:19" x14ac:dyDescent="0.25">
      <c r="A278" s="3" t="str">
        <f t="shared" si="64"/>
        <v>06.05.2026</v>
      </c>
      <c r="B278" s="5">
        <v>69</v>
      </c>
      <c r="C278" s="5" t="s">
        <v>49</v>
      </c>
      <c r="D278" s="3">
        <v>8.3970499999999983</v>
      </c>
      <c r="E278" s="3">
        <v>8.3065700000000007</v>
      </c>
      <c r="F278" s="6">
        <f t="shared" si="52"/>
        <v>-9.0479999999997673E-2</v>
      </c>
      <c r="G278" s="6">
        <f t="shared" si="53"/>
        <v>-1.0775212723515722E-2</v>
      </c>
      <c r="H278" s="6" t="str">
        <f t="shared" si="54"/>
        <v>🔴 Under-injection</v>
      </c>
      <c r="I278" s="6">
        <f t="shared" si="55"/>
        <v>9.0479999999997673E-2</v>
      </c>
      <c r="J278" s="3">
        <v>2.3639999999999999</v>
      </c>
      <c r="K278" s="6">
        <f t="shared" si="56"/>
        <v>1.2595574999999997</v>
      </c>
      <c r="L278" s="6">
        <f t="shared" si="57"/>
        <v>1.6794099999999998</v>
      </c>
      <c r="M278" s="6">
        <f t="shared" si="58"/>
        <v>9.0479999999997673E-2</v>
      </c>
      <c r="N278" s="6">
        <f t="shared" si="59"/>
        <v>0</v>
      </c>
      <c r="O278" s="6">
        <f t="shared" si="60"/>
        <v>0</v>
      </c>
      <c r="P278" s="6">
        <f t="shared" si="61"/>
        <v>56.147363999998554</v>
      </c>
      <c r="Q278" s="3">
        <v>56.147364000000003</v>
      </c>
      <c r="R278" s="6">
        <f t="shared" si="62"/>
        <v>-1.4495071809506044E-12</v>
      </c>
      <c r="S278" s="6" t="str">
        <f t="shared" si="63"/>
        <v>OK</v>
      </c>
    </row>
    <row r="279" spans="1:19" x14ac:dyDescent="0.25">
      <c r="A279" s="3" t="str">
        <f t="shared" si="64"/>
        <v>06.05.2026</v>
      </c>
      <c r="B279" s="5">
        <v>70</v>
      </c>
      <c r="C279" s="5" t="s">
        <v>48</v>
      </c>
      <c r="D279" s="3">
        <v>8.3970499999999983</v>
      </c>
      <c r="E279" s="3">
        <v>8.3065700000000007</v>
      </c>
      <c r="F279" s="6">
        <f t="shared" si="52"/>
        <v>-9.0479999999997673E-2</v>
      </c>
      <c r="G279" s="6">
        <f t="shared" si="53"/>
        <v>-1.0775212723515722E-2</v>
      </c>
      <c r="H279" s="6" t="str">
        <f t="shared" si="54"/>
        <v>🔴 Under-injection</v>
      </c>
      <c r="I279" s="6">
        <f t="shared" si="55"/>
        <v>9.0479999999997673E-2</v>
      </c>
      <c r="J279" s="3">
        <v>2.6819999999999999</v>
      </c>
      <c r="K279" s="6">
        <f t="shared" si="56"/>
        <v>1.2595574999999997</v>
      </c>
      <c r="L279" s="6">
        <f t="shared" si="57"/>
        <v>1.6794099999999998</v>
      </c>
      <c r="M279" s="6">
        <f t="shared" si="58"/>
        <v>9.0479999999997673E-2</v>
      </c>
      <c r="N279" s="6">
        <f t="shared" si="59"/>
        <v>0</v>
      </c>
      <c r="O279" s="6">
        <f t="shared" si="60"/>
        <v>0</v>
      </c>
      <c r="P279" s="6">
        <f t="shared" si="61"/>
        <v>63.700181999998371</v>
      </c>
      <c r="Q279" s="3">
        <v>63.700182000000005</v>
      </c>
      <c r="R279" s="6">
        <f t="shared" si="62"/>
        <v>-1.6342482922482304E-12</v>
      </c>
      <c r="S279" s="6" t="str">
        <f t="shared" si="63"/>
        <v>OK</v>
      </c>
    </row>
    <row r="280" spans="1:19" x14ac:dyDescent="0.25">
      <c r="A280" s="3" t="str">
        <f t="shared" si="64"/>
        <v>06.05.2026</v>
      </c>
      <c r="B280" s="5">
        <v>71</v>
      </c>
      <c r="C280" s="5" t="s">
        <v>47</v>
      </c>
      <c r="D280" s="3">
        <v>8.3970499999999983</v>
      </c>
      <c r="E280" s="3">
        <v>8.3065700000000007</v>
      </c>
      <c r="F280" s="6">
        <f t="shared" si="52"/>
        <v>-9.0479999999997673E-2</v>
      </c>
      <c r="G280" s="6">
        <f t="shared" si="53"/>
        <v>-1.0775212723515722E-2</v>
      </c>
      <c r="H280" s="6" t="str">
        <f t="shared" si="54"/>
        <v>🔴 Under-injection</v>
      </c>
      <c r="I280" s="6">
        <f t="shared" si="55"/>
        <v>9.0479999999997673E-2</v>
      </c>
      <c r="J280" s="3">
        <v>3.1727999999999996</v>
      </c>
      <c r="K280" s="6">
        <f t="shared" si="56"/>
        <v>1.2595574999999997</v>
      </c>
      <c r="L280" s="6">
        <f t="shared" si="57"/>
        <v>1.6794099999999998</v>
      </c>
      <c r="M280" s="6">
        <f t="shared" si="58"/>
        <v>9.0479999999997673E-2</v>
      </c>
      <c r="N280" s="6">
        <f t="shared" si="59"/>
        <v>0</v>
      </c>
      <c r="O280" s="6">
        <f t="shared" si="60"/>
        <v>0</v>
      </c>
      <c r="P280" s="6">
        <f t="shared" si="61"/>
        <v>75.357172799998054</v>
      </c>
      <c r="Q280" s="3">
        <v>75.357172800000001</v>
      </c>
      <c r="R280" s="6">
        <f t="shared" si="62"/>
        <v>-1.9468870959826745E-12</v>
      </c>
      <c r="S280" s="6" t="str">
        <f t="shared" si="63"/>
        <v>OK</v>
      </c>
    </row>
    <row r="281" spans="1:19" x14ac:dyDescent="0.25">
      <c r="A281" s="3" t="str">
        <f t="shared" si="64"/>
        <v>06.05.2026</v>
      </c>
      <c r="B281" s="5">
        <v>72</v>
      </c>
      <c r="C281" s="5" t="s">
        <v>46</v>
      </c>
      <c r="D281" s="3">
        <v>8.3970499999999983</v>
      </c>
      <c r="E281" s="3">
        <v>8.2952300000000001</v>
      </c>
      <c r="F281" s="6">
        <f t="shared" si="52"/>
        <v>-0.10181999999999825</v>
      </c>
      <c r="G281" s="6">
        <f t="shared" si="53"/>
        <v>-1.2125686997219056E-2</v>
      </c>
      <c r="H281" s="6" t="str">
        <f t="shared" si="54"/>
        <v>🔴 Under-injection</v>
      </c>
      <c r="I281" s="6">
        <f t="shared" si="55"/>
        <v>0.10181999999999825</v>
      </c>
      <c r="J281" s="3">
        <v>3.3079000000000001</v>
      </c>
      <c r="K281" s="6">
        <f t="shared" si="56"/>
        <v>1.2595574999999997</v>
      </c>
      <c r="L281" s="6">
        <f t="shared" si="57"/>
        <v>1.6794099999999998</v>
      </c>
      <c r="M281" s="6">
        <f t="shared" si="58"/>
        <v>0.10181999999999825</v>
      </c>
      <c r="N281" s="6">
        <f t="shared" si="59"/>
        <v>0</v>
      </c>
      <c r="O281" s="6">
        <f t="shared" si="60"/>
        <v>0</v>
      </c>
      <c r="P281" s="6">
        <f t="shared" si="61"/>
        <v>88.41272422499847</v>
      </c>
      <c r="Q281" s="3">
        <v>88.412724225000005</v>
      </c>
      <c r="R281" s="6">
        <f t="shared" si="62"/>
        <v>-1.5347723092418164E-12</v>
      </c>
      <c r="S281" s="6" t="str">
        <f t="shared" si="63"/>
        <v>OK</v>
      </c>
    </row>
    <row r="282" spans="1:19" x14ac:dyDescent="0.25">
      <c r="A282" s="3" t="str">
        <f t="shared" si="64"/>
        <v>06.05.2026</v>
      </c>
      <c r="B282" s="5">
        <v>73</v>
      </c>
      <c r="C282" s="5" t="s">
        <v>45</v>
      </c>
      <c r="D282" s="3">
        <v>8.3970499999999983</v>
      </c>
      <c r="E282" s="3">
        <v>8.2952300000000001</v>
      </c>
      <c r="F282" s="6">
        <f t="shared" si="52"/>
        <v>-0.10181999999999825</v>
      </c>
      <c r="G282" s="6">
        <f t="shared" si="53"/>
        <v>-1.2125686997219056E-2</v>
      </c>
      <c r="H282" s="6" t="str">
        <f t="shared" si="54"/>
        <v>🔴 Under-injection</v>
      </c>
      <c r="I282" s="6">
        <f t="shared" si="55"/>
        <v>0.10181999999999825</v>
      </c>
      <c r="J282" s="3">
        <v>3.8285</v>
      </c>
      <c r="K282" s="6">
        <f t="shared" si="56"/>
        <v>1.2595574999999997</v>
      </c>
      <c r="L282" s="6">
        <f t="shared" si="57"/>
        <v>1.6794099999999998</v>
      </c>
      <c r="M282" s="6">
        <f t="shared" si="58"/>
        <v>0.10181999999999825</v>
      </c>
      <c r="N282" s="6">
        <f t="shared" si="59"/>
        <v>0</v>
      </c>
      <c r="O282" s="6">
        <f t="shared" si="60"/>
        <v>0</v>
      </c>
      <c r="P282" s="6">
        <f t="shared" si="61"/>
        <v>102.32719087499824</v>
      </c>
      <c r="Q282" s="3">
        <v>102.32719087499999</v>
      </c>
      <c r="R282" s="6">
        <f t="shared" si="62"/>
        <v>-1.7479351299698465E-12</v>
      </c>
      <c r="S282" s="6" t="str">
        <f t="shared" si="63"/>
        <v>OK</v>
      </c>
    </row>
    <row r="283" spans="1:19" x14ac:dyDescent="0.25">
      <c r="A283" s="3" t="str">
        <f t="shared" si="64"/>
        <v>06.05.2026</v>
      </c>
      <c r="B283" s="5">
        <v>74</v>
      </c>
      <c r="C283" s="5" t="s">
        <v>44</v>
      </c>
      <c r="D283" s="3">
        <v>8.3970499999999983</v>
      </c>
      <c r="E283" s="3">
        <v>8.3065700000000007</v>
      </c>
      <c r="F283" s="6">
        <f t="shared" si="52"/>
        <v>-9.0479999999997673E-2</v>
      </c>
      <c r="G283" s="6">
        <f t="shared" si="53"/>
        <v>-1.0775212723515722E-2</v>
      </c>
      <c r="H283" s="6" t="str">
        <f t="shared" si="54"/>
        <v>🔴 Under-injection</v>
      </c>
      <c r="I283" s="6">
        <f t="shared" si="55"/>
        <v>9.0479999999997673E-2</v>
      </c>
      <c r="J283" s="3">
        <v>4.6377999999999995</v>
      </c>
      <c r="K283" s="6">
        <f t="shared" si="56"/>
        <v>1.2595574999999997</v>
      </c>
      <c r="L283" s="6">
        <f t="shared" si="57"/>
        <v>1.6794099999999998</v>
      </c>
      <c r="M283" s="6">
        <f t="shared" si="58"/>
        <v>9.0479999999997673E-2</v>
      </c>
      <c r="N283" s="6">
        <f t="shared" si="59"/>
        <v>0</v>
      </c>
      <c r="O283" s="6">
        <f t="shared" si="60"/>
        <v>0</v>
      </c>
      <c r="P283" s="6">
        <f t="shared" si="61"/>
        <v>110.15238779999716</v>
      </c>
      <c r="Q283" s="3">
        <v>110.15238779999999</v>
      </c>
      <c r="R283" s="6">
        <f t="shared" si="62"/>
        <v>-2.8279600883251987E-12</v>
      </c>
      <c r="S283" s="6" t="str">
        <f t="shared" si="63"/>
        <v>OK</v>
      </c>
    </row>
    <row r="284" spans="1:19" x14ac:dyDescent="0.25">
      <c r="A284" s="3" t="str">
        <f t="shared" si="64"/>
        <v>06.05.2026</v>
      </c>
      <c r="B284" s="5">
        <v>75</v>
      </c>
      <c r="C284" s="5" t="s">
        <v>43</v>
      </c>
      <c r="D284" s="3">
        <v>8.3970499999999983</v>
      </c>
      <c r="E284" s="3">
        <v>8.2952300000000001</v>
      </c>
      <c r="F284" s="6">
        <f t="shared" si="52"/>
        <v>-0.10181999999999825</v>
      </c>
      <c r="G284" s="6">
        <f t="shared" si="53"/>
        <v>-1.2125686997219056E-2</v>
      </c>
      <c r="H284" s="6" t="str">
        <f t="shared" si="54"/>
        <v>🔴 Under-injection</v>
      </c>
      <c r="I284" s="6">
        <f t="shared" si="55"/>
        <v>0.10181999999999825</v>
      </c>
      <c r="J284" s="3">
        <v>6.0371000000000006</v>
      </c>
      <c r="K284" s="6">
        <f t="shared" si="56"/>
        <v>1.2595574999999997</v>
      </c>
      <c r="L284" s="6">
        <f t="shared" si="57"/>
        <v>1.6794099999999998</v>
      </c>
      <c r="M284" s="6">
        <f t="shared" si="58"/>
        <v>0.10181999999999825</v>
      </c>
      <c r="N284" s="6">
        <f t="shared" si="59"/>
        <v>0</v>
      </c>
      <c r="O284" s="6">
        <f t="shared" si="60"/>
        <v>0</v>
      </c>
      <c r="P284" s="6">
        <f t="shared" si="61"/>
        <v>161.35809952499724</v>
      </c>
      <c r="Q284" s="3">
        <v>161.35809952500003</v>
      </c>
      <c r="R284" s="6">
        <f t="shared" si="62"/>
        <v>-2.7853275241795927E-12</v>
      </c>
      <c r="S284" s="6" t="str">
        <f t="shared" si="63"/>
        <v>OK</v>
      </c>
    </row>
    <row r="285" spans="1:19" x14ac:dyDescent="0.25">
      <c r="A285" s="3" t="str">
        <f t="shared" si="64"/>
        <v>06.05.2026</v>
      </c>
      <c r="B285" s="5">
        <v>76</v>
      </c>
      <c r="C285" s="5" t="s">
        <v>42</v>
      </c>
      <c r="D285" s="3">
        <v>8.3970499999999983</v>
      </c>
      <c r="E285" s="3">
        <v>8.2952300000000001</v>
      </c>
      <c r="F285" s="6">
        <f t="shared" si="52"/>
        <v>-0.10181999999999825</v>
      </c>
      <c r="G285" s="6">
        <f t="shared" si="53"/>
        <v>-1.2125686997219056E-2</v>
      </c>
      <c r="H285" s="6" t="str">
        <f t="shared" si="54"/>
        <v>🔴 Under-injection</v>
      </c>
      <c r="I285" s="6">
        <f t="shared" si="55"/>
        <v>0.10181999999999825</v>
      </c>
      <c r="J285" s="3">
        <v>8.0609000000000002</v>
      </c>
      <c r="K285" s="6">
        <f t="shared" si="56"/>
        <v>1.2595574999999997</v>
      </c>
      <c r="L285" s="6">
        <f t="shared" si="57"/>
        <v>1.6794099999999998</v>
      </c>
      <c r="M285" s="6">
        <f t="shared" si="58"/>
        <v>0.10181999999999825</v>
      </c>
      <c r="N285" s="6">
        <f t="shared" si="59"/>
        <v>0</v>
      </c>
      <c r="O285" s="6">
        <f t="shared" si="60"/>
        <v>0</v>
      </c>
      <c r="P285" s="6">
        <f t="shared" si="61"/>
        <v>215.4497199749963</v>
      </c>
      <c r="Q285" s="3">
        <v>215.44971997500002</v>
      </c>
      <c r="R285" s="6">
        <f t="shared" si="62"/>
        <v>-3.723243935382925E-12</v>
      </c>
      <c r="S285" s="6" t="str">
        <f t="shared" si="63"/>
        <v>OK</v>
      </c>
    </row>
    <row r="286" spans="1:19" x14ac:dyDescent="0.25">
      <c r="A286" s="3" t="str">
        <f t="shared" si="64"/>
        <v>06.05.2026</v>
      </c>
      <c r="B286" s="5">
        <v>77</v>
      </c>
      <c r="C286" s="5" t="s">
        <v>41</v>
      </c>
      <c r="D286" s="3">
        <v>8.3970499999999983</v>
      </c>
      <c r="E286" s="3">
        <v>8.2952300000000001</v>
      </c>
      <c r="F286" s="6">
        <f t="shared" si="52"/>
        <v>-0.10181999999999825</v>
      </c>
      <c r="G286" s="6">
        <f t="shared" si="53"/>
        <v>-1.2125686997219056E-2</v>
      </c>
      <c r="H286" s="6" t="str">
        <f t="shared" si="54"/>
        <v>🔴 Under-injection</v>
      </c>
      <c r="I286" s="6">
        <f t="shared" si="55"/>
        <v>0.10181999999999825</v>
      </c>
      <c r="J286" s="3">
        <v>9.9997000000000007</v>
      </c>
      <c r="K286" s="6">
        <f t="shared" si="56"/>
        <v>1.2595574999999997</v>
      </c>
      <c r="L286" s="6">
        <f t="shared" si="57"/>
        <v>1.6794099999999998</v>
      </c>
      <c r="M286" s="6">
        <f t="shared" si="58"/>
        <v>0.10181999999999825</v>
      </c>
      <c r="N286" s="6">
        <f t="shared" si="59"/>
        <v>0</v>
      </c>
      <c r="O286" s="6">
        <f t="shared" si="60"/>
        <v>0</v>
      </c>
      <c r="P286" s="6">
        <f t="shared" si="61"/>
        <v>267.2694816749954</v>
      </c>
      <c r="Q286" s="3">
        <v>267.26948167500001</v>
      </c>
      <c r="R286" s="6">
        <f t="shared" si="62"/>
        <v>-4.6043169277254492E-12</v>
      </c>
      <c r="S286" s="6" t="str">
        <f t="shared" si="63"/>
        <v>OK</v>
      </c>
    </row>
    <row r="287" spans="1:19" x14ac:dyDescent="0.25">
      <c r="A287" s="3" t="str">
        <f t="shared" si="64"/>
        <v>06.05.2026</v>
      </c>
      <c r="B287" s="5">
        <v>78</v>
      </c>
      <c r="C287" s="5" t="s">
        <v>40</v>
      </c>
      <c r="D287" s="3">
        <v>8.4770500000000002</v>
      </c>
      <c r="E287" s="3">
        <v>8.2952300000000001</v>
      </c>
      <c r="F287" s="6">
        <f t="shared" si="52"/>
        <v>-0.18182000000000009</v>
      </c>
      <c r="G287" s="6">
        <f t="shared" si="53"/>
        <v>-2.1448499183088467E-2</v>
      </c>
      <c r="H287" s="6" t="str">
        <f t="shared" si="54"/>
        <v>🔴 Under-injection</v>
      </c>
      <c r="I287" s="6">
        <f t="shared" si="55"/>
        <v>0.18182000000000009</v>
      </c>
      <c r="J287" s="3">
        <v>10</v>
      </c>
      <c r="K287" s="6">
        <f t="shared" si="56"/>
        <v>1.2715574999999999</v>
      </c>
      <c r="L287" s="6">
        <f t="shared" si="57"/>
        <v>1.6954100000000001</v>
      </c>
      <c r="M287" s="6">
        <f t="shared" si="58"/>
        <v>0.18182000000000009</v>
      </c>
      <c r="N287" s="6">
        <f t="shared" si="59"/>
        <v>0</v>
      </c>
      <c r="O287" s="6">
        <f t="shared" si="60"/>
        <v>0</v>
      </c>
      <c r="P287" s="6">
        <f t="shared" si="61"/>
        <v>477.27750000000026</v>
      </c>
      <c r="Q287" s="3">
        <v>477.27750000000003</v>
      </c>
      <c r="R287" s="6">
        <f t="shared" si="62"/>
        <v>0</v>
      </c>
      <c r="S287" s="6" t="str">
        <f t="shared" si="63"/>
        <v>OK</v>
      </c>
    </row>
    <row r="288" spans="1:19" x14ac:dyDescent="0.25">
      <c r="A288" s="3" t="str">
        <f t="shared" si="64"/>
        <v>06.05.2026</v>
      </c>
      <c r="B288" s="5">
        <v>79</v>
      </c>
      <c r="C288" s="5" t="s">
        <v>39</v>
      </c>
      <c r="D288" s="3">
        <v>8.3970499999999983</v>
      </c>
      <c r="E288" s="3">
        <v>8.2952300000000001</v>
      </c>
      <c r="F288" s="6">
        <f t="shared" si="52"/>
        <v>-0.10181999999999825</v>
      </c>
      <c r="G288" s="6">
        <f t="shared" si="53"/>
        <v>-1.2125686997219056E-2</v>
      </c>
      <c r="H288" s="6" t="str">
        <f t="shared" si="54"/>
        <v>🔴 Under-injection</v>
      </c>
      <c r="I288" s="6">
        <f t="shared" si="55"/>
        <v>0.10181999999999825</v>
      </c>
      <c r="J288" s="3">
        <v>9.5098000000000003</v>
      </c>
      <c r="K288" s="6">
        <f t="shared" si="56"/>
        <v>1.2595574999999997</v>
      </c>
      <c r="L288" s="6">
        <f t="shared" si="57"/>
        <v>1.6794099999999998</v>
      </c>
      <c r="M288" s="6">
        <f t="shared" si="58"/>
        <v>0.10181999999999825</v>
      </c>
      <c r="N288" s="6">
        <f t="shared" si="59"/>
        <v>0</v>
      </c>
      <c r="O288" s="6">
        <f t="shared" si="60"/>
        <v>0</v>
      </c>
      <c r="P288" s="6">
        <f t="shared" si="61"/>
        <v>254.17555694999561</v>
      </c>
      <c r="Q288" s="3">
        <v>254.17555694999999</v>
      </c>
      <c r="R288" s="6">
        <f t="shared" si="62"/>
        <v>-4.3769432522822171E-12</v>
      </c>
      <c r="S288" s="6" t="str">
        <f t="shared" si="63"/>
        <v>OK</v>
      </c>
    </row>
    <row r="289" spans="1:19" x14ac:dyDescent="0.25">
      <c r="A289" s="3" t="str">
        <f t="shared" si="64"/>
        <v>06.05.2026</v>
      </c>
      <c r="B289" s="5">
        <v>80</v>
      </c>
      <c r="C289" s="5" t="s">
        <v>38</v>
      </c>
      <c r="D289" s="3">
        <v>8.3970499999999983</v>
      </c>
      <c r="E289" s="3">
        <v>8.2838700000000003</v>
      </c>
      <c r="F289" s="6">
        <f t="shared" si="52"/>
        <v>-0.11317999999999806</v>
      </c>
      <c r="G289" s="6">
        <f t="shared" si="53"/>
        <v>-1.3478543059764809E-2</v>
      </c>
      <c r="H289" s="6" t="str">
        <f t="shared" si="54"/>
        <v>🔴 Under-injection</v>
      </c>
      <c r="I289" s="6">
        <f t="shared" si="55"/>
        <v>0.11317999999999806</v>
      </c>
      <c r="J289" s="3">
        <v>9.9366000000000003</v>
      </c>
      <c r="K289" s="6">
        <f t="shared" si="56"/>
        <v>1.2595574999999997</v>
      </c>
      <c r="L289" s="6">
        <f t="shared" si="57"/>
        <v>1.6794099999999998</v>
      </c>
      <c r="M289" s="6">
        <f t="shared" si="58"/>
        <v>0.11317999999999806</v>
      </c>
      <c r="N289" s="6">
        <f t="shared" si="59"/>
        <v>0</v>
      </c>
      <c r="O289" s="6">
        <f t="shared" si="60"/>
        <v>0</v>
      </c>
      <c r="P289" s="6">
        <f t="shared" si="61"/>
        <v>295.21390184999495</v>
      </c>
      <c r="Q289" s="3">
        <v>295.21390185000007</v>
      </c>
      <c r="R289" s="6">
        <f t="shared" si="62"/>
        <v>-5.1159076974727213E-12</v>
      </c>
      <c r="S289" s="6" t="str">
        <f t="shared" si="63"/>
        <v>OK</v>
      </c>
    </row>
    <row r="290" spans="1:19" x14ac:dyDescent="0.25">
      <c r="A290" s="3" t="str">
        <f t="shared" si="64"/>
        <v>06.05.2026</v>
      </c>
      <c r="B290" s="5">
        <v>81</v>
      </c>
      <c r="C290" s="5" t="s">
        <v>37</v>
      </c>
      <c r="D290" s="3">
        <v>8.6970499999999991</v>
      </c>
      <c r="E290" s="3">
        <v>8.4881399999999996</v>
      </c>
      <c r="F290" s="6">
        <f t="shared" si="52"/>
        <v>-0.20890999999999948</v>
      </c>
      <c r="G290" s="6">
        <f t="shared" si="53"/>
        <v>-2.4020788658223133E-2</v>
      </c>
      <c r="H290" s="6" t="str">
        <f t="shared" si="54"/>
        <v>🔴 Under-injection</v>
      </c>
      <c r="I290" s="6">
        <f t="shared" si="55"/>
        <v>0.20890999999999948</v>
      </c>
      <c r="J290" s="3">
        <v>8.02</v>
      </c>
      <c r="K290" s="6">
        <f t="shared" si="56"/>
        <v>1.3045574999999998</v>
      </c>
      <c r="L290" s="6">
        <f t="shared" si="57"/>
        <v>1.7394099999999999</v>
      </c>
      <c r="M290" s="6">
        <f t="shared" si="58"/>
        <v>0.20890999999999948</v>
      </c>
      <c r="N290" s="6">
        <f t="shared" si="59"/>
        <v>0</v>
      </c>
      <c r="O290" s="6">
        <f t="shared" si="60"/>
        <v>0</v>
      </c>
      <c r="P290" s="6">
        <f t="shared" si="61"/>
        <v>439.80777749999896</v>
      </c>
      <c r="Q290" s="3">
        <v>439.80777749999999</v>
      </c>
      <c r="R290" s="6">
        <f t="shared" si="62"/>
        <v>-1.0231815394945443E-12</v>
      </c>
      <c r="S290" s="6" t="str">
        <f t="shared" si="63"/>
        <v>OK</v>
      </c>
    </row>
    <row r="291" spans="1:19" x14ac:dyDescent="0.25">
      <c r="A291" s="3" t="str">
        <f t="shared" si="64"/>
        <v>06.05.2026</v>
      </c>
      <c r="B291" s="5">
        <v>82</v>
      </c>
      <c r="C291" s="5" t="s">
        <v>36</v>
      </c>
      <c r="D291" s="3">
        <v>8.8170500000000001</v>
      </c>
      <c r="E291" s="3">
        <v>8.4994899999999998</v>
      </c>
      <c r="F291" s="6">
        <f t="shared" si="52"/>
        <v>-0.31756000000000029</v>
      </c>
      <c r="G291" s="6">
        <f t="shared" si="53"/>
        <v>-3.6016581509688644E-2</v>
      </c>
      <c r="H291" s="6" t="str">
        <f t="shared" si="54"/>
        <v>🔴 Under-injection</v>
      </c>
      <c r="I291" s="6">
        <f t="shared" si="55"/>
        <v>0.31756000000000029</v>
      </c>
      <c r="J291" s="3">
        <v>9.8958000000000013</v>
      </c>
      <c r="K291" s="6">
        <f t="shared" si="56"/>
        <v>1.3225575000000001</v>
      </c>
      <c r="L291" s="6">
        <f t="shared" si="57"/>
        <v>1.7634100000000001</v>
      </c>
      <c r="M291" s="6">
        <f t="shared" si="58"/>
        <v>0.31756000000000029</v>
      </c>
      <c r="N291" s="6">
        <f t="shared" si="59"/>
        <v>0</v>
      </c>
      <c r="O291" s="6">
        <f t="shared" si="60"/>
        <v>0</v>
      </c>
      <c r="P291" s="6">
        <f t="shared" si="61"/>
        <v>824.90894010000079</v>
      </c>
      <c r="Q291" s="3">
        <v>824.90894010000011</v>
      </c>
      <c r="R291" s="6">
        <f t="shared" si="62"/>
        <v>0</v>
      </c>
      <c r="S291" s="6" t="str">
        <f t="shared" si="63"/>
        <v>OK</v>
      </c>
    </row>
    <row r="292" spans="1:19" x14ac:dyDescent="0.25">
      <c r="A292" s="3" t="str">
        <f t="shared" si="64"/>
        <v>06.05.2026</v>
      </c>
      <c r="B292" s="5">
        <v>83</v>
      </c>
      <c r="C292" s="5" t="s">
        <v>35</v>
      </c>
      <c r="D292" s="3">
        <v>8.6970499999999991</v>
      </c>
      <c r="E292" s="3">
        <v>8.4881399999999996</v>
      </c>
      <c r="F292" s="6">
        <f t="shared" si="52"/>
        <v>-0.20890999999999948</v>
      </c>
      <c r="G292" s="6">
        <f t="shared" si="53"/>
        <v>-2.4020788658223133E-2</v>
      </c>
      <c r="H292" s="6" t="str">
        <f t="shared" si="54"/>
        <v>🔴 Under-injection</v>
      </c>
      <c r="I292" s="6">
        <f t="shared" si="55"/>
        <v>0.20890999999999948</v>
      </c>
      <c r="J292" s="3">
        <v>8.9269999999999996</v>
      </c>
      <c r="K292" s="6">
        <f t="shared" si="56"/>
        <v>1.3045574999999998</v>
      </c>
      <c r="L292" s="6">
        <f t="shared" si="57"/>
        <v>1.7394099999999999</v>
      </c>
      <c r="M292" s="6">
        <f t="shared" si="58"/>
        <v>0.20890999999999948</v>
      </c>
      <c r="N292" s="6">
        <f t="shared" si="59"/>
        <v>0</v>
      </c>
      <c r="O292" s="6">
        <f t="shared" si="60"/>
        <v>0</v>
      </c>
      <c r="P292" s="6">
        <f t="shared" si="61"/>
        <v>489.54663712499882</v>
      </c>
      <c r="Q292" s="3">
        <v>489.54663712500002</v>
      </c>
      <c r="R292" s="6">
        <f t="shared" si="62"/>
        <v>-1.1937117960769683E-12</v>
      </c>
      <c r="S292" s="6" t="str">
        <f t="shared" si="63"/>
        <v>OK</v>
      </c>
    </row>
    <row r="293" spans="1:19" x14ac:dyDescent="0.25">
      <c r="A293" s="3" t="str">
        <f t="shared" si="64"/>
        <v>06.05.2026</v>
      </c>
      <c r="B293" s="5">
        <v>84</v>
      </c>
      <c r="C293" s="5" t="s">
        <v>34</v>
      </c>
      <c r="D293" s="3">
        <v>8.7270500000000002</v>
      </c>
      <c r="E293" s="3">
        <v>8.4881399999999996</v>
      </c>
      <c r="F293" s="6">
        <f t="shared" si="52"/>
        <v>-0.23891000000000062</v>
      </c>
      <c r="G293" s="6">
        <f t="shared" si="53"/>
        <v>-2.7375802819967873E-2</v>
      </c>
      <c r="H293" s="6" t="str">
        <f t="shared" si="54"/>
        <v>🔴 Under-injection</v>
      </c>
      <c r="I293" s="6">
        <f t="shared" si="55"/>
        <v>0.23891000000000062</v>
      </c>
      <c r="J293" s="3">
        <v>9.9042999999999992</v>
      </c>
      <c r="K293" s="6">
        <f t="shared" si="56"/>
        <v>1.3090575</v>
      </c>
      <c r="L293" s="6">
        <f t="shared" si="57"/>
        <v>1.7454100000000001</v>
      </c>
      <c r="M293" s="6">
        <f t="shared" si="58"/>
        <v>0.23891000000000062</v>
      </c>
      <c r="N293" s="6">
        <f t="shared" si="59"/>
        <v>0</v>
      </c>
      <c r="O293" s="6">
        <f t="shared" si="60"/>
        <v>0</v>
      </c>
      <c r="P293" s="6">
        <f t="shared" si="61"/>
        <v>621.13703216250155</v>
      </c>
      <c r="Q293" s="3">
        <v>621.13703216249996</v>
      </c>
      <c r="R293" s="6">
        <f t="shared" si="62"/>
        <v>1.5916157281026244E-12</v>
      </c>
      <c r="S293" s="6" t="str">
        <f t="shared" si="63"/>
        <v>OK</v>
      </c>
    </row>
    <row r="294" spans="1:19" x14ac:dyDescent="0.25">
      <c r="A294" s="3" t="str">
        <f t="shared" si="64"/>
        <v>06.05.2026</v>
      </c>
      <c r="B294" s="5">
        <v>85</v>
      </c>
      <c r="C294" s="5" t="s">
        <v>33</v>
      </c>
      <c r="D294" s="3">
        <v>9.0770499999999998</v>
      </c>
      <c r="E294" s="3">
        <v>8.6243099999999995</v>
      </c>
      <c r="F294" s="6">
        <f t="shared" si="52"/>
        <v>-0.45274000000000036</v>
      </c>
      <c r="G294" s="6">
        <f t="shared" si="53"/>
        <v>-4.9877438154466526E-2</v>
      </c>
      <c r="H294" s="6" t="str">
        <f t="shared" si="54"/>
        <v>🔴 Under-injection</v>
      </c>
      <c r="I294" s="6">
        <f t="shared" si="55"/>
        <v>0.45274000000000036</v>
      </c>
      <c r="J294" s="3">
        <v>9.8798999999999992</v>
      </c>
      <c r="K294" s="6">
        <f t="shared" si="56"/>
        <v>1.3615575</v>
      </c>
      <c r="L294" s="6">
        <f t="shared" si="57"/>
        <v>1.81541</v>
      </c>
      <c r="M294" s="6">
        <f t="shared" si="58"/>
        <v>0.45274000000000036</v>
      </c>
      <c r="N294" s="6">
        <f t="shared" si="59"/>
        <v>0</v>
      </c>
      <c r="O294" s="6">
        <f t="shared" si="60"/>
        <v>0</v>
      </c>
      <c r="P294" s="6">
        <f t="shared" si="61"/>
        <v>1174.1693055750009</v>
      </c>
      <c r="Q294" s="3">
        <v>1174.1693055749997</v>
      </c>
      <c r="R294" s="6">
        <f t="shared" si="62"/>
        <v>0</v>
      </c>
      <c r="S294" s="6" t="str">
        <f t="shared" si="63"/>
        <v>OK</v>
      </c>
    </row>
    <row r="295" spans="1:19" x14ac:dyDescent="0.25">
      <c r="A295" s="3" t="str">
        <f t="shared" si="64"/>
        <v>06.05.2026</v>
      </c>
      <c r="B295" s="5">
        <v>86</v>
      </c>
      <c r="C295" s="5" t="s">
        <v>32</v>
      </c>
      <c r="D295" s="3">
        <v>8.6970499999999991</v>
      </c>
      <c r="E295" s="3">
        <v>8.5335300000000007</v>
      </c>
      <c r="F295" s="6">
        <f t="shared" si="52"/>
        <v>-0.16351999999999833</v>
      </c>
      <c r="G295" s="6">
        <f t="shared" si="53"/>
        <v>-1.8801777614248321E-2</v>
      </c>
      <c r="H295" s="6" t="str">
        <f t="shared" si="54"/>
        <v>🔴 Under-injection</v>
      </c>
      <c r="I295" s="6">
        <f t="shared" si="55"/>
        <v>0.16351999999999833</v>
      </c>
      <c r="J295" s="3">
        <v>9.8855000000000004</v>
      </c>
      <c r="K295" s="6">
        <f t="shared" si="56"/>
        <v>1.3045574999999998</v>
      </c>
      <c r="L295" s="6">
        <f t="shared" si="57"/>
        <v>1.7394099999999999</v>
      </c>
      <c r="M295" s="6">
        <f t="shared" si="58"/>
        <v>0.16351999999999833</v>
      </c>
      <c r="N295" s="6">
        <f t="shared" si="59"/>
        <v>0</v>
      </c>
      <c r="O295" s="6">
        <f t="shared" si="60"/>
        <v>0</v>
      </c>
      <c r="P295" s="6">
        <f t="shared" si="61"/>
        <v>424.32520199999573</v>
      </c>
      <c r="Q295" s="3">
        <v>424.32520199999999</v>
      </c>
      <c r="R295" s="6">
        <f t="shared" si="62"/>
        <v>-4.2632564145606011E-12</v>
      </c>
      <c r="S295" s="6" t="str">
        <f t="shared" si="63"/>
        <v>OK</v>
      </c>
    </row>
    <row r="296" spans="1:19" x14ac:dyDescent="0.25">
      <c r="A296" s="3" t="str">
        <f t="shared" si="64"/>
        <v>06.05.2026</v>
      </c>
      <c r="B296" s="5">
        <v>87</v>
      </c>
      <c r="C296" s="5" t="s">
        <v>31</v>
      </c>
      <c r="D296" s="3">
        <v>8.2970499999999987</v>
      </c>
      <c r="E296" s="3">
        <v>8.1023099999999992</v>
      </c>
      <c r="F296" s="6">
        <f t="shared" si="52"/>
        <v>-0.19473999999999947</v>
      </c>
      <c r="G296" s="6">
        <f t="shared" si="53"/>
        <v>-2.347099270222543E-2</v>
      </c>
      <c r="H296" s="6" t="str">
        <f t="shared" si="54"/>
        <v>🔴 Under-injection</v>
      </c>
      <c r="I296" s="6">
        <f t="shared" si="55"/>
        <v>0.19473999999999947</v>
      </c>
      <c r="J296" s="3">
        <v>8.9608000000000008</v>
      </c>
      <c r="K296" s="6">
        <f t="shared" si="56"/>
        <v>1.2445574999999998</v>
      </c>
      <c r="L296" s="6">
        <f t="shared" si="57"/>
        <v>1.6594099999999998</v>
      </c>
      <c r="M296" s="6">
        <f t="shared" si="58"/>
        <v>0.19473999999999947</v>
      </c>
      <c r="N296" s="6">
        <f t="shared" si="59"/>
        <v>0</v>
      </c>
      <c r="O296" s="6">
        <f t="shared" si="60"/>
        <v>0</v>
      </c>
      <c r="P296" s="6">
        <f t="shared" si="61"/>
        <v>458.06937539999882</v>
      </c>
      <c r="Q296" s="3">
        <v>458.06937540000001</v>
      </c>
      <c r="R296" s="6">
        <f t="shared" si="62"/>
        <v>-1.1937117960769683E-12</v>
      </c>
      <c r="S296" s="6" t="str">
        <f t="shared" si="63"/>
        <v>OK</v>
      </c>
    </row>
    <row r="297" spans="1:19" x14ac:dyDescent="0.25">
      <c r="A297" s="3" t="str">
        <f t="shared" si="64"/>
        <v>06.05.2026</v>
      </c>
      <c r="B297" s="5">
        <v>88</v>
      </c>
      <c r="C297" s="5" t="s">
        <v>30</v>
      </c>
      <c r="D297" s="3">
        <v>8.2970499999999987</v>
      </c>
      <c r="E297" s="3">
        <v>8.0796200000000002</v>
      </c>
      <c r="F297" s="6">
        <f t="shared" si="52"/>
        <v>-0.21742999999999846</v>
      </c>
      <c r="G297" s="6">
        <f t="shared" si="53"/>
        <v>-2.6205699616128442E-2</v>
      </c>
      <c r="H297" s="6" t="str">
        <f t="shared" si="54"/>
        <v>🔴 Under-injection</v>
      </c>
      <c r="I297" s="6">
        <f t="shared" si="55"/>
        <v>0.21742999999999846</v>
      </c>
      <c r="J297" s="3">
        <v>8.4626999999999999</v>
      </c>
      <c r="K297" s="6">
        <f t="shared" si="56"/>
        <v>1.2445574999999998</v>
      </c>
      <c r="L297" s="6">
        <f t="shared" si="57"/>
        <v>1.6594099999999998</v>
      </c>
      <c r="M297" s="6">
        <f t="shared" si="58"/>
        <v>0.21742999999999846</v>
      </c>
      <c r="N297" s="6">
        <f t="shared" si="59"/>
        <v>0</v>
      </c>
      <c r="O297" s="6">
        <f t="shared" si="60"/>
        <v>0</v>
      </c>
      <c r="P297" s="6">
        <f t="shared" si="61"/>
        <v>483.01177601249657</v>
      </c>
      <c r="Q297" s="3">
        <v>483.01177601250004</v>
      </c>
      <c r="R297" s="6">
        <f t="shared" si="62"/>
        <v>-3.4674485505092889E-12</v>
      </c>
      <c r="S297" s="6" t="str">
        <f t="shared" si="63"/>
        <v>OK</v>
      </c>
    </row>
    <row r="298" spans="1:19" x14ac:dyDescent="0.25">
      <c r="A298" s="3" t="str">
        <f t="shared" si="64"/>
        <v>06.05.2026</v>
      </c>
      <c r="B298" s="5">
        <v>89</v>
      </c>
      <c r="C298" s="5" t="s">
        <v>29</v>
      </c>
      <c r="D298" s="3">
        <v>8.5770499999999998</v>
      </c>
      <c r="E298" s="3">
        <v>8.1250099999999996</v>
      </c>
      <c r="F298" s="6">
        <f t="shared" si="52"/>
        <v>-0.45204000000000022</v>
      </c>
      <c r="G298" s="6">
        <f t="shared" si="53"/>
        <v>-5.2703435330329222E-2</v>
      </c>
      <c r="H298" s="6" t="str">
        <f t="shared" si="54"/>
        <v>🔴 Under-injection</v>
      </c>
      <c r="I298" s="6">
        <f t="shared" si="55"/>
        <v>0.45204000000000022</v>
      </c>
      <c r="J298" s="3">
        <v>10</v>
      </c>
      <c r="K298" s="6">
        <f t="shared" si="56"/>
        <v>1.2865575</v>
      </c>
      <c r="L298" s="6">
        <f t="shared" si="57"/>
        <v>1.7154100000000001</v>
      </c>
      <c r="M298" s="6">
        <f t="shared" si="58"/>
        <v>0.45204000000000022</v>
      </c>
      <c r="N298" s="6">
        <f t="shared" si="59"/>
        <v>0</v>
      </c>
      <c r="O298" s="6">
        <f t="shared" si="60"/>
        <v>0</v>
      </c>
      <c r="P298" s="6">
        <f t="shared" si="61"/>
        <v>1186.6050000000005</v>
      </c>
      <c r="Q298" s="3">
        <v>1186.605</v>
      </c>
      <c r="R298" s="6">
        <f t="shared" si="62"/>
        <v>0</v>
      </c>
      <c r="S298" s="6" t="str">
        <f t="shared" si="63"/>
        <v>OK</v>
      </c>
    </row>
    <row r="299" spans="1:19" x14ac:dyDescent="0.25">
      <c r="A299" s="3" t="str">
        <f t="shared" si="64"/>
        <v>06.05.2026</v>
      </c>
      <c r="B299" s="5">
        <v>90</v>
      </c>
      <c r="C299" s="5" t="s">
        <v>28</v>
      </c>
      <c r="D299" s="3">
        <v>8.5470499999999987</v>
      </c>
      <c r="E299" s="3">
        <v>8.4087099999999992</v>
      </c>
      <c r="F299" s="6">
        <f t="shared" si="52"/>
        <v>-0.13833999999999946</v>
      </c>
      <c r="G299" s="6">
        <f t="shared" si="53"/>
        <v>-1.6185701499347668E-2</v>
      </c>
      <c r="H299" s="6" t="str">
        <f t="shared" si="54"/>
        <v>🔴 Under-injection</v>
      </c>
      <c r="I299" s="6">
        <f t="shared" si="55"/>
        <v>0.13833999999999946</v>
      </c>
      <c r="J299" s="3">
        <v>10</v>
      </c>
      <c r="K299" s="6">
        <f t="shared" si="56"/>
        <v>1.2820574999999999</v>
      </c>
      <c r="L299" s="6">
        <f t="shared" si="57"/>
        <v>1.7094099999999999</v>
      </c>
      <c r="M299" s="6">
        <f t="shared" si="58"/>
        <v>0.13833999999999946</v>
      </c>
      <c r="N299" s="6">
        <f t="shared" si="59"/>
        <v>0</v>
      </c>
      <c r="O299" s="6">
        <f t="shared" si="60"/>
        <v>0</v>
      </c>
      <c r="P299" s="6">
        <f t="shared" si="61"/>
        <v>363.14249999999856</v>
      </c>
      <c r="Q299" s="3">
        <v>363.14249999999998</v>
      </c>
      <c r="R299" s="6">
        <f t="shared" si="62"/>
        <v>-1.4210854715202004E-12</v>
      </c>
      <c r="S299" s="6" t="str">
        <f t="shared" si="63"/>
        <v>OK</v>
      </c>
    </row>
    <row r="300" spans="1:19" x14ac:dyDescent="0.25">
      <c r="A300" s="3" t="str">
        <f t="shared" si="64"/>
        <v>06.05.2026</v>
      </c>
      <c r="B300" s="5">
        <v>91</v>
      </c>
      <c r="C300" s="5" t="s">
        <v>27</v>
      </c>
      <c r="D300" s="3">
        <v>8.5770499999999998</v>
      </c>
      <c r="E300" s="3">
        <v>8.3973499999999994</v>
      </c>
      <c r="F300" s="6">
        <f t="shared" si="52"/>
        <v>-0.17970000000000041</v>
      </c>
      <c r="G300" s="6">
        <f t="shared" si="53"/>
        <v>-2.0951259465667147E-2</v>
      </c>
      <c r="H300" s="6" t="str">
        <f t="shared" si="54"/>
        <v>🔴 Under-injection</v>
      </c>
      <c r="I300" s="6">
        <f t="shared" si="55"/>
        <v>0.17970000000000041</v>
      </c>
      <c r="J300" s="3">
        <v>10</v>
      </c>
      <c r="K300" s="6">
        <f t="shared" si="56"/>
        <v>1.2865575</v>
      </c>
      <c r="L300" s="6">
        <f t="shared" si="57"/>
        <v>1.7154100000000001</v>
      </c>
      <c r="M300" s="6">
        <f t="shared" si="58"/>
        <v>0.17970000000000041</v>
      </c>
      <c r="N300" s="6">
        <f t="shared" si="59"/>
        <v>0</v>
      </c>
      <c r="O300" s="6">
        <f t="shared" si="60"/>
        <v>0</v>
      </c>
      <c r="P300" s="6">
        <f t="shared" si="61"/>
        <v>471.71250000000111</v>
      </c>
      <c r="Q300" s="3">
        <v>471.71249999999998</v>
      </c>
      <c r="R300" s="6">
        <f t="shared" si="62"/>
        <v>1.1368683772161603E-12</v>
      </c>
      <c r="S300" s="6" t="str">
        <f t="shared" si="63"/>
        <v>OK</v>
      </c>
    </row>
    <row r="301" spans="1:19" x14ac:dyDescent="0.25">
      <c r="A301" s="3" t="str">
        <f t="shared" si="64"/>
        <v>06.05.2026</v>
      </c>
      <c r="B301" s="5">
        <v>92</v>
      </c>
      <c r="C301" s="5" t="s">
        <v>26</v>
      </c>
      <c r="D301" s="3">
        <v>8.5370500000000007</v>
      </c>
      <c r="E301" s="3">
        <v>8.4087099999999992</v>
      </c>
      <c r="F301" s="6">
        <f t="shared" si="52"/>
        <v>-0.12834000000000145</v>
      </c>
      <c r="G301" s="6">
        <f t="shared" si="53"/>
        <v>-1.5033296044886868E-2</v>
      </c>
      <c r="H301" s="6" t="str">
        <f t="shared" si="54"/>
        <v>🔴 Under-injection</v>
      </c>
      <c r="I301" s="6">
        <f t="shared" si="55"/>
        <v>0.12834000000000145</v>
      </c>
      <c r="J301" s="3">
        <v>10</v>
      </c>
      <c r="K301" s="6">
        <f t="shared" si="56"/>
        <v>1.2805575</v>
      </c>
      <c r="L301" s="6">
        <f t="shared" si="57"/>
        <v>1.7074100000000003</v>
      </c>
      <c r="M301" s="6">
        <f t="shared" si="58"/>
        <v>0.12834000000000145</v>
      </c>
      <c r="N301" s="6">
        <f t="shared" si="59"/>
        <v>0</v>
      </c>
      <c r="O301" s="6">
        <f t="shared" si="60"/>
        <v>0</v>
      </c>
      <c r="P301" s="6">
        <f t="shared" si="61"/>
        <v>336.89250000000385</v>
      </c>
      <c r="Q301" s="3">
        <v>336.89250000000004</v>
      </c>
      <c r="R301" s="6">
        <f t="shared" si="62"/>
        <v>3.808509063674137E-12</v>
      </c>
      <c r="S301" s="6" t="str">
        <f t="shared" si="63"/>
        <v>OK</v>
      </c>
    </row>
    <row r="302" spans="1:19" x14ac:dyDescent="0.25">
      <c r="A302" s="3" t="str">
        <f t="shared" si="64"/>
        <v>06.05.2026</v>
      </c>
      <c r="B302" s="5">
        <v>93</v>
      </c>
      <c r="C302" s="5" t="s">
        <v>25</v>
      </c>
      <c r="D302" s="3">
        <v>8.6070499999999992</v>
      </c>
      <c r="E302" s="3">
        <v>8.4087099999999992</v>
      </c>
      <c r="F302" s="6">
        <f t="shared" si="52"/>
        <v>-0.19833999999999996</v>
      </c>
      <c r="G302" s="6">
        <f t="shared" si="53"/>
        <v>-2.304390005867283E-2</v>
      </c>
      <c r="H302" s="6" t="str">
        <f t="shared" si="54"/>
        <v>🔴 Under-injection</v>
      </c>
      <c r="I302" s="6">
        <f t="shared" si="55"/>
        <v>0.19833999999999996</v>
      </c>
      <c r="J302" s="3">
        <v>10</v>
      </c>
      <c r="K302" s="6">
        <f t="shared" si="56"/>
        <v>1.2910574999999997</v>
      </c>
      <c r="L302" s="6">
        <f t="shared" si="57"/>
        <v>1.7214099999999999</v>
      </c>
      <c r="M302" s="6">
        <f t="shared" si="58"/>
        <v>0.19833999999999996</v>
      </c>
      <c r="N302" s="6">
        <f t="shared" si="59"/>
        <v>0</v>
      </c>
      <c r="O302" s="6">
        <f t="shared" si="60"/>
        <v>0</v>
      </c>
      <c r="P302" s="6">
        <f t="shared" si="61"/>
        <v>520.64249999999993</v>
      </c>
      <c r="Q302" s="3">
        <v>520.64250000000004</v>
      </c>
      <c r="R302" s="6">
        <f t="shared" si="62"/>
        <v>0</v>
      </c>
      <c r="S302" s="6" t="str">
        <f t="shared" si="63"/>
        <v>OK</v>
      </c>
    </row>
    <row r="303" spans="1:19" x14ac:dyDescent="0.25">
      <c r="A303" s="3" t="str">
        <f t="shared" si="64"/>
        <v>06.05.2026</v>
      </c>
      <c r="B303" s="5">
        <v>94</v>
      </c>
      <c r="C303" s="5" t="s">
        <v>24</v>
      </c>
      <c r="D303" s="3">
        <v>8.617049999999999</v>
      </c>
      <c r="E303" s="3">
        <v>8.3973499999999994</v>
      </c>
      <c r="F303" s="6">
        <f t="shared" si="52"/>
        <v>-0.21969999999999956</v>
      </c>
      <c r="G303" s="6">
        <f t="shared" si="53"/>
        <v>-2.5495964396168014E-2</v>
      </c>
      <c r="H303" s="6" t="str">
        <f t="shared" si="54"/>
        <v>🔴 Under-injection</v>
      </c>
      <c r="I303" s="6">
        <f t="shared" si="55"/>
        <v>0.21969999999999956</v>
      </c>
      <c r="J303" s="3">
        <v>10</v>
      </c>
      <c r="K303" s="6">
        <f t="shared" si="56"/>
        <v>1.2925574999999998</v>
      </c>
      <c r="L303" s="6">
        <f t="shared" si="57"/>
        <v>1.7234099999999999</v>
      </c>
      <c r="M303" s="6">
        <f t="shared" si="58"/>
        <v>0.21969999999999956</v>
      </c>
      <c r="N303" s="6">
        <f t="shared" si="59"/>
        <v>0</v>
      </c>
      <c r="O303" s="6">
        <f t="shared" si="60"/>
        <v>0</v>
      </c>
      <c r="P303" s="6">
        <f t="shared" si="61"/>
        <v>576.71249999999884</v>
      </c>
      <c r="Q303" s="3">
        <v>576.71249999999998</v>
      </c>
      <c r="R303" s="6">
        <f t="shared" si="62"/>
        <v>-1.1368683772161603E-12</v>
      </c>
      <c r="S303" s="6" t="str">
        <f t="shared" si="63"/>
        <v>OK</v>
      </c>
    </row>
    <row r="304" spans="1:19" x14ac:dyDescent="0.25">
      <c r="A304" s="3" t="str">
        <f t="shared" si="64"/>
        <v>06.05.2026</v>
      </c>
      <c r="B304" s="5">
        <v>95</v>
      </c>
      <c r="C304" s="5" t="s">
        <v>23</v>
      </c>
      <c r="D304" s="3">
        <v>8.5470499999999987</v>
      </c>
      <c r="E304" s="3">
        <v>8.3973499999999994</v>
      </c>
      <c r="F304" s="6">
        <f t="shared" si="52"/>
        <v>-0.14969999999999928</v>
      </c>
      <c r="G304" s="6">
        <f t="shared" si="53"/>
        <v>-1.751481505314691E-2</v>
      </c>
      <c r="H304" s="6" t="str">
        <f t="shared" si="54"/>
        <v>🔴 Under-injection</v>
      </c>
      <c r="I304" s="6">
        <f t="shared" si="55"/>
        <v>0.14969999999999928</v>
      </c>
      <c r="J304" s="3">
        <v>10</v>
      </c>
      <c r="K304" s="6">
        <f t="shared" si="56"/>
        <v>1.2820574999999999</v>
      </c>
      <c r="L304" s="6">
        <f t="shared" si="57"/>
        <v>1.7094099999999999</v>
      </c>
      <c r="M304" s="6">
        <f t="shared" si="58"/>
        <v>0.14969999999999928</v>
      </c>
      <c r="N304" s="6">
        <f t="shared" si="59"/>
        <v>0</v>
      </c>
      <c r="O304" s="6">
        <f t="shared" si="60"/>
        <v>0</v>
      </c>
      <c r="P304" s="6">
        <f t="shared" si="61"/>
        <v>392.9624999999981</v>
      </c>
      <c r="Q304" s="3">
        <v>392.96249999999998</v>
      </c>
      <c r="R304" s="6">
        <f t="shared" si="62"/>
        <v>-1.8758328224066645E-12</v>
      </c>
      <c r="S304" s="6" t="str">
        <f t="shared" si="63"/>
        <v>OK</v>
      </c>
    </row>
    <row r="305" spans="1:19" x14ac:dyDescent="0.25">
      <c r="A305" s="3" t="str">
        <f t="shared" si="64"/>
        <v>06.05.2026</v>
      </c>
      <c r="B305" s="5">
        <v>96</v>
      </c>
      <c r="C305" s="5" t="s">
        <v>22</v>
      </c>
      <c r="D305" s="3">
        <v>8.5170499999999993</v>
      </c>
      <c r="E305" s="3">
        <v>8.3973499999999994</v>
      </c>
      <c r="F305" s="6">
        <f t="shared" si="52"/>
        <v>-0.11969999999999992</v>
      </c>
      <c r="G305" s="6">
        <f t="shared" si="53"/>
        <v>-1.4054161945744116E-2</v>
      </c>
      <c r="H305" s="6" t="str">
        <f t="shared" si="54"/>
        <v>🔴 Under-injection</v>
      </c>
      <c r="I305" s="6">
        <f t="shared" si="55"/>
        <v>0.11969999999999992</v>
      </c>
      <c r="J305" s="3">
        <v>10</v>
      </c>
      <c r="K305" s="6">
        <f t="shared" si="56"/>
        <v>1.2775574999999999</v>
      </c>
      <c r="L305" s="6">
        <f t="shared" si="57"/>
        <v>1.7034099999999999</v>
      </c>
      <c r="M305" s="6">
        <f t="shared" si="58"/>
        <v>0.11969999999999992</v>
      </c>
      <c r="N305" s="6">
        <f t="shared" si="59"/>
        <v>0</v>
      </c>
      <c r="O305" s="6">
        <f t="shared" si="60"/>
        <v>0</v>
      </c>
      <c r="P305" s="6">
        <f t="shared" si="61"/>
        <v>314.21249999999981</v>
      </c>
      <c r="Q305" s="3">
        <v>314.21249999999998</v>
      </c>
      <c r="R305" s="6">
        <f t="shared" si="62"/>
        <v>0</v>
      </c>
      <c r="S305" s="6" t="str">
        <f t="shared" si="63"/>
        <v>OK</v>
      </c>
    </row>
    <row r="306" spans="1:19" x14ac:dyDescent="0.25">
      <c r="A306" s="3" t="s">
        <v>171</v>
      </c>
      <c r="B306" s="5">
        <v>1</v>
      </c>
      <c r="C306" s="5" t="s">
        <v>117</v>
      </c>
      <c r="D306" s="3">
        <v>7.7970499999999996</v>
      </c>
      <c r="E306" s="3">
        <v>7.8980499999999996</v>
      </c>
      <c r="F306" s="6">
        <f t="shared" si="52"/>
        <v>0.10099999999999998</v>
      </c>
      <c r="G306" s="6">
        <f t="shared" si="53"/>
        <v>1.2953617073123808E-2</v>
      </c>
      <c r="H306" s="6" t="str">
        <f t="shared" si="54"/>
        <v>🟢 Over-injection</v>
      </c>
      <c r="I306" s="6">
        <f t="shared" si="55"/>
        <v>-0.10099999999999998</v>
      </c>
      <c r="J306" s="3">
        <v>4.4991000000000003</v>
      </c>
      <c r="K306" s="6">
        <f t="shared" si="56"/>
        <v>1.1695574999999998</v>
      </c>
      <c r="L306" s="6">
        <f t="shared" si="57"/>
        <v>1.55941</v>
      </c>
      <c r="M306" s="6">
        <f t="shared" si="58"/>
        <v>0.10099999999999998</v>
      </c>
      <c r="N306" s="6">
        <f t="shared" si="59"/>
        <v>0</v>
      </c>
      <c r="O306" s="6">
        <f t="shared" si="60"/>
        <v>0</v>
      </c>
      <c r="P306" s="6">
        <f t="shared" si="61"/>
        <v>-90.881819999999991</v>
      </c>
      <c r="Q306" s="3">
        <v>-90.881820000000019</v>
      </c>
      <c r="R306" s="6">
        <f t="shared" si="62"/>
        <v>0</v>
      </c>
      <c r="S306" s="6" t="str">
        <f t="shared" si="63"/>
        <v>OK</v>
      </c>
    </row>
    <row r="307" spans="1:19" x14ac:dyDescent="0.25">
      <c r="A307" s="3" t="str">
        <f t="shared" si="64"/>
        <v>07.05.2026</v>
      </c>
      <c r="B307" s="5">
        <v>2</v>
      </c>
      <c r="C307" s="5" t="s">
        <v>116</v>
      </c>
      <c r="D307" s="3">
        <v>7.7970499999999996</v>
      </c>
      <c r="E307" s="3">
        <v>7.6257099999999998</v>
      </c>
      <c r="F307" s="6">
        <f t="shared" si="52"/>
        <v>-0.17133999999999983</v>
      </c>
      <c r="G307" s="6">
        <f t="shared" si="53"/>
        <v>-2.1974977715931005E-2</v>
      </c>
      <c r="H307" s="6" t="str">
        <f t="shared" si="54"/>
        <v>🔴 Under-injection</v>
      </c>
      <c r="I307" s="6">
        <f t="shared" si="55"/>
        <v>0.17133999999999983</v>
      </c>
      <c r="J307" s="3">
        <v>4.3058999999999994</v>
      </c>
      <c r="K307" s="6">
        <f t="shared" si="56"/>
        <v>1.1695574999999998</v>
      </c>
      <c r="L307" s="6">
        <f t="shared" si="57"/>
        <v>1.55941</v>
      </c>
      <c r="M307" s="6">
        <f t="shared" si="58"/>
        <v>0.17133999999999983</v>
      </c>
      <c r="N307" s="6">
        <f t="shared" si="59"/>
        <v>0</v>
      </c>
      <c r="O307" s="6">
        <f t="shared" si="60"/>
        <v>0</v>
      </c>
      <c r="P307" s="6">
        <f t="shared" si="61"/>
        <v>193.66538782499978</v>
      </c>
      <c r="Q307" s="3">
        <v>193.66538782499998</v>
      </c>
      <c r="R307" s="6">
        <f t="shared" si="62"/>
        <v>0</v>
      </c>
      <c r="S307" s="6" t="str">
        <f t="shared" si="63"/>
        <v>OK</v>
      </c>
    </row>
    <row r="308" spans="1:19" x14ac:dyDescent="0.25">
      <c r="A308" s="3" t="str">
        <f t="shared" si="64"/>
        <v>07.05.2026</v>
      </c>
      <c r="B308" s="5">
        <v>3</v>
      </c>
      <c r="C308" s="5" t="s">
        <v>115</v>
      </c>
      <c r="D308" s="3">
        <v>7.7970499999999996</v>
      </c>
      <c r="E308" s="3">
        <v>7.6257099999999998</v>
      </c>
      <c r="F308" s="6">
        <f t="shared" si="52"/>
        <v>-0.17133999999999983</v>
      </c>
      <c r="G308" s="6">
        <f t="shared" si="53"/>
        <v>-2.1974977715931005E-2</v>
      </c>
      <c r="H308" s="6" t="str">
        <f t="shared" si="54"/>
        <v>🔴 Under-injection</v>
      </c>
      <c r="I308" s="6">
        <f t="shared" si="55"/>
        <v>0.17133999999999983</v>
      </c>
      <c r="J308" s="3">
        <v>4.2347999999999999</v>
      </c>
      <c r="K308" s="6">
        <f t="shared" si="56"/>
        <v>1.1695574999999998</v>
      </c>
      <c r="L308" s="6">
        <f t="shared" si="57"/>
        <v>1.55941</v>
      </c>
      <c r="M308" s="6">
        <f t="shared" si="58"/>
        <v>0.17133999999999983</v>
      </c>
      <c r="N308" s="6">
        <f t="shared" si="59"/>
        <v>0</v>
      </c>
      <c r="O308" s="6">
        <f t="shared" si="60"/>
        <v>0</v>
      </c>
      <c r="P308" s="6">
        <f t="shared" si="61"/>
        <v>190.46754089999982</v>
      </c>
      <c r="Q308" s="3">
        <v>190.46754089999999</v>
      </c>
      <c r="R308" s="6">
        <f t="shared" si="62"/>
        <v>0</v>
      </c>
      <c r="S308" s="6" t="str">
        <f t="shared" si="63"/>
        <v>OK</v>
      </c>
    </row>
    <row r="309" spans="1:19" x14ac:dyDescent="0.25">
      <c r="A309" s="3" t="str">
        <f t="shared" si="64"/>
        <v>07.05.2026</v>
      </c>
      <c r="B309" s="5">
        <v>4</v>
      </c>
      <c r="C309" s="5" t="s">
        <v>114</v>
      </c>
      <c r="D309" s="3">
        <v>7.7970499999999996</v>
      </c>
      <c r="E309" s="3">
        <v>7.6257099999999998</v>
      </c>
      <c r="F309" s="6">
        <f t="shared" si="52"/>
        <v>-0.17133999999999983</v>
      </c>
      <c r="G309" s="6">
        <f t="shared" si="53"/>
        <v>-2.1974977715931005E-2</v>
      </c>
      <c r="H309" s="6" t="str">
        <f t="shared" si="54"/>
        <v>🔴 Under-injection</v>
      </c>
      <c r="I309" s="6">
        <f t="shared" si="55"/>
        <v>0.17133999999999983</v>
      </c>
      <c r="J309" s="3">
        <v>4.2095000000000002</v>
      </c>
      <c r="K309" s="6">
        <f t="shared" si="56"/>
        <v>1.1695574999999998</v>
      </c>
      <c r="L309" s="6">
        <f t="shared" si="57"/>
        <v>1.55941</v>
      </c>
      <c r="M309" s="6">
        <f t="shared" si="58"/>
        <v>0.17133999999999983</v>
      </c>
      <c r="N309" s="6">
        <f t="shared" si="59"/>
        <v>0</v>
      </c>
      <c r="O309" s="6">
        <f t="shared" si="60"/>
        <v>0</v>
      </c>
      <c r="P309" s="6">
        <f t="shared" si="61"/>
        <v>189.32962912499983</v>
      </c>
      <c r="Q309" s="3">
        <v>189.32962912500003</v>
      </c>
      <c r="R309" s="6">
        <f t="shared" si="62"/>
        <v>0</v>
      </c>
      <c r="S309" s="6" t="str">
        <f t="shared" si="63"/>
        <v>OK</v>
      </c>
    </row>
    <row r="310" spans="1:19" x14ac:dyDescent="0.25">
      <c r="A310" s="3" t="str">
        <f t="shared" si="64"/>
        <v>07.05.2026</v>
      </c>
      <c r="B310" s="5">
        <v>5</v>
      </c>
      <c r="C310" s="5" t="s">
        <v>113</v>
      </c>
      <c r="D310" s="3">
        <v>7.7970499999999996</v>
      </c>
      <c r="E310" s="3">
        <v>7.6257099999999998</v>
      </c>
      <c r="F310" s="6">
        <f t="shared" si="52"/>
        <v>-0.17133999999999983</v>
      </c>
      <c r="G310" s="6">
        <f t="shared" si="53"/>
        <v>-2.1974977715931005E-2</v>
      </c>
      <c r="H310" s="6" t="str">
        <f t="shared" si="54"/>
        <v>🔴 Under-injection</v>
      </c>
      <c r="I310" s="6">
        <f t="shared" si="55"/>
        <v>0.17133999999999983</v>
      </c>
      <c r="J310" s="3">
        <v>3.9292000000000002</v>
      </c>
      <c r="K310" s="6">
        <f t="shared" si="56"/>
        <v>1.1695574999999998</v>
      </c>
      <c r="L310" s="6">
        <f t="shared" si="57"/>
        <v>1.55941</v>
      </c>
      <c r="M310" s="6">
        <f t="shared" si="58"/>
        <v>0.17133999999999983</v>
      </c>
      <c r="N310" s="6">
        <f t="shared" si="59"/>
        <v>0</v>
      </c>
      <c r="O310" s="6">
        <f t="shared" si="60"/>
        <v>0</v>
      </c>
      <c r="P310" s="6">
        <f t="shared" si="61"/>
        <v>176.72264609999982</v>
      </c>
      <c r="Q310" s="3">
        <v>176.72264610000002</v>
      </c>
      <c r="R310" s="6">
        <f t="shared" si="62"/>
        <v>0</v>
      </c>
      <c r="S310" s="6" t="str">
        <f t="shared" si="63"/>
        <v>OK</v>
      </c>
    </row>
    <row r="311" spans="1:19" x14ac:dyDescent="0.25">
      <c r="A311" s="3" t="str">
        <f t="shared" si="64"/>
        <v>07.05.2026</v>
      </c>
      <c r="B311" s="5">
        <v>6</v>
      </c>
      <c r="C311" s="5" t="s">
        <v>112</v>
      </c>
      <c r="D311" s="3">
        <v>7.7970499999999996</v>
      </c>
      <c r="E311" s="3">
        <v>7.6257099999999998</v>
      </c>
      <c r="F311" s="6">
        <f t="shared" si="52"/>
        <v>-0.17133999999999983</v>
      </c>
      <c r="G311" s="6">
        <f t="shared" si="53"/>
        <v>-2.1974977715931005E-2</v>
      </c>
      <c r="H311" s="6" t="str">
        <f t="shared" si="54"/>
        <v>🔴 Under-injection</v>
      </c>
      <c r="I311" s="6">
        <f t="shared" si="55"/>
        <v>0.17133999999999983</v>
      </c>
      <c r="J311" s="3">
        <v>3.6593</v>
      </c>
      <c r="K311" s="6">
        <f t="shared" si="56"/>
        <v>1.1695574999999998</v>
      </c>
      <c r="L311" s="6">
        <f t="shared" si="57"/>
        <v>1.55941</v>
      </c>
      <c r="M311" s="6">
        <f t="shared" si="58"/>
        <v>0.17133999999999983</v>
      </c>
      <c r="N311" s="6">
        <f t="shared" si="59"/>
        <v>0</v>
      </c>
      <c r="O311" s="6">
        <f t="shared" si="60"/>
        <v>0</v>
      </c>
      <c r="P311" s="6">
        <f t="shared" si="61"/>
        <v>164.58342127499984</v>
      </c>
      <c r="Q311" s="3">
        <v>164.58342127500001</v>
      </c>
      <c r="R311" s="6">
        <f t="shared" si="62"/>
        <v>0</v>
      </c>
      <c r="S311" s="6" t="str">
        <f t="shared" si="63"/>
        <v>OK</v>
      </c>
    </row>
    <row r="312" spans="1:19" x14ac:dyDescent="0.25">
      <c r="A312" s="3" t="str">
        <f t="shared" si="64"/>
        <v>07.05.2026</v>
      </c>
      <c r="B312" s="5">
        <v>7</v>
      </c>
      <c r="C312" s="5" t="s">
        <v>111</v>
      </c>
      <c r="D312" s="3">
        <v>7.7970499999999996</v>
      </c>
      <c r="E312" s="3">
        <v>7.6257099999999998</v>
      </c>
      <c r="F312" s="6">
        <f t="shared" si="52"/>
        <v>-0.17133999999999983</v>
      </c>
      <c r="G312" s="6">
        <f t="shared" si="53"/>
        <v>-2.1974977715931005E-2</v>
      </c>
      <c r="H312" s="6" t="str">
        <f t="shared" si="54"/>
        <v>🔴 Under-injection</v>
      </c>
      <c r="I312" s="6">
        <f t="shared" si="55"/>
        <v>0.17133999999999983</v>
      </c>
      <c r="J312" s="3">
        <v>3.61</v>
      </c>
      <c r="K312" s="6">
        <f t="shared" si="56"/>
        <v>1.1695574999999998</v>
      </c>
      <c r="L312" s="6">
        <f t="shared" si="57"/>
        <v>1.55941</v>
      </c>
      <c r="M312" s="6">
        <f t="shared" si="58"/>
        <v>0.17133999999999983</v>
      </c>
      <c r="N312" s="6">
        <f t="shared" si="59"/>
        <v>0</v>
      </c>
      <c r="O312" s="6">
        <f t="shared" si="60"/>
        <v>0</v>
      </c>
      <c r="P312" s="6">
        <f t="shared" si="61"/>
        <v>162.36606749999982</v>
      </c>
      <c r="Q312" s="3">
        <v>162.36606749999999</v>
      </c>
      <c r="R312" s="6">
        <f t="shared" si="62"/>
        <v>0</v>
      </c>
      <c r="S312" s="6" t="str">
        <f t="shared" si="63"/>
        <v>OK</v>
      </c>
    </row>
    <row r="313" spans="1:19" x14ac:dyDescent="0.25">
      <c r="A313" s="3" t="str">
        <f t="shared" si="64"/>
        <v>07.05.2026</v>
      </c>
      <c r="B313" s="5">
        <v>8</v>
      </c>
      <c r="C313" s="5" t="s">
        <v>110</v>
      </c>
      <c r="D313" s="3">
        <v>7.7970499999999996</v>
      </c>
      <c r="E313" s="3">
        <v>7.6257099999999998</v>
      </c>
      <c r="F313" s="6">
        <f t="shared" si="52"/>
        <v>-0.17133999999999983</v>
      </c>
      <c r="G313" s="6">
        <f t="shared" si="53"/>
        <v>-2.1974977715931005E-2</v>
      </c>
      <c r="H313" s="6" t="str">
        <f t="shared" si="54"/>
        <v>🔴 Under-injection</v>
      </c>
      <c r="I313" s="6">
        <f t="shared" si="55"/>
        <v>0.17133999999999983</v>
      </c>
      <c r="J313" s="3">
        <v>3.6049000000000002</v>
      </c>
      <c r="K313" s="6">
        <f t="shared" si="56"/>
        <v>1.1695574999999998</v>
      </c>
      <c r="L313" s="6">
        <f t="shared" si="57"/>
        <v>1.55941</v>
      </c>
      <c r="M313" s="6">
        <f t="shared" si="58"/>
        <v>0.17133999999999983</v>
      </c>
      <c r="N313" s="6">
        <f t="shared" si="59"/>
        <v>0</v>
      </c>
      <c r="O313" s="6">
        <f t="shared" si="60"/>
        <v>0</v>
      </c>
      <c r="P313" s="6">
        <f t="shared" si="61"/>
        <v>162.13668607499983</v>
      </c>
      <c r="Q313" s="3">
        <v>162.136686075</v>
      </c>
      <c r="R313" s="6">
        <f t="shared" si="62"/>
        <v>0</v>
      </c>
      <c r="S313" s="6" t="str">
        <f t="shared" si="63"/>
        <v>OK</v>
      </c>
    </row>
    <row r="314" spans="1:19" x14ac:dyDescent="0.25">
      <c r="A314" s="3" t="str">
        <f t="shared" si="64"/>
        <v>07.05.2026</v>
      </c>
      <c r="B314" s="5">
        <v>9</v>
      </c>
      <c r="C314" s="5" t="s">
        <v>109</v>
      </c>
      <c r="D314" s="3">
        <v>7.7970499999999996</v>
      </c>
      <c r="E314" s="3">
        <v>7.6257099999999998</v>
      </c>
      <c r="F314" s="6">
        <f t="shared" si="52"/>
        <v>-0.17133999999999983</v>
      </c>
      <c r="G314" s="6">
        <f t="shared" si="53"/>
        <v>-2.1974977715931005E-2</v>
      </c>
      <c r="H314" s="6" t="str">
        <f t="shared" si="54"/>
        <v>🔴 Under-injection</v>
      </c>
      <c r="I314" s="6">
        <f t="shared" si="55"/>
        <v>0.17133999999999983</v>
      </c>
      <c r="J314" s="3">
        <v>3.4301999999999997</v>
      </c>
      <c r="K314" s="6">
        <f t="shared" si="56"/>
        <v>1.1695574999999998</v>
      </c>
      <c r="L314" s="6">
        <f t="shared" si="57"/>
        <v>1.55941</v>
      </c>
      <c r="M314" s="6">
        <f t="shared" si="58"/>
        <v>0.17133999999999983</v>
      </c>
      <c r="N314" s="6">
        <f t="shared" si="59"/>
        <v>0</v>
      </c>
      <c r="O314" s="6">
        <f t="shared" si="60"/>
        <v>0</v>
      </c>
      <c r="P314" s="6">
        <f t="shared" si="61"/>
        <v>154.27924784999982</v>
      </c>
      <c r="Q314" s="3">
        <v>154.27924784999999</v>
      </c>
      <c r="R314" s="6">
        <f t="shared" si="62"/>
        <v>0</v>
      </c>
      <c r="S314" s="6" t="str">
        <f t="shared" si="63"/>
        <v>OK</v>
      </c>
    </row>
    <row r="315" spans="1:19" x14ac:dyDescent="0.25">
      <c r="A315" s="3" t="str">
        <f t="shared" si="64"/>
        <v>07.05.2026</v>
      </c>
      <c r="B315" s="5">
        <v>10</v>
      </c>
      <c r="C315" s="5" t="s">
        <v>108</v>
      </c>
      <c r="D315" s="3">
        <v>7.7970499999999996</v>
      </c>
      <c r="E315" s="3">
        <v>7.6257099999999998</v>
      </c>
      <c r="F315" s="6">
        <f t="shared" si="52"/>
        <v>-0.17133999999999983</v>
      </c>
      <c r="G315" s="6">
        <f t="shared" si="53"/>
        <v>-2.1974977715931005E-2</v>
      </c>
      <c r="H315" s="6" t="str">
        <f t="shared" si="54"/>
        <v>🔴 Under-injection</v>
      </c>
      <c r="I315" s="6">
        <f t="shared" si="55"/>
        <v>0.17133999999999983</v>
      </c>
      <c r="J315" s="3">
        <v>3.3711000000000002</v>
      </c>
      <c r="K315" s="6">
        <f t="shared" si="56"/>
        <v>1.1695574999999998</v>
      </c>
      <c r="L315" s="6">
        <f t="shared" si="57"/>
        <v>1.55941</v>
      </c>
      <c r="M315" s="6">
        <f t="shared" si="58"/>
        <v>0.17133999999999983</v>
      </c>
      <c r="N315" s="6">
        <f t="shared" si="59"/>
        <v>0</v>
      </c>
      <c r="O315" s="6">
        <f t="shared" si="60"/>
        <v>0</v>
      </c>
      <c r="P315" s="6">
        <f t="shared" si="61"/>
        <v>151.62112192499984</v>
      </c>
      <c r="Q315" s="3">
        <v>151.62112192499998</v>
      </c>
      <c r="R315" s="6">
        <f t="shared" si="62"/>
        <v>0</v>
      </c>
      <c r="S315" s="6" t="str">
        <f t="shared" si="63"/>
        <v>OK</v>
      </c>
    </row>
    <row r="316" spans="1:19" x14ac:dyDescent="0.25">
      <c r="A316" s="3" t="str">
        <f t="shared" si="64"/>
        <v>07.05.2026</v>
      </c>
      <c r="B316" s="5">
        <v>11</v>
      </c>
      <c r="C316" s="5" t="s">
        <v>107</v>
      </c>
      <c r="D316" s="3">
        <v>7.7970499999999996</v>
      </c>
      <c r="E316" s="3">
        <v>7.6257099999999998</v>
      </c>
      <c r="F316" s="6">
        <f t="shared" si="52"/>
        <v>-0.17133999999999983</v>
      </c>
      <c r="G316" s="6">
        <f t="shared" si="53"/>
        <v>-2.1974977715931005E-2</v>
      </c>
      <c r="H316" s="6" t="str">
        <f t="shared" si="54"/>
        <v>🔴 Under-injection</v>
      </c>
      <c r="I316" s="6">
        <f t="shared" si="55"/>
        <v>0.17133999999999983</v>
      </c>
      <c r="J316" s="3">
        <v>3.4137</v>
      </c>
      <c r="K316" s="6">
        <f t="shared" si="56"/>
        <v>1.1695574999999998</v>
      </c>
      <c r="L316" s="6">
        <f t="shared" si="57"/>
        <v>1.55941</v>
      </c>
      <c r="M316" s="6">
        <f t="shared" si="58"/>
        <v>0.17133999999999983</v>
      </c>
      <c r="N316" s="6">
        <f t="shared" si="59"/>
        <v>0</v>
      </c>
      <c r="O316" s="6">
        <f t="shared" si="60"/>
        <v>0</v>
      </c>
      <c r="P316" s="6">
        <f t="shared" si="61"/>
        <v>153.53713147499982</v>
      </c>
      <c r="Q316" s="3">
        <v>153.537131475</v>
      </c>
      <c r="R316" s="6">
        <f t="shared" si="62"/>
        <v>0</v>
      </c>
      <c r="S316" s="6" t="str">
        <f t="shared" si="63"/>
        <v>OK</v>
      </c>
    </row>
    <row r="317" spans="1:19" x14ac:dyDescent="0.25">
      <c r="A317" s="3" t="str">
        <f t="shared" si="64"/>
        <v>07.05.2026</v>
      </c>
      <c r="B317" s="5">
        <v>12</v>
      </c>
      <c r="C317" s="5" t="s">
        <v>106</v>
      </c>
      <c r="D317" s="3">
        <v>7.7970499999999996</v>
      </c>
      <c r="E317" s="3">
        <v>7.6257099999999998</v>
      </c>
      <c r="F317" s="6">
        <f t="shared" si="52"/>
        <v>-0.17133999999999983</v>
      </c>
      <c r="G317" s="6">
        <f t="shared" si="53"/>
        <v>-2.1974977715931005E-2</v>
      </c>
      <c r="H317" s="6" t="str">
        <f t="shared" si="54"/>
        <v>🔴 Under-injection</v>
      </c>
      <c r="I317" s="6">
        <f t="shared" si="55"/>
        <v>0.17133999999999983</v>
      </c>
      <c r="J317" s="3">
        <v>3.3837000000000002</v>
      </c>
      <c r="K317" s="6">
        <f t="shared" si="56"/>
        <v>1.1695574999999998</v>
      </c>
      <c r="L317" s="6">
        <f t="shared" si="57"/>
        <v>1.55941</v>
      </c>
      <c r="M317" s="6">
        <f t="shared" si="58"/>
        <v>0.17133999999999983</v>
      </c>
      <c r="N317" s="6">
        <f t="shared" si="59"/>
        <v>0</v>
      </c>
      <c r="O317" s="6">
        <f t="shared" si="60"/>
        <v>0</v>
      </c>
      <c r="P317" s="6">
        <f t="shared" si="61"/>
        <v>152.18782897499986</v>
      </c>
      <c r="Q317" s="3">
        <v>152.187828975</v>
      </c>
      <c r="R317" s="6">
        <f t="shared" si="62"/>
        <v>0</v>
      </c>
      <c r="S317" s="6" t="str">
        <f t="shared" si="63"/>
        <v>OK</v>
      </c>
    </row>
    <row r="318" spans="1:19" x14ac:dyDescent="0.25">
      <c r="A318" s="3" t="str">
        <f t="shared" si="64"/>
        <v>07.05.2026</v>
      </c>
      <c r="B318" s="5">
        <v>13</v>
      </c>
      <c r="C318" s="5" t="s">
        <v>105</v>
      </c>
      <c r="D318" s="3">
        <v>7.7970499999999996</v>
      </c>
      <c r="E318" s="3">
        <v>7.6257099999999998</v>
      </c>
      <c r="F318" s="6">
        <f t="shared" si="52"/>
        <v>-0.17133999999999983</v>
      </c>
      <c r="G318" s="6">
        <f t="shared" si="53"/>
        <v>-2.1974977715931005E-2</v>
      </c>
      <c r="H318" s="6" t="str">
        <f t="shared" si="54"/>
        <v>🔴 Under-injection</v>
      </c>
      <c r="I318" s="6">
        <f t="shared" si="55"/>
        <v>0.17133999999999983</v>
      </c>
      <c r="J318" s="3">
        <v>3.3077999999999999</v>
      </c>
      <c r="K318" s="6">
        <f t="shared" si="56"/>
        <v>1.1695574999999998</v>
      </c>
      <c r="L318" s="6">
        <f t="shared" si="57"/>
        <v>1.55941</v>
      </c>
      <c r="M318" s="6">
        <f t="shared" si="58"/>
        <v>0.17133999999999983</v>
      </c>
      <c r="N318" s="6">
        <f t="shared" si="59"/>
        <v>0</v>
      </c>
      <c r="O318" s="6">
        <f t="shared" si="60"/>
        <v>0</v>
      </c>
      <c r="P318" s="6">
        <f t="shared" si="61"/>
        <v>148.77409364999986</v>
      </c>
      <c r="Q318" s="3">
        <v>148.77409365</v>
      </c>
      <c r="R318" s="6">
        <f t="shared" si="62"/>
        <v>0</v>
      </c>
      <c r="S318" s="6" t="str">
        <f t="shared" si="63"/>
        <v>OK</v>
      </c>
    </row>
    <row r="319" spans="1:19" x14ac:dyDescent="0.25">
      <c r="A319" s="3" t="str">
        <f t="shared" si="64"/>
        <v>07.05.2026</v>
      </c>
      <c r="B319" s="5">
        <v>14</v>
      </c>
      <c r="C319" s="5" t="s">
        <v>104</v>
      </c>
      <c r="D319" s="3">
        <v>7.7970499999999996</v>
      </c>
      <c r="E319" s="3">
        <v>7.6257099999999998</v>
      </c>
      <c r="F319" s="6">
        <f t="shared" si="52"/>
        <v>-0.17133999999999983</v>
      </c>
      <c r="G319" s="6">
        <f t="shared" si="53"/>
        <v>-2.1974977715931005E-2</v>
      </c>
      <c r="H319" s="6" t="str">
        <f t="shared" si="54"/>
        <v>🔴 Under-injection</v>
      </c>
      <c r="I319" s="6">
        <f t="shared" si="55"/>
        <v>0.17133999999999983</v>
      </c>
      <c r="J319" s="3">
        <v>3.2347000000000001</v>
      </c>
      <c r="K319" s="6">
        <f t="shared" si="56"/>
        <v>1.1695574999999998</v>
      </c>
      <c r="L319" s="6">
        <f t="shared" si="57"/>
        <v>1.55941</v>
      </c>
      <c r="M319" s="6">
        <f t="shared" si="58"/>
        <v>0.17133999999999983</v>
      </c>
      <c r="N319" s="6">
        <f t="shared" si="59"/>
        <v>0</v>
      </c>
      <c r="O319" s="6">
        <f t="shared" si="60"/>
        <v>0</v>
      </c>
      <c r="P319" s="6">
        <f t="shared" si="61"/>
        <v>145.48629322499986</v>
      </c>
      <c r="Q319" s="3">
        <v>145.486293225</v>
      </c>
      <c r="R319" s="6">
        <f t="shared" si="62"/>
        <v>0</v>
      </c>
      <c r="S319" s="6" t="str">
        <f t="shared" si="63"/>
        <v>OK</v>
      </c>
    </row>
    <row r="320" spans="1:19" x14ac:dyDescent="0.25">
      <c r="A320" s="3" t="str">
        <f t="shared" si="64"/>
        <v>07.05.2026</v>
      </c>
      <c r="B320" s="5">
        <v>15</v>
      </c>
      <c r="C320" s="5" t="s">
        <v>103</v>
      </c>
      <c r="D320" s="3">
        <v>7.7970499999999996</v>
      </c>
      <c r="E320" s="3">
        <v>7.6257099999999998</v>
      </c>
      <c r="F320" s="6">
        <f t="shared" si="52"/>
        <v>-0.17133999999999983</v>
      </c>
      <c r="G320" s="6">
        <f t="shared" si="53"/>
        <v>-2.1974977715931005E-2</v>
      </c>
      <c r="H320" s="6" t="str">
        <f t="shared" si="54"/>
        <v>🔴 Under-injection</v>
      </c>
      <c r="I320" s="6">
        <f t="shared" si="55"/>
        <v>0.17133999999999983</v>
      </c>
      <c r="J320" s="3">
        <v>3.2351000000000001</v>
      </c>
      <c r="K320" s="6">
        <f t="shared" si="56"/>
        <v>1.1695574999999998</v>
      </c>
      <c r="L320" s="6">
        <f t="shared" si="57"/>
        <v>1.55941</v>
      </c>
      <c r="M320" s="6">
        <f t="shared" si="58"/>
        <v>0.17133999999999983</v>
      </c>
      <c r="N320" s="6">
        <f t="shared" si="59"/>
        <v>0</v>
      </c>
      <c r="O320" s="6">
        <f t="shared" si="60"/>
        <v>0</v>
      </c>
      <c r="P320" s="6">
        <f t="shared" si="61"/>
        <v>145.50428392499987</v>
      </c>
      <c r="Q320" s="3">
        <v>145.50428392500001</v>
      </c>
      <c r="R320" s="6">
        <f t="shared" si="62"/>
        <v>0</v>
      </c>
      <c r="S320" s="6" t="str">
        <f t="shared" si="63"/>
        <v>OK</v>
      </c>
    </row>
    <row r="321" spans="1:19" x14ac:dyDescent="0.25">
      <c r="A321" s="3" t="str">
        <f t="shared" si="64"/>
        <v>07.05.2026</v>
      </c>
      <c r="B321" s="5">
        <v>16</v>
      </c>
      <c r="C321" s="5" t="s">
        <v>102</v>
      </c>
      <c r="D321" s="3">
        <v>7.7970499999999996</v>
      </c>
      <c r="E321" s="3">
        <v>7.6257099999999998</v>
      </c>
      <c r="F321" s="6">
        <f t="shared" si="52"/>
        <v>-0.17133999999999983</v>
      </c>
      <c r="G321" s="6">
        <f t="shared" si="53"/>
        <v>-2.1974977715931005E-2</v>
      </c>
      <c r="H321" s="6" t="str">
        <f t="shared" si="54"/>
        <v>🔴 Under-injection</v>
      </c>
      <c r="I321" s="6">
        <f t="shared" si="55"/>
        <v>0.17133999999999983</v>
      </c>
      <c r="J321" s="3">
        <v>3.2479</v>
      </c>
      <c r="K321" s="6">
        <f t="shared" si="56"/>
        <v>1.1695574999999998</v>
      </c>
      <c r="L321" s="6">
        <f t="shared" si="57"/>
        <v>1.55941</v>
      </c>
      <c r="M321" s="6">
        <f t="shared" si="58"/>
        <v>0.17133999999999983</v>
      </c>
      <c r="N321" s="6">
        <f t="shared" si="59"/>
        <v>0</v>
      </c>
      <c r="O321" s="6">
        <f t="shared" si="60"/>
        <v>0</v>
      </c>
      <c r="P321" s="6">
        <f t="shared" si="61"/>
        <v>146.07998632499985</v>
      </c>
      <c r="Q321" s="3">
        <v>146.07998632499999</v>
      </c>
      <c r="R321" s="6">
        <f t="shared" si="62"/>
        <v>0</v>
      </c>
      <c r="S321" s="6" t="str">
        <f t="shared" si="63"/>
        <v>OK</v>
      </c>
    </row>
    <row r="322" spans="1:19" x14ac:dyDescent="0.25">
      <c r="A322" s="3" t="str">
        <f t="shared" si="64"/>
        <v>07.05.2026</v>
      </c>
      <c r="B322" s="5">
        <v>17</v>
      </c>
      <c r="C322" s="5" t="s">
        <v>101</v>
      </c>
      <c r="D322" s="3">
        <v>7.7970499999999996</v>
      </c>
      <c r="E322" s="3">
        <v>7.6257099999999998</v>
      </c>
      <c r="F322" s="6">
        <f t="shared" si="52"/>
        <v>-0.17133999999999983</v>
      </c>
      <c r="G322" s="6">
        <f t="shared" si="53"/>
        <v>-2.1974977715931005E-2</v>
      </c>
      <c r="H322" s="6" t="str">
        <f t="shared" si="54"/>
        <v>🔴 Under-injection</v>
      </c>
      <c r="I322" s="6">
        <f t="shared" si="55"/>
        <v>0.17133999999999983</v>
      </c>
      <c r="J322" s="3">
        <v>3.2422000000000004</v>
      </c>
      <c r="K322" s="6">
        <f t="shared" si="56"/>
        <v>1.1695574999999998</v>
      </c>
      <c r="L322" s="6">
        <f t="shared" si="57"/>
        <v>1.55941</v>
      </c>
      <c r="M322" s="6">
        <f t="shared" si="58"/>
        <v>0.17133999999999983</v>
      </c>
      <c r="N322" s="6">
        <f t="shared" si="59"/>
        <v>0</v>
      </c>
      <c r="O322" s="6">
        <f t="shared" si="60"/>
        <v>0</v>
      </c>
      <c r="P322" s="6">
        <f t="shared" si="61"/>
        <v>145.82361884999986</v>
      </c>
      <c r="Q322" s="3">
        <v>145.82361885000003</v>
      </c>
      <c r="R322" s="6">
        <f t="shared" si="62"/>
        <v>0</v>
      </c>
      <c r="S322" s="6" t="str">
        <f t="shared" si="63"/>
        <v>OK</v>
      </c>
    </row>
    <row r="323" spans="1:19" x14ac:dyDescent="0.25">
      <c r="A323" s="3" t="str">
        <f t="shared" si="64"/>
        <v>07.05.2026</v>
      </c>
      <c r="B323" s="5">
        <v>18</v>
      </c>
      <c r="C323" s="5" t="s">
        <v>100</v>
      </c>
      <c r="D323" s="3">
        <v>7.7970499999999996</v>
      </c>
      <c r="E323" s="3">
        <v>7.6143599999999996</v>
      </c>
      <c r="F323" s="6">
        <f t="shared" si="52"/>
        <v>-0.18269000000000002</v>
      </c>
      <c r="G323" s="6">
        <f t="shared" si="53"/>
        <v>-2.3430656466227617E-2</v>
      </c>
      <c r="H323" s="6" t="str">
        <f t="shared" si="54"/>
        <v>🔴 Under-injection</v>
      </c>
      <c r="I323" s="6">
        <f t="shared" si="55"/>
        <v>0.18269000000000002</v>
      </c>
      <c r="J323" s="3">
        <v>3.3457999999999997</v>
      </c>
      <c r="K323" s="6">
        <f t="shared" si="56"/>
        <v>1.1695574999999998</v>
      </c>
      <c r="L323" s="6">
        <f t="shared" si="57"/>
        <v>1.55941</v>
      </c>
      <c r="M323" s="6">
        <f t="shared" si="58"/>
        <v>0.18269000000000002</v>
      </c>
      <c r="N323" s="6">
        <f t="shared" si="59"/>
        <v>0</v>
      </c>
      <c r="O323" s="6">
        <f t="shared" si="60"/>
        <v>0</v>
      </c>
      <c r="P323" s="6">
        <f t="shared" si="61"/>
        <v>160.45160302500003</v>
      </c>
      <c r="Q323" s="3">
        <v>160.45160302499997</v>
      </c>
      <c r="R323" s="6">
        <f t="shared" si="62"/>
        <v>0</v>
      </c>
      <c r="S323" s="6" t="str">
        <f t="shared" si="63"/>
        <v>OK</v>
      </c>
    </row>
    <row r="324" spans="1:19" x14ac:dyDescent="0.25">
      <c r="A324" s="3" t="str">
        <f t="shared" si="64"/>
        <v>07.05.2026</v>
      </c>
      <c r="B324" s="5">
        <v>19</v>
      </c>
      <c r="C324" s="5" t="s">
        <v>99</v>
      </c>
      <c r="D324" s="3">
        <v>7.7970499999999996</v>
      </c>
      <c r="E324" s="3">
        <v>7.6143599999999996</v>
      </c>
      <c r="F324" s="6">
        <f t="shared" si="52"/>
        <v>-0.18269000000000002</v>
      </c>
      <c r="G324" s="6">
        <f t="shared" si="53"/>
        <v>-2.3430656466227617E-2</v>
      </c>
      <c r="H324" s="6" t="str">
        <f t="shared" si="54"/>
        <v>🔴 Under-injection</v>
      </c>
      <c r="I324" s="6">
        <f t="shared" si="55"/>
        <v>0.18269000000000002</v>
      </c>
      <c r="J324" s="3">
        <v>3.3448000000000002</v>
      </c>
      <c r="K324" s="6">
        <f t="shared" si="56"/>
        <v>1.1695574999999998</v>
      </c>
      <c r="L324" s="6">
        <f t="shared" si="57"/>
        <v>1.55941</v>
      </c>
      <c r="M324" s="6">
        <f t="shared" si="58"/>
        <v>0.18269000000000002</v>
      </c>
      <c r="N324" s="6">
        <f t="shared" si="59"/>
        <v>0</v>
      </c>
      <c r="O324" s="6">
        <f t="shared" si="60"/>
        <v>0</v>
      </c>
      <c r="P324" s="6">
        <f t="shared" si="61"/>
        <v>160.40364690000004</v>
      </c>
      <c r="Q324" s="3">
        <v>160.40364690000001</v>
      </c>
      <c r="R324" s="6">
        <f t="shared" si="62"/>
        <v>0</v>
      </c>
      <c r="S324" s="6" t="str">
        <f t="shared" si="63"/>
        <v>OK</v>
      </c>
    </row>
    <row r="325" spans="1:19" x14ac:dyDescent="0.25">
      <c r="A325" s="3" t="str">
        <f t="shared" si="64"/>
        <v>07.05.2026</v>
      </c>
      <c r="B325" s="5">
        <v>20</v>
      </c>
      <c r="C325" s="5" t="s">
        <v>98</v>
      </c>
      <c r="D325" s="3">
        <v>7.7970499999999996</v>
      </c>
      <c r="E325" s="3">
        <v>7.6143599999999996</v>
      </c>
      <c r="F325" s="6">
        <f t="shared" si="52"/>
        <v>-0.18269000000000002</v>
      </c>
      <c r="G325" s="6">
        <f t="shared" si="53"/>
        <v>-2.3430656466227617E-2</v>
      </c>
      <c r="H325" s="6" t="str">
        <f t="shared" si="54"/>
        <v>🔴 Under-injection</v>
      </c>
      <c r="I325" s="6">
        <f t="shared" si="55"/>
        <v>0.18269000000000002</v>
      </c>
      <c r="J325" s="3">
        <v>3.4325000000000001</v>
      </c>
      <c r="K325" s="6">
        <f t="shared" si="56"/>
        <v>1.1695574999999998</v>
      </c>
      <c r="L325" s="6">
        <f t="shared" si="57"/>
        <v>1.55941</v>
      </c>
      <c r="M325" s="6">
        <f t="shared" si="58"/>
        <v>0.18269000000000002</v>
      </c>
      <c r="N325" s="6">
        <f t="shared" si="59"/>
        <v>0</v>
      </c>
      <c r="O325" s="6">
        <f t="shared" si="60"/>
        <v>0</v>
      </c>
      <c r="P325" s="6">
        <f t="shared" si="61"/>
        <v>164.60939906250005</v>
      </c>
      <c r="Q325" s="3">
        <v>164.60939906249999</v>
      </c>
      <c r="R325" s="6">
        <f t="shared" si="62"/>
        <v>0</v>
      </c>
      <c r="S325" s="6" t="str">
        <f t="shared" si="63"/>
        <v>OK</v>
      </c>
    </row>
    <row r="326" spans="1:19" x14ac:dyDescent="0.25">
      <c r="A326" s="3" t="str">
        <f t="shared" si="64"/>
        <v>07.05.2026</v>
      </c>
      <c r="B326" s="5">
        <v>21</v>
      </c>
      <c r="C326" s="5" t="s">
        <v>97</v>
      </c>
      <c r="D326" s="3">
        <v>7.7970499999999996</v>
      </c>
      <c r="E326" s="3">
        <v>7.6143599999999996</v>
      </c>
      <c r="F326" s="6">
        <f t="shared" si="52"/>
        <v>-0.18269000000000002</v>
      </c>
      <c r="G326" s="6">
        <f t="shared" si="53"/>
        <v>-2.3430656466227617E-2</v>
      </c>
      <c r="H326" s="6" t="str">
        <f t="shared" si="54"/>
        <v>🔴 Under-injection</v>
      </c>
      <c r="I326" s="6">
        <f t="shared" si="55"/>
        <v>0.18269000000000002</v>
      </c>
      <c r="J326" s="3">
        <v>3.2364999999999999</v>
      </c>
      <c r="K326" s="6">
        <f t="shared" si="56"/>
        <v>1.1695574999999998</v>
      </c>
      <c r="L326" s="6">
        <f t="shared" si="57"/>
        <v>1.55941</v>
      </c>
      <c r="M326" s="6">
        <f t="shared" si="58"/>
        <v>0.18269000000000002</v>
      </c>
      <c r="N326" s="6">
        <f t="shared" si="59"/>
        <v>0</v>
      </c>
      <c r="O326" s="6">
        <f t="shared" si="60"/>
        <v>0</v>
      </c>
      <c r="P326" s="6">
        <f t="shared" si="61"/>
        <v>155.20999856250003</v>
      </c>
      <c r="Q326" s="3">
        <v>155.2099985625</v>
      </c>
      <c r="R326" s="6">
        <f t="shared" si="62"/>
        <v>0</v>
      </c>
      <c r="S326" s="6" t="str">
        <f t="shared" si="63"/>
        <v>OK</v>
      </c>
    </row>
    <row r="327" spans="1:19" x14ac:dyDescent="0.25">
      <c r="A327" s="3" t="str">
        <f t="shared" si="64"/>
        <v>07.05.2026</v>
      </c>
      <c r="B327" s="5">
        <v>22</v>
      </c>
      <c r="C327" s="5" t="s">
        <v>96</v>
      </c>
      <c r="D327" s="3">
        <v>7.7970499999999996</v>
      </c>
      <c r="E327" s="3">
        <v>7.6143599999999996</v>
      </c>
      <c r="F327" s="6">
        <f t="shared" si="52"/>
        <v>-0.18269000000000002</v>
      </c>
      <c r="G327" s="6">
        <f t="shared" si="53"/>
        <v>-2.3430656466227617E-2</v>
      </c>
      <c r="H327" s="6" t="str">
        <f t="shared" si="54"/>
        <v>🔴 Under-injection</v>
      </c>
      <c r="I327" s="6">
        <f t="shared" si="55"/>
        <v>0.18269000000000002</v>
      </c>
      <c r="J327" s="3">
        <v>3.4032999999999998</v>
      </c>
      <c r="K327" s="6">
        <f t="shared" si="56"/>
        <v>1.1695574999999998</v>
      </c>
      <c r="L327" s="6">
        <f t="shared" si="57"/>
        <v>1.55941</v>
      </c>
      <c r="M327" s="6">
        <f t="shared" si="58"/>
        <v>0.18269000000000002</v>
      </c>
      <c r="N327" s="6">
        <f t="shared" si="59"/>
        <v>0</v>
      </c>
      <c r="O327" s="6">
        <f t="shared" si="60"/>
        <v>0</v>
      </c>
      <c r="P327" s="6">
        <f t="shared" si="61"/>
        <v>163.20908021250003</v>
      </c>
      <c r="Q327" s="3">
        <v>163.2090802125</v>
      </c>
      <c r="R327" s="6">
        <f t="shared" si="62"/>
        <v>0</v>
      </c>
      <c r="S327" s="6" t="str">
        <f t="shared" si="63"/>
        <v>OK</v>
      </c>
    </row>
    <row r="328" spans="1:19" x14ac:dyDescent="0.25">
      <c r="A328" s="3" t="str">
        <f t="shared" si="64"/>
        <v>07.05.2026</v>
      </c>
      <c r="B328" s="5">
        <v>23</v>
      </c>
      <c r="C328" s="5" t="s">
        <v>95</v>
      </c>
      <c r="D328" s="3">
        <v>7.7970499999999996</v>
      </c>
      <c r="E328" s="3">
        <v>7.6143599999999996</v>
      </c>
      <c r="F328" s="6">
        <f t="shared" si="52"/>
        <v>-0.18269000000000002</v>
      </c>
      <c r="G328" s="6">
        <f t="shared" si="53"/>
        <v>-2.3430656466227617E-2</v>
      </c>
      <c r="H328" s="6" t="str">
        <f t="shared" si="54"/>
        <v>🔴 Under-injection</v>
      </c>
      <c r="I328" s="6">
        <f t="shared" si="55"/>
        <v>0.18269000000000002</v>
      </c>
      <c r="J328" s="3">
        <v>3.5424000000000002</v>
      </c>
      <c r="K328" s="6">
        <f t="shared" si="56"/>
        <v>1.1695574999999998</v>
      </c>
      <c r="L328" s="6">
        <f t="shared" si="57"/>
        <v>1.55941</v>
      </c>
      <c r="M328" s="6">
        <f t="shared" si="58"/>
        <v>0.18269000000000002</v>
      </c>
      <c r="N328" s="6">
        <f t="shared" si="59"/>
        <v>0</v>
      </c>
      <c r="O328" s="6">
        <f t="shared" si="60"/>
        <v>0</v>
      </c>
      <c r="P328" s="6">
        <f t="shared" si="61"/>
        <v>169.87977720000006</v>
      </c>
      <c r="Q328" s="3">
        <v>169.87977720000004</v>
      </c>
      <c r="R328" s="6">
        <f t="shared" si="62"/>
        <v>0</v>
      </c>
      <c r="S328" s="6" t="str">
        <f t="shared" si="63"/>
        <v>OK</v>
      </c>
    </row>
    <row r="329" spans="1:19" x14ac:dyDescent="0.25">
      <c r="A329" s="3" t="str">
        <f t="shared" si="64"/>
        <v>07.05.2026</v>
      </c>
      <c r="B329" s="5">
        <v>24</v>
      </c>
      <c r="C329" s="5" t="s">
        <v>94</v>
      </c>
      <c r="D329" s="3">
        <v>7.7970499999999996</v>
      </c>
      <c r="E329" s="3">
        <v>7.6143599999999996</v>
      </c>
      <c r="F329" s="6">
        <f t="shared" si="52"/>
        <v>-0.18269000000000002</v>
      </c>
      <c r="G329" s="6">
        <f t="shared" si="53"/>
        <v>-2.3430656466227617E-2</v>
      </c>
      <c r="H329" s="6" t="str">
        <f t="shared" si="54"/>
        <v>🔴 Under-injection</v>
      </c>
      <c r="I329" s="6">
        <f t="shared" si="55"/>
        <v>0.18269000000000002</v>
      </c>
      <c r="J329" s="3">
        <v>3.4967999999999999</v>
      </c>
      <c r="K329" s="6">
        <f t="shared" si="56"/>
        <v>1.1695574999999998</v>
      </c>
      <c r="L329" s="6">
        <f t="shared" si="57"/>
        <v>1.55941</v>
      </c>
      <c r="M329" s="6">
        <f t="shared" si="58"/>
        <v>0.18269000000000002</v>
      </c>
      <c r="N329" s="6">
        <f t="shared" si="59"/>
        <v>0</v>
      </c>
      <c r="O329" s="6">
        <f t="shared" si="60"/>
        <v>0</v>
      </c>
      <c r="P329" s="6">
        <f t="shared" si="61"/>
        <v>167.69297790000005</v>
      </c>
      <c r="Q329" s="3">
        <v>167.69297789999999</v>
      </c>
      <c r="R329" s="6">
        <f t="shared" si="62"/>
        <v>0</v>
      </c>
      <c r="S329" s="6" t="str">
        <f t="shared" si="63"/>
        <v>OK</v>
      </c>
    </row>
    <row r="330" spans="1:19" x14ac:dyDescent="0.25">
      <c r="A330" s="3" t="str">
        <f t="shared" si="64"/>
        <v>07.05.2026</v>
      </c>
      <c r="B330" s="5">
        <v>25</v>
      </c>
      <c r="C330" s="5" t="s">
        <v>93</v>
      </c>
      <c r="D330" s="3">
        <v>7.7970499999999996</v>
      </c>
      <c r="E330" s="3">
        <v>7.6257099999999998</v>
      </c>
      <c r="F330" s="6">
        <f t="shared" si="52"/>
        <v>-0.17133999999999983</v>
      </c>
      <c r="G330" s="6">
        <f t="shared" si="53"/>
        <v>-2.1974977715931005E-2</v>
      </c>
      <c r="H330" s="6" t="str">
        <f t="shared" si="54"/>
        <v>🔴 Under-injection</v>
      </c>
      <c r="I330" s="6">
        <f t="shared" si="55"/>
        <v>0.17133999999999983</v>
      </c>
      <c r="J330" s="3">
        <v>3.5223</v>
      </c>
      <c r="K330" s="6">
        <f t="shared" si="56"/>
        <v>1.1695574999999998</v>
      </c>
      <c r="L330" s="6">
        <f t="shared" si="57"/>
        <v>1.55941</v>
      </c>
      <c r="M330" s="6">
        <f t="shared" si="58"/>
        <v>0.17133999999999983</v>
      </c>
      <c r="N330" s="6">
        <f t="shared" si="59"/>
        <v>0</v>
      </c>
      <c r="O330" s="6">
        <f t="shared" si="60"/>
        <v>0</v>
      </c>
      <c r="P330" s="6">
        <f t="shared" si="61"/>
        <v>158.42160652499985</v>
      </c>
      <c r="Q330" s="3">
        <v>158.42160652500002</v>
      </c>
      <c r="R330" s="6">
        <f t="shared" si="62"/>
        <v>0</v>
      </c>
      <c r="S330" s="6" t="str">
        <f t="shared" si="63"/>
        <v>OK</v>
      </c>
    </row>
    <row r="331" spans="1:19" x14ac:dyDescent="0.25">
      <c r="A331" s="3" t="str">
        <f t="shared" si="64"/>
        <v>07.05.2026</v>
      </c>
      <c r="B331" s="5">
        <v>26</v>
      </c>
      <c r="C331" s="5" t="s">
        <v>92</v>
      </c>
      <c r="D331" s="3">
        <v>7.7970499999999996</v>
      </c>
      <c r="E331" s="3">
        <v>7.6143599999999996</v>
      </c>
      <c r="F331" s="6">
        <f t="shared" si="52"/>
        <v>-0.18269000000000002</v>
      </c>
      <c r="G331" s="6">
        <f t="shared" si="53"/>
        <v>-2.3430656466227617E-2</v>
      </c>
      <c r="H331" s="6" t="str">
        <f t="shared" si="54"/>
        <v>🔴 Under-injection</v>
      </c>
      <c r="I331" s="6">
        <f t="shared" si="55"/>
        <v>0.18269000000000002</v>
      </c>
      <c r="J331" s="3">
        <v>3.3779000000000003</v>
      </c>
      <c r="K331" s="6">
        <f t="shared" si="56"/>
        <v>1.1695574999999998</v>
      </c>
      <c r="L331" s="6">
        <f t="shared" si="57"/>
        <v>1.55941</v>
      </c>
      <c r="M331" s="6">
        <f t="shared" si="58"/>
        <v>0.18269000000000002</v>
      </c>
      <c r="N331" s="6">
        <f t="shared" si="59"/>
        <v>0</v>
      </c>
      <c r="O331" s="6">
        <f t="shared" si="60"/>
        <v>0</v>
      </c>
      <c r="P331" s="6">
        <f t="shared" si="61"/>
        <v>161.99099463750005</v>
      </c>
      <c r="Q331" s="3">
        <v>161.99099463749999</v>
      </c>
      <c r="R331" s="6">
        <f t="shared" si="62"/>
        <v>0</v>
      </c>
      <c r="S331" s="6" t="str">
        <f t="shared" si="63"/>
        <v>OK</v>
      </c>
    </row>
    <row r="332" spans="1:19" x14ac:dyDescent="0.25">
      <c r="A332" s="3" t="str">
        <f t="shared" si="64"/>
        <v>07.05.2026</v>
      </c>
      <c r="B332" s="5">
        <v>27</v>
      </c>
      <c r="C332" s="5" t="s">
        <v>91</v>
      </c>
      <c r="D332" s="3">
        <v>7.7970499999999996</v>
      </c>
      <c r="E332" s="3">
        <v>7.6143599999999996</v>
      </c>
      <c r="F332" s="6">
        <f t="shared" si="52"/>
        <v>-0.18269000000000002</v>
      </c>
      <c r="G332" s="6">
        <f t="shared" si="53"/>
        <v>-2.3430656466227617E-2</v>
      </c>
      <c r="H332" s="6" t="str">
        <f t="shared" si="54"/>
        <v>🔴 Under-injection</v>
      </c>
      <c r="I332" s="6">
        <f t="shared" si="55"/>
        <v>0.18269000000000002</v>
      </c>
      <c r="J332" s="3">
        <v>3.2148000000000003</v>
      </c>
      <c r="K332" s="6">
        <f t="shared" si="56"/>
        <v>1.1695574999999998</v>
      </c>
      <c r="L332" s="6">
        <f t="shared" si="57"/>
        <v>1.55941</v>
      </c>
      <c r="M332" s="6">
        <f t="shared" si="58"/>
        <v>0.18269000000000002</v>
      </c>
      <c r="N332" s="6">
        <f t="shared" si="59"/>
        <v>0</v>
      </c>
      <c r="O332" s="6">
        <f t="shared" si="60"/>
        <v>0</v>
      </c>
      <c r="P332" s="6">
        <f t="shared" si="61"/>
        <v>154.16935065000004</v>
      </c>
      <c r="Q332" s="3">
        <v>154.16935065000001</v>
      </c>
      <c r="R332" s="6">
        <f t="shared" si="62"/>
        <v>0</v>
      </c>
      <c r="S332" s="6" t="str">
        <f t="shared" si="63"/>
        <v>OK</v>
      </c>
    </row>
    <row r="333" spans="1:19" x14ac:dyDescent="0.25">
      <c r="A333" s="3" t="str">
        <f t="shared" si="64"/>
        <v>07.05.2026</v>
      </c>
      <c r="B333" s="5">
        <v>28</v>
      </c>
      <c r="C333" s="5" t="s">
        <v>90</v>
      </c>
      <c r="D333" s="3">
        <v>7.7970499999999996</v>
      </c>
      <c r="E333" s="3">
        <v>7.6143599999999996</v>
      </c>
      <c r="F333" s="6">
        <f t="shared" si="52"/>
        <v>-0.18269000000000002</v>
      </c>
      <c r="G333" s="6">
        <f t="shared" si="53"/>
        <v>-2.3430656466227617E-2</v>
      </c>
      <c r="H333" s="6" t="str">
        <f t="shared" si="54"/>
        <v>🔴 Under-injection</v>
      </c>
      <c r="I333" s="6">
        <f t="shared" si="55"/>
        <v>0.18269000000000002</v>
      </c>
      <c r="J333" s="3">
        <v>2.9668000000000001</v>
      </c>
      <c r="K333" s="6">
        <f t="shared" si="56"/>
        <v>1.1695574999999998</v>
      </c>
      <c r="L333" s="6">
        <f t="shared" si="57"/>
        <v>1.55941</v>
      </c>
      <c r="M333" s="6">
        <f t="shared" si="58"/>
        <v>0.18269000000000002</v>
      </c>
      <c r="N333" s="6">
        <f t="shared" si="59"/>
        <v>0</v>
      </c>
      <c r="O333" s="6">
        <f t="shared" si="60"/>
        <v>0</v>
      </c>
      <c r="P333" s="6">
        <f t="shared" si="61"/>
        <v>142.27623165000003</v>
      </c>
      <c r="Q333" s="3">
        <v>142.27623165</v>
      </c>
      <c r="R333" s="6">
        <f t="shared" si="62"/>
        <v>0</v>
      </c>
      <c r="S333" s="6" t="str">
        <f t="shared" si="63"/>
        <v>OK</v>
      </c>
    </row>
    <row r="334" spans="1:19" x14ac:dyDescent="0.25">
      <c r="A334" s="3" t="str">
        <f t="shared" si="64"/>
        <v>07.05.2026</v>
      </c>
      <c r="B334" s="5">
        <v>29</v>
      </c>
      <c r="C334" s="5" t="s">
        <v>89</v>
      </c>
      <c r="D334" s="3">
        <v>7.7970499999999996</v>
      </c>
      <c r="E334" s="3">
        <v>7.6257099999999998</v>
      </c>
      <c r="F334" s="6">
        <f t="shared" si="52"/>
        <v>-0.17133999999999983</v>
      </c>
      <c r="G334" s="6">
        <f t="shared" si="53"/>
        <v>-2.1974977715931005E-2</v>
      </c>
      <c r="H334" s="6" t="str">
        <f t="shared" si="54"/>
        <v>🔴 Under-injection</v>
      </c>
      <c r="I334" s="6">
        <f t="shared" si="55"/>
        <v>0.17133999999999983</v>
      </c>
      <c r="J334" s="3">
        <v>2.9786000000000001</v>
      </c>
      <c r="K334" s="6">
        <f t="shared" si="56"/>
        <v>1.1695574999999998</v>
      </c>
      <c r="L334" s="6">
        <f t="shared" si="57"/>
        <v>1.55941</v>
      </c>
      <c r="M334" s="6">
        <f t="shared" si="58"/>
        <v>0.17133999999999983</v>
      </c>
      <c r="N334" s="6">
        <f t="shared" si="59"/>
        <v>0</v>
      </c>
      <c r="O334" s="6">
        <f t="shared" si="60"/>
        <v>0</v>
      </c>
      <c r="P334" s="6">
        <f t="shared" si="61"/>
        <v>133.96774754999987</v>
      </c>
      <c r="Q334" s="3">
        <v>133.96774754999998</v>
      </c>
      <c r="R334" s="6">
        <f t="shared" si="62"/>
        <v>0</v>
      </c>
      <c r="S334" s="6" t="str">
        <f t="shared" si="63"/>
        <v>OK</v>
      </c>
    </row>
    <row r="335" spans="1:19" x14ac:dyDescent="0.25">
      <c r="A335" s="3" t="str">
        <f t="shared" si="64"/>
        <v>07.05.2026</v>
      </c>
      <c r="B335" s="5">
        <v>30</v>
      </c>
      <c r="C335" s="5" t="s">
        <v>88</v>
      </c>
      <c r="D335" s="3">
        <v>7.7970499999999996</v>
      </c>
      <c r="E335" s="3">
        <v>7.6257099999999998</v>
      </c>
      <c r="F335" s="6">
        <f t="shared" si="52"/>
        <v>-0.17133999999999983</v>
      </c>
      <c r="G335" s="6">
        <f t="shared" si="53"/>
        <v>-2.1974977715931005E-2</v>
      </c>
      <c r="H335" s="6" t="str">
        <f t="shared" si="54"/>
        <v>🔴 Under-injection</v>
      </c>
      <c r="I335" s="6">
        <f t="shared" si="55"/>
        <v>0.17133999999999983</v>
      </c>
      <c r="J335" s="3">
        <v>2.4671000000000003</v>
      </c>
      <c r="K335" s="6">
        <f t="shared" si="56"/>
        <v>1.1695574999999998</v>
      </c>
      <c r="L335" s="6">
        <f t="shared" si="57"/>
        <v>1.55941</v>
      </c>
      <c r="M335" s="6">
        <f t="shared" si="58"/>
        <v>0.17133999999999983</v>
      </c>
      <c r="N335" s="6">
        <f t="shared" si="59"/>
        <v>0</v>
      </c>
      <c r="O335" s="6">
        <f t="shared" si="60"/>
        <v>0</v>
      </c>
      <c r="P335" s="6">
        <f t="shared" si="61"/>
        <v>110.9621399249999</v>
      </c>
      <c r="Q335" s="3">
        <v>110.962139925</v>
      </c>
      <c r="R335" s="6">
        <f t="shared" si="62"/>
        <v>0</v>
      </c>
      <c r="S335" s="6" t="str">
        <f t="shared" si="63"/>
        <v>OK</v>
      </c>
    </row>
    <row r="336" spans="1:19" x14ac:dyDescent="0.25">
      <c r="A336" s="3" t="str">
        <f t="shared" si="64"/>
        <v>07.05.2026</v>
      </c>
      <c r="B336" s="5">
        <v>31</v>
      </c>
      <c r="C336" s="5" t="s">
        <v>87</v>
      </c>
      <c r="D336" s="3">
        <v>7.7970499999999996</v>
      </c>
      <c r="E336" s="3">
        <v>7.6257099999999998</v>
      </c>
      <c r="F336" s="6">
        <f t="shared" si="52"/>
        <v>-0.17133999999999983</v>
      </c>
      <c r="G336" s="6">
        <f t="shared" si="53"/>
        <v>-2.1974977715931005E-2</v>
      </c>
      <c r="H336" s="6" t="str">
        <f t="shared" si="54"/>
        <v>🔴 Under-injection</v>
      </c>
      <c r="I336" s="6">
        <f t="shared" si="55"/>
        <v>0.17133999999999983</v>
      </c>
      <c r="J336" s="3">
        <v>2.0728999999999997</v>
      </c>
      <c r="K336" s="6">
        <f t="shared" si="56"/>
        <v>1.1695574999999998</v>
      </c>
      <c r="L336" s="6">
        <f t="shared" si="57"/>
        <v>1.55941</v>
      </c>
      <c r="M336" s="6">
        <f t="shared" si="58"/>
        <v>0.17133999999999983</v>
      </c>
      <c r="N336" s="6">
        <f t="shared" si="59"/>
        <v>0</v>
      </c>
      <c r="O336" s="6">
        <f t="shared" si="60"/>
        <v>0</v>
      </c>
      <c r="P336" s="6">
        <f t="shared" si="61"/>
        <v>93.2323050749999</v>
      </c>
      <c r="Q336" s="3">
        <v>93.232305074999999</v>
      </c>
      <c r="R336" s="6">
        <f t="shared" si="62"/>
        <v>0</v>
      </c>
      <c r="S336" s="6" t="str">
        <f t="shared" si="63"/>
        <v>OK</v>
      </c>
    </row>
    <row r="337" spans="1:19" x14ac:dyDescent="0.25">
      <c r="A337" s="3" t="str">
        <f t="shared" si="64"/>
        <v>07.05.2026</v>
      </c>
      <c r="B337" s="5">
        <v>32</v>
      </c>
      <c r="C337" s="5" t="s">
        <v>86</v>
      </c>
      <c r="D337" s="3">
        <v>7.7970499999999996</v>
      </c>
      <c r="E337" s="3">
        <v>7.6143599999999996</v>
      </c>
      <c r="F337" s="6">
        <f t="shared" si="52"/>
        <v>-0.18269000000000002</v>
      </c>
      <c r="G337" s="6">
        <f t="shared" si="53"/>
        <v>-2.3430656466227617E-2</v>
      </c>
      <c r="H337" s="6" t="str">
        <f t="shared" si="54"/>
        <v>🔴 Under-injection</v>
      </c>
      <c r="I337" s="6">
        <f t="shared" si="55"/>
        <v>0.18269000000000002</v>
      </c>
      <c r="J337" s="3">
        <v>1.7093</v>
      </c>
      <c r="K337" s="6">
        <f t="shared" si="56"/>
        <v>1.1695574999999998</v>
      </c>
      <c r="L337" s="6">
        <f t="shared" si="57"/>
        <v>1.55941</v>
      </c>
      <c r="M337" s="6">
        <f t="shared" si="58"/>
        <v>0.18269000000000002</v>
      </c>
      <c r="N337" s="6">
        <f t="shared" si="59"/>
        <v>0</v>
      </c>
      <c r="O337" s="6">
        <f t="shared" si="60"/>
        <v>0</v>
      </c>
      <c r="P337" s="6">
        <f t="shared" si="61"/>
        <v>81.971404462500018</v>
      </c>
      <c r="Q337" s="3">
        <v>81.971404462500004</v>
      </c>
      <c r="R337" s="6">
        <f t="shared" si="62"/>
        <v>0</v>
      </c>
      <c r="S337" s="6" t="str">
        <f t="shared" si="63"/>
        <v>OK</v>
      </c>
    </row>
    <row r="338" spans="1:19" x14ac:dyDescent="0.25">
      <c r="A338" s="3" t="str">
        <f t="shared" si="64"/>
        <v>07.05.2026</v>
      </c>
      <c r="B338" s="5">
        <v>33</v>
      </c>
      <c r="C338" s="5" t="s">
        <v>85</v>
      </c>
      <c r="D338" s="3">
        <v>7.7970499999999996</v>
      </c>
      <c r="E338" s="3">
        <v>7.6257099999999998</v>
      </c>
      <c r="F338" s="6">
        <f t="shared" ref="F338:F401" si="65">E338-D338</f>
        <v>-0.17133999999999983</v>
      </c>
      <c r="G338" s="6">
        <f t="shared" ref="G338:G401" si="66">IF(D338=0,0,F338/D338)</f>
        <v>-2.1974977715931005E-2</v>
      </c>
      <c r="H338" s="6" t="str">
        <f t="shared" ref="H338:H401" si="67">IF(E338&gt;D338,"🟢 Over-injection",IF(E338&lt;D338,"🔴 Under-injection","⚪ Nil"))</f>
        <v>🔴 Under-injection</v>
      </c>
      <c r="I338" s="6">
        <f t="shared" ref="I338:I401" si="68">-F338</f>
        <v>0.17133999999999983</v>
      </c>
      <c r="J338" s="3">
        <v>1.429</v>
      </c>
      <c r="K338" s="6">
        <f t="shared" ref="K338:K401" si="69">MIN(ABS(D338)*$B$7,$B$8)</f>
        <v>1.1695574999999998</v>
      </c>
      <c r="L338" s="6">
        <f t="shared" ref="L338:L401" si="70">MIN(ABS(D338)*$B$9,$B$10)</f>
        <v>1.55941</v>
      </c>
      <c r="M338" s="6">
        <f t="shared" ref="M338:M401" si="71">MIN(ABS(F338),K338)</f>
        <v>0.17133999999999983</v>
      </c>
      <c r="N338" s="6">
        <f t="shared" ref="N338:N401" si="72">IF(F338&lt;0,MIN(MAX(ABS(F338)-K338,0),MAX(L338-K338,0)),0)</f>
        <v>0</v>
      </c>
      <c r="O338" s="6">
        <f t="shared" ref="O338:O401" si="73">IF(F338&lt;0,MAX(ABS(F338)-L338,0),0)</f>
        <v>0</v>
      </c>
      <c r="P338" s="6">
        <f t="shared" ref="P338:P401" si="74">IF(F338&gt;0,-M338*$B$11*J338*$B$6*1000,IF(F338&lt;0,(M338*$B$12+N338*$B$13+O338*$B$14)*J338*$B$6*1000,0))</f>
        <v>64.271775749999946</v>
      </c>
      <c r="Q338" s="3">
        <v>64.271775749999989</v>
      </c>
      <c r="R338" s="6">
        <f t="shared" ref="R338:R401" si="75">P338-Q338</f>
        <v>0</v>
      </c>
      <c r="S338" s="6" t="str">
        <f t="shared" ref="S338:S401" si="76">IF(ABS(R338)&lt;=0.01,"OK","REVIEW")</f>
        <v>OK</v>
      </c>
    </row>
    <row r="339" spans="1:19" x14ac:dyDescent="0.25">
      <c r="A339" s="3" t="str">
        <f t="shared" si="64"/>
        <v>07.05.2026</v>
      </c>
      <c r="B339" s="5">
        <v>34</v>
      </c>
      <c r="C339" s="5" t="s">
        <v>84</v>
      </c>
      <c r="D339" s="3">
        <v>7.7970499999999996</v>
      </c>
      <c r="E339" s="3">
        <v>7.6143599999999996</v>
      </c>
      <c r="F339" s="6">
        <f t="shared" si="65"/>
        <v>-0.18269000000000002</v>
      </c>
      <c r="G339" s="6">
        <f t="shared" si="66"/>
        <v>-2.3430656466227617E-2</v>
      </c>
      <c r="H339" s="6" t="str">
        <f t="shared" si="67"/>
        <v>🔴 Under-injection</v>
      </c>
      <c r="I339" s="6">
        <f t="shared" si="68"/>
        <v>0.18269000000000002</v>
      </c>
      <c r="J339" s="3">
        <v>1.3215000000000001</v>
      </c>
      <c r="K339" s="6">
        <f t="shared" si="69"/>
        <v>1.1695574999999998</v>
      </c>
      <c r="L339" s="6">
        <f t="shared" si="70"/>
        <v>1.55941</v>
      </c>
      <c r="M339" s="6">
        <f t="shared" si="71"/>
        <v>0.18269000000000002</v>
      </c>
      <c r="N339" s="6">
        <f t="shared" si="72"/>
        <v>0</v>
      </c>
      <c r="O339" s="6">
        <f t="shared" si="73"/>
        <v>0</v>
      </c>
      <c r="P339" s="6">
        <f t="shared" si="74"/>
        <v>63.374019187500018</v>
      </c>
      <c r="Q339" s="3">
        <v>63.374019187500004</v>
      </c>
      <c r="R339" s="6">
        <f t="shared" si="75"/>
        <v>0</v>
      </c>
      <c r="S339" s="6" t="str">
        <f t="shared" si="76"/>
        <v>OK</v>
      </c>
    </row>
    <row r="340" spans="1:19" x14ac:dyDescent="0.25">
      <c r="A340" s="3" t="str">
        <f t="shared" ref="A340:A403" si="77">A339</f>
        <v>07.05.2026</v>
      </c>
      <c r="B340" s="5">
        <v>35</v>
      </c>
      <c r="C340" s="5" t="s">
        <v>83</v>
      </c>
      <c r="D340" s="3">
        <v>7.7970499999999996</v>
      </c>
      <c r="E340" s="3">
        <v>7.6143599999999996</v>
      </c>
      <c r="F340" s="6">
        <f t="shared" si="65"/>
        <v>-0.18269000000000002</v>
      </c>
      <c r="G340" s="6">
        <f t="shared" si="66"/>
        <v>-2.3430656466227617E-2</v>
      </c>
      <c r="H340" s="6" t="str">
        <f t="shared" si="67"/>
        <v>🔴 Under-injection</v>
      </c>
      <c r="I340" s="6">
        <f t="shared" si="68"/>
        <v>0.18269000000000002</v>
      </c>
      <c r="J340" s="3">
        <v>1.2797000000000001</v>
      </c>
      <c r="K340" s="6">
        <f t="shared" si="69"/>
        <v>1.1695574999999998</v>
      </c>
      <c r="L340" s="6">
        <f t="shared" si="70"/>
        <v>1.55941</v>
      </c>
      <c r="M340" s="6">
        <f t="shared" si="71"/>
        <v>0.18269000000000002</v>
      </c>
      <c r="N340" s="6">
        <f t="shared" si="72"/>
        <v>0</v>
      </c>
      <c r="O340" s="6">
        <f t="shared" si="73"/>
        <v>0</v>
      </c>
      <c r="P340" s="6">
        <f t="shared" si="74"/>
        <v>61.369453162500015</v>
      </c>
      <c r="Q340" s="3">
        <v>61.369453162499994</v>
      </c>
      <c r="R340" s="6">
        <f t="shared" si="75"/>
        <v>0</v>
      </c>
      <c r="S340" s="6" t="str">
        <f t="shared" si="76"/>
        <v>OK</v>
      </c>
    </row>
    <row r="341" spans="1:19" x14ac:dyDescent="0.25">
      <c r="A341" s="3" t="str">
        <f t="shared" si="77"/>
        <v>07.05.2026</v>
      </c>
      <c r="B341" s="5">
        <v>36</v>
      </c>
      <c r="C341" s="5" t="s">
        <v>82</v>
      </c>
      <c r="D341" s="3">
        <v>7.7970499999999996</v>
      </c>
      <c r="E341" s="3">
        <v>7.6257099999999998</v>
      </c>
      <c r="F341" s="6">
        <f t="shared" si="65"/>
        <v>-0.17133999999999983</v>
      </c>
      <c r="G341" s="6">
        <f t="shared" si="66"/>
        <v>-2.1974977715931005E-2</v>
      </c>
      <c r="H341" s="6" t="str">
        <f t="shared" si="67"/>
        <v>🔴 Under-injection</v>
      </c>
      <c r="I341" s="6">
        <f t="shared" si="68"/>
        <v>0.17133999999999983</v>
      </c>
      <c r="J341" s="3">
        <v>1.1626000000000001</v>
      </c>
      <c r="K341" s="6">
        <f t="shared" si="69"/>
        <v>1.1695574999999998</v>
      </c>
      <c r="L341" s="6">
        <f t="shared" si="70"/>
        <v>1.55941</v>
      </c>
      <c r="M341" s="6">
        <f t="shared" si="71"/>
        <v>0.17133999999999983</v>
      </c>
      <c r="N341" s="6">
        <f t="shared" si="72"/>
        <v>0</v>
      </c>
      <c r="O341" s="6">
        <f t="shared" si="73"/>
        <v>0</v>
      </c>
      <c r="P341" s="6">
        <f t="shared" si="74"/>
        <v>52.289969549999945</v>
      </c>
      <c r="Q341" s="3">
        <v>52.289969550000002</v>
      </c>
      <c r="R341" s="6">
        <f t="shared" si="75"/>
        <v>-5.6843418860808015E-14</v>
      </c>
      <c r="S341" s="6" t="str">
        <f t="shared" si="76"/>
        <v>OK</v>
      </c>
    </row>
    <row r="342" spans="1:19" x14ac:dyDescent="0.25">
      <c r="A342" s="3" t="str">
        <f t="shared" si="77"/>
        <v>07.05.2026</v>
      </c>
      <c r="B342" s="5">
        <v>37</v>
      </c>
      <c r="C342" s="5" t="s">
        <v>81</v>
      </c>
      <c r="D342" s="3">
        <v>7.7970499999999996</v>
      </c>
      <c r="E342" s="3">
        <v>7.6257099999999998</v>
      </c>
      <c r="F342" s="6">
        <f t="shared" si="65"/>
        <v>-0.17133999999999983</v>
      </c>
      <c r="G342" s="6">
        <f t="shared" si="66"/>
        <v>-2.1974977715931005E-2</v>
      </c>
      <c r="H342" s="6" t="str">
        <f t="shared" si="67"/>
        <v>🔴 Under-injection</v>
      </c>
      <c r="I342" s="6">
        <f t="shared" si="68"/>
        <v>0.17133999999999983</v>
      </c>
      <c r="J342" s="3">
        <v>1.0849</v>
      </c>
      <c r="K342" s="6">
        <f t="shared" si="69"/>
        <v>1.1695574999999998</v>
      </c>
      <c r="L342" s="6">
        <f t="shared" si="70"/>
        <v>1.55941</v>
      </c>
      <c r="M342" s="6">
        <f t="shared" si="71"/>
        <v>0.17133999999999983</v>
      </c>
      <c r="N342" s="6">
        <f t="shared" si="72"/>
        <v>0</v>
      </c>
      <c r="O342" s="6">
        <f t="shared" si="73"/>
        <v>0</v>
      </c>
      <c r="P342" s="6">
        <f t="shared" si="74"/>
        <v>48.795276074999947</v>
      </c>
      <c r="Q342" s="3">
        <v>48.795276074999997</v>
      </c>
      <c r="R342" s="6">
        <f t="shared" si="75"/>
        <v>0</v>
      </c>
      <c r="S342" s="6" t="str">
        <f t="shared" si="76"/>
        <v>OK</v>
      </c>
    </row>
    <row r="343" spans="1:19" x14ac:dyDescent="0.25">
      <c r="A343" s="3" t="str">
        <f t="shared" si="77"/>
        <v>07.05.2026</v>
      </c>
      <c r="B343" s="5">
        <v>38</v>
      </c>
      <c r="C343" s="5" t="s">
        <v>80</v>
      </c>
      <c r="D343" s="3">
        <v>7.7970499999999996</v>
      </c>
      <c r="E343" s="3">
        <v>7.8980499999999996</v>
      </c>
      <c r="F343" s="6">
        <f t="shared" si="65"/>
        <v>0.10099999999999998</v>
      </c>
      <c r="G343" s="6">
        <f t="shared" si="66"/>
        <v>1.2953617073123808E-2</v>
      </c>
      <c r="H343" s="6" t="str">
        <f t="shared" si="67"/>
        <v>🟢 Over-injection</v>
      </c>
      <c r="I343" s="6">
        <f t="shared" si="68"/>
        <v>-0.10099999999999998</v>
      </c>
      <c r="J343" s="3">
        <v>0.99159999999999993</v>
      </c>
      <c r="K343" s="6">
        <f t="shared" si="69"/>
        <v>1.1695574999999998</v>
      </c>
      <c r="L343" s="6">
        <f t="shared" si="70"/>
        <v>1.55941</v>
      </c>
      <c r="M343" s="6">
        <f t="shared" si="71"/>
        <v>0.10099999999999998</v>
      </c>
      <c r="N343" s="6">
        <f t="shared" si="72"/>
        <v>0</v>
      </c>
      <c r="O343" s="6">
        <f t="shared" si="73"/>
        <v>0</v>
      </c>
      <c r="P343" s="6">
        <f t="shared" si="74"/>
        <v>-20.030319999999993</v>
      </c>
      <c r="Q343" s="3">
        <v>-20.03032</v>
      </c>
      <c r="R343" s="6">
        <f t="shared" si="75"/>
        <v>0</v>
      </c>
      <c r="S343" s="6" t="str">
        <f t="shared" si="76"/>
        <v>OK</v>
      </c>
    </row>
    <row r="344" spans="1:19" x14ac:dyDescent="0.25">
      <c r="A344" s="3" t="str">
        <f t="shared" si="77"/>
        <v>07.05.2026</v>
      </c>
      <c r="B344" s="5">
        <v>39</v>
      </c>
      <c r="C344" s="5" t="s">
        <v>79</v>
      </c>
      <c r="D344" s="3">
        <v>8.0970499999999994</v>
      </c>
      <c r="E344" s="3">
        <v>7.9321000000000002</v>
      </c>
      <c r="F344" s="6">
        <f t="shared" si="65"/>
        <v>-0.16494999999999926</v>
      </c>
      <c r="G344" s="6">
        <f t="shared" si="66"/>
        <v>-2.0371616823410908E-2</v>
      </c>
      <c r="H344" s="6" t="str">
        <f t="shared" si="67"/>
        <v>🔴 Under-injection</v>
      </c>
      <c r="I344" s="6">
        <f t="shared" si="68"/>
        <v>0.16494999999999926</v>
      </c>
      <c r="J344" s="3">
        <v>0.96019999999999994</v>
      </c>
      <c r="K344" s="6">
        <f t="shared" si="69"/>
        <v>1.2145575</v>
      </c>
      <c r="L344" s="6">
        <f t="shared" si="70"/>
        <v>1.61941</v>
      </c>
      <c r="M344" s="6">
        <f t="shared" si="71"/>
        <v>0.16494999999999926</v>
      </c>
      <c r="N344" s="6">
        <f t="shared" si="72"/>
        <v>0</v>
      </c>
      <c r="O344" s="6">
        <f t="shared" si="73"/>
        <v>0</v>
      </c>
      <c r="P344" s="6">
        <f t="shared" si="74"/>
        <v>41.576059874999814</v>
      </c>
      <c r="Q344" s="3">
        <v>41.576059875000006</v>
      </c>
      <c r="R344" s="6">
        <f t="shared" si="75"/>
        <v>-1.9184653865522705E-13</v>
      </c>
      <c r="S344" s="6" t="str">
        <f t="shared" si="76"/>
        <v>OK</v>
      </c>
    </row>
    <row r="345" spans="1:19" x14ac:dyDescent="0.25">
      <c r="A345" s="3" t="str">
        <f t="shared" si="77"/>
        <v>07.05.2026</v>
      </c>
      <c r="B345" s="5">
        <v>40</v>
      </c>
      <c r="C345" s="5" t="s">
        <v>78</v>
      </c>
      <c r="D345" s="3">
        <v>8.0970499999999994</v>
      </c>
      <c r="E345" s="3">
        <v>7.9321000000000002</v>
      </c>
      <c r="F345" s="6">
        <f t="shared" si="65"/>
        <v>-0.16494999999999926</v>
      </c>
      <c r="G345" s="6">
        <f t="shared" si="66"/>
        <v>-2.0371616823410908E-2</v>
      </c>
      <c r="H345" s="6" t="str">
        <f t="shared" si="67"/>
        <v>🔴 Under-injection</v>
      </c>
      <c r="I345" s="6">
        <f t="shared" si="68"/>
        <v>0.16494999999999926</v>
      </c>
      <c r="J345" s="3">
        <v>0.96019999999999994</v>
      </c>
      <c r="K345" s="6">
        <f t="shared" si="69"/>
        <v>1.2145575</v>
      </c>
      <c r="L345" s="6">
        <f t="shared" si="70"/>
        <v>1.61941</v>
      </c>
      <c r="M345" s="6">
        <f t="shared" si="71"/>
        <v>0.16494999999999926</v>
      </c>
      <c r="N345" s="6">
        <f t="shared" si="72"/>
        <v>0</v>
      </c>
      <c r="O345" s="6">
        <f t="shared" si="73"/>
        <v>0</v>
      </c>
      <c r="P345" s="6">
        <f t="shared" si="74"/>
        <v>41.576059874999814</v>
      </c>
      <c r="Q345" s="3">
        <v>41.576059875000006</v>
      </c>
      <c r="R345" s="6">
        <f t="shared" si="75"/>
        <v>-1.9184653865522705E-13</v>
      </c>
      <c r="S345" s="6" t="str">
        <f t="shared" si="76"/>
        <v>OK</v>
      </c>
    </row>
    <row r="346" spans="1:19" x14ac:dyDescent="0.25">
      <c r="A346" s="3" t="str">
        <f t="shared" si="77"/>
        <v>07.05.2026</v>
      </c>
      <c r="B346" s="5">
        <v>41</v>
      </c>
      <c r="C346" s="5" t="s">
        <v>77</v>
      </c>
      <c r="D346" s="3">
        <v>8.0970499999999994</v>
      </c>
      <c r="E346" s="3">
        <v>7.9321000000000002</v>
      </c>
      <c r="F346" s="6">
        <f t="shared" si="65"/>
        <v>-0.16494999999999926</v>
      </c>
      <c r="G346" s="6">
        <f t="shared" si="66"/>
        <v>-2.0371616823410908E-2</v>
      </c>
      <c r="H346" s="6" t="str">
        <f t="shared" si="67"/>
        <v>🔴 Under-injection</v>
      </c>
      <c r="I346" s="6">
        <f t="shared" si="68"/>
        <v>0.16494999999999926</v>
      </c>
      <c r="J346" s="3">
        <v>1.0004999999999999</v>
      </c>
      <c r="K346" s="6">
        <f t="shared" si="69"/>
        <v>1.2145575</v>
      </c>
      <c r="L346" s="6">
        <f t="shared" si="70"/>
        <v>1.61941</v>
      </c>
      <c r="M346" s="6">
        <f t="shared" si="71"/>
        <v>0.16494999999999926</v>
      </c>
      <c r="N346" s="6">
        <f t="shared" si="72"/>
        <v>0</v>
      </c>
      <c r="O346" s="6">
        <f t="shared" si="73"/>
        <v>0</v>
      </c>
      <c r="P346" s="6">
        <f t="shared" si="74"/>
        <v>43.321024687499808</v>
      </c>
      <c r="Q346" s="3">
        <v>43.3210246875</v>
      </c>
      <c r="R346" s="6">
        <f t="shared" si="75"/>
        <v>-1.9184653865522705E-13</v>
      </c>
      <c r="S346" s="6" t="str">
        <f t="shared" si="76"/>
        <v>OK</v>
      </c>
    </row>
    <row r="347" spans="1:19" x14ac:dyDescent="0.25">
      <c r="A347" s="3" t="str">
        <f t="shared" si="77"/>
        <v>07.05.2026</v>
      </c>
      <c r="B347" s="5">
        <v>42</v>
      </c>
      <c r="C347" s="5" t="s">
        <v>76</v>
      </c>
      <c r="D347" s="3">
        <v>8.0970499999999994</v>
      </c>
      <c r="E347" s="3">
        <v>7.9321000000000002</v>
      </c>
      <c r="F347" s="6">
        <f t="shared" si="65"/>
        <v>-0.16494999999999926</v>
      </c>
      <c r="G347" s="6">
        <f t="shared" si="66"/>
        <v>-2.0371616823410908E-2</v>
      </c>
      <c r="H347" s="6" t="str">
        <f t="shared" si="67"/>
        <v>🔴 Under-injection</v>
      </c>
      <c r="I347" s="6">
        <f t="shared" si="68"/>
        <v>0.16494999999999926</v>
      </c>
      <c r="J347" s="3">
        <v>1.0009000000000001</v>
      </c>
      <c r="K347" s="6">
        <f t="shared" si="69"/>
        <v>1.2145575</v>
      </c>
      <c r="L347" s="6">
        <f t="shared" si="70"/>
        <v>1.61941</v>
      </c>
      <c r="M347" s="6">
        <f t="shared" si="71"/>
        <v>0.16494999999999926</v>
      </c>
      <c r="N347" s="6">
        <f t="shared" si="72"/>
        <v>0</v>
      </c>
      <c r="O347" s="6">
        <f t="shared" si="73"/>
        <v>0</v>
      </c>
      <c r="P347" s="6">
        <f t="shared" si="74"/>
        <v>43.338344437499813</v>
      </c>
      <c r="Q347" s="3">
        <v>43.33834443750002</v>
      </c>
      <c r="R347" s="6">
        <f t="shared" si="75"/>
        <v>-2.0605739337042905E-13</v>
      </c>
      <c r="S347" s="6" t="str">
        <f t="shared" si="76"/>
        <v>OK</v>
      </c>
    </row>
    <row r="348" spans="1:19" x14ac:dyDescent="0.25">
      <c r="A348" s="3" t="str">
        <f t="shared" si="77"/>
        <v>07.05.2026</v>
      </c>
      <c r="B348" s="5">
        <v>43</v>
      </c>
      <c r="C348" s="5" t="s">
        <v>75</v>
      </c>
      <c r="D348" s="3">
        <v>8.0970499999999994</v>
      </c>
      <c r="E348" s="3">
        <v>7.9321000000000002</v>
      </c>
      <c r="F348" s="6">
        <f t="shared" si="65"/>
        <v>-0.16494999999999926</v>
      </c>
      <c r="G348" s="6">
        <f t="shared" si="66"/>
        <v>-2.0371616823410908E-2</v>
      </c>
      <c r="H348" s="6" t="str">
        <f t="shared" si="67"/>
        <v>🔴 Under-injection</v>
      </c>
      <c r="I348" s="6">
        <f t="shared" si="68"/>
        <v>0.16494999999999926</v>
      </c>
      <c r="J348" s="3">
        <v>1.0468999999999999</v>
      </c>
      <c r="K348" s="6">
        <f t="shared" si="69"/>
        <v>1.2145575</v>
      </c>
      <c r="L348" s="6">
        <f t="shared" si="70"/>
        <v>1.61941</v>
      </c>
      <c r="M348" s="6">
        <f t="shared" si="71"/>
        <v>0.16494999999999926</v>
      </c>
      <c r="N348" s="6">
        <f t="shared" si="72"/>
        <v>0</v>
      </c>
      <c r="O348" s="6">
        <f t="shared" si="73"/>
        <v>0</v>
      </c>
      <c r="P348" s="6">
        <f t="shared" si="74"/>
        <v>45.330115687499799</v>
      </c>
      <c r="Q348" s="3">
        <v>45.330115687500005</v>
      </c>
      <c r="R348" s="6">
        <f t="shared" si="75"/>
        <v>-2.0605739337042905E-13</v>
      </c>
      <c r="S348" s="6" t="str">
        <f t="shared" si="76"/>
        <v>OK</v>
      </c>
    </row>
    <row r="349" spans="1:19" x14ac:dyDescent="0.25">
      <c r="A349" s="3" t="str">
        <f t="shared" si="77"/>
        <v>07.05.2026</v>
      </c>
      <c r="B349" s="5">
        <v>44</v>
      </c>
      <c r="C349" s="5" t="s">
        <v>74</v>
      </c>
      <c r="D349" s="3">
        <v>8.0970499999999994</v>
      </c>
      <c r="E349" s="3">
        <v>7.9321000000000002</v>
      </c>
      <c r="F349" s="6">
        <f t="shared" si="65"/>
        <v>-0.16494999999999926</v>
      </c>
      <c r="G349" s="6">
        <f t="shared" si="66"/>
        <v>-2.0371616823410908E-2</v>
      </c>
      <c r="H349" s="6" t="str">
        <f t="shared" si="67"/>
        <v>🔴 Under-injection</v>
      </c>
      <c r="I349" s="6">
        <f t="shared" si="68"/>
        <v>0.16494999999999926</v>
      </c>
      <c r="J349" s="3">
        <v>1.0468000000000002</v>
      </c>
      <c r="K349" s="6">
        <f t="shared" si="69"/>
        <v>1.2145575</v>
      </c>
      <c r="L349" s="6">
        <f t="shared" si="70"/>
        <v>1.61941</v>
      </c>
      <c r="M349" s="6">
        <f t="shared" si="71"/>
        <v>0.16494999999999926</v>
      </c>
      <c r="N349" s="6">
        <f t="shared" si="72"/>
        <v>0</v>
      </c>
      <c r="O349" s="6">
        <f t="shared" si="73"/>
        <v>0</v>
      </c>
      <c r="P349" s="6">
        <f t="shared" si="74"/>
        <v>45.325785749999802</v>
      </c>
      <c r="Q349" s="3">
        <v>45.325785750000016</v>
      </c>
      <c r="R349" s="6">
        <f t="shared" si="75"/>
        <v>-2.1316282072803006E-13</v>
      </c>
      <c r="S349" s="6" t="str">
        <f t="shared" si="76"/>
        <v>OK</v>
      </c>
    </row>
    <row r="350" spans="1:19" x14ac:dyDescent="0.25">
      <c r="A350" s="3" t="str">
        <f t="shared" si="77"/>
        <v>07.05.2026</v>
      </c>
      <c r="B350" s="5">
        <v>45</v>
      </c>
      <c r="C350" s="5" t="s">
        <v>73</v>
      </c>
      <c r="D350" s="3">
        <v>8.0970499999999994</v>
      </c>
      <c r="E350" s="3">
        <v>7.9321000000000002</v>
      </c>
      <c r="F350" s="6">
        <f t="shared" si="65"/>
        <v>-0.16494999999999926</v>
      </c>
      <c r="G350" s="6">
        <f t="shared" si="66"/>
        <v>-2.0371616823410908E-2</v>
      </c>
      <c r="H350" s="6" t="str">
        <f t="shared" si="67"/>
        <v>🔴 Under-injection</v>
      </c>
      <c r="I350" s="6">
        <f t="shared" si="68"/>
        <v>0.16494999999999926</v>
      </c>
      <c r="J350" s="3">
        <v>0.78739999999999999</v>
      </c>
      <c r="K350" s="6">
        <f t="shared" si="69"/>
        <v>1.2145575</v>
      </c>
      <c r="L350" s="6">
        <f t="shared" si="70"/>
        <v>1.61941</v>
      </c>
      <c r="M350" s="6">
        <f t="shared" si="71"/>
        <v>0.16494999999999926</v>
      </c>
      <c r="N350" s="6">
        <f t="shared" si="72"/>
        <v>0</v>
      </c>
      <c r="O350" s="6">
        <f t="shared" si="73"/>
        <v>0</v>
      </c>
      <c r="P350" s="6">
        <f t="shared" si="74"/>
        <v>34.093927874999849</v>
      </c>
      <c r="Q350" s="3">
        <v>34.093927875000006</v>
      </c>
      <c r="R350" s="6">
        <f t="shared" si="75"/>
        <v>-1.5631940186722204E-13</v>
      </c>
      <c r="S350" s="6" t="str">
        <f t="shared" si="76"/>
        <v>OK</v>
      </c>
    </row>
    <row r="351" spans="1:19" x14ac:dyDescent="0.25">
      <c r="A351" s="3" t="str">
        <f t="shared" si="77"/>
        <v>07.05.2026</v>
      </c>
      <c r="B351" s="5">
        <v>46</v>
      </c>
      <c r="C351" s="5" t="s">
        <v>72</v>
      </c>
      <c r="D351" s="3">
        <v>8.0970499999999994</v>
      </c>
      <c r="E351" s="3">
        <v>7.9321000000000002</v>
      </c>
      <c r="F351" s="6">
        <f t="shared" si="65"/>
        <v>-0.16494999999999926</v>
      </c>
      <c r="G351" s="6">
        <f t="shared" si="66"/>
        <v>-2.0371616823410908E-2</v>
      </c>
      <c r="H351" s="6" t="str">
        <f t="shared" si="67"/>
        <v>🔴 Under-injection</v>
      </c>
      <c r="I351" s="6">
        <f t="shared" si="68"/>
        <v>0.16494999999999926</v>
      </c>
      <c r="J351" s="3">
        <v>0.78220000000000001</v>
      </c>
      <c r="K351" s="6">
        <f t="shared" si="69"/>
        <v>1.2145575</v>
      </c>
      <c r="L351" s="6">
        <f t="shared" si="70"/>
        <v>1.61941</v>
      </c>
      <c r="M351" s="6">
        <f t="shared" si="71"/>
        <v>0.16494999999999926</v>
      </c>
      <c r="N351" s="6">
        <f t="shared" si="72"/>
        <v>0</v>
      </c>
      <c r="O351" s="6">
        <f t="shared" si="73"/>
        <v>0</v>
      </c>
      <c r="P351" s="6">
        <f t="shared" si="74"/>
        <v>33.868771124999853</v>
      </c>
      <c r="Q351" s="3">
        <v>33.868771125000009</v>
      </c>
      <c r="R351" s="6">
        <f t="shared" si="75"/>
        <v>-1.5631940186722204E-13</v>
      </c>
      <c r="S351" s="6" t="str">
        <f t="shared" si="76"/>
        <v>OK</v>
      </c>
    </row>
    <row r="352" spans="1:19" x14ac:dyDescent="0.25">
      <c r="A352" s="3" t="str">
        <f t="shared" si="77"/>
        <v>07.05.2026</v>
      </c>
      <c r="B352" s="5">
        <v>47</v>
      </c>
      <c r="C352" s="5" t="s">
        <v>71</v>
      </c>
      <c r="D352" s="3">
        <v>8.0970499999999994</v>
      </c>
      <c r="E352" s="3">
        <v>7.9321000000000002</v>
      </c>
      <c r="F352" s="6">
        <f t="shared" si="65"/>
        <v>-0.16494999999999926</v>
      </c>
      <c r="G352" s="6">
        <f t="shared" si="66"/>
        <v>-2.0371616823410908E-2</v>
      </c>
      <c r="H352" s="6" t="str">
        <f t="shared" si="67"/>
        <v>🔴 Under-injection</v>
      </c>
      <c r="I352" s="6">
        <f t="shared" si="68"/>
        <v>0.16494999999999926</v>
      </c>
      <c r="J352" s="3">
        <v>0.78510000000000002</v>
      </c>
      <c r="K352" s="6">
        <f t="shared" si="69"/>
        <v>1.2145575</v>
      </c>
      <c r="L352" s="6">
        <f t="shared" si="70"/>
        <v>1.61941</v>
      </c>
      <c r="M352" s="6">
        <f t="shared" si="71"/>
        <v>0.16494999999999926</v>
      </c>
      <c r="N352" s="6">
        <f t="shared" si="72"/>
        <v>0</v>
      </c>
      <c r="O352" s="6">
        <f t="shared" si="73"/>
        <v>0</v>
      </c>
      <c r="P352" s="6">
        <f t="shared" si="74"/>
        <v>33.994339312499854</v>
      </c>
      <c r="Q352" s="3">
        <v>33.994339312500003</v>
      </c>
      <c r="R352" s="6">
        <f t="shared" si="75"/>
        <v>-1.4921397450962104E-13</v>
      </c>
      <c r="S352" s="6" t="str">
        <f t="shared" si="76"/>
        <v>OK</v>
      </c>
    </row>
    <row r="353" spans="1:19" x14ac:dyDescent="0.25">
      <c r="A353" s="3" t="str">
        <f t="shared" si="77"/>
        <v>07.05.2026</v>
      </c>
      <c r="B353" s="5">
        <v>48</v>
      </c>
      <c r="C353" s="5" t="s">
        <v>70</v>
      </c>
      <c r="D353" s="3">
        <v>8.0970499999999994</v>
      </c>
      <c r="E353" s="3">
        <v>7.9321000000000002</v>
      </c>
      <c r="F353" s="6">
        <f t="shared" si="65"/>
        <v>-0.16494999999999926</v>
      </c>
      <c r="G353" s="6">
        <f t="shared" si="66"/>
        <v>-2.0371616823410908E-2</v>
      </c>
      <c r="H353" s="6" t="str">
        <f t="shared" si="67"/>
        <v>🔴 Under-injection</v>
      </c>
      <c r="I353" s="6">
        <f t="shared" si="68"/>
        <v>0.16494999999999926</v>
      </c>
      <c r="J353" s="3">
        <v>0.78220000000000001</v>
      </c>
      <c r="K353" s="6">
        <f t="shared" si="69"/>
        <v>1.2145575</v>
      </c>
      <c r="L353" s="6">
        <f t="shared" si="70"/>
        <v>1.61941</v>
      </c>
      <c r="M353" s="6">
        <f t="shared" si="71"/>
        <v>0.16494999999999926</v>
      </c>
      <c r="N353" s="6">
        <f t="shared" si="72"/>
        <v>0</v>
      </c>
      <c r="O353" s="6">
        <f t="shared" si="73"/>
        <v>0</v>
      </c>
      <c r="P353" s="6">
        <f t="shared" si="74"/>
        <v>33.868771124999853</v>
      </c>
      <c r="Q353" s="3">
        <v>33.868771125000009</v>
      </c>
      <c r="R353" s="6">
        <f t="shared" si="75"/>
        <v>-1.5631940186722204E-13</v>
      </c>
      <c r="S353" s="6" t="str">
        <f t="shared" si="76"/>
        <v>OK</v>
      </c>
    </row>
    <row r="354" spans="1:19" x14ac:dyDescent="0.25">
      <c r="A354" s="3" t="str">
        <f t="shared" si="77"/>
        <v>07.05.2026</v>
      </c>
      <c r="B354" s="5">
        <v>49</v>
      </c>
      <c r="C354" s="5" t="s">
        <v>69</v>
      </c>
      <c r="D354" s="3">
        <v>8.0970499999999994</v>
      </c>
      <c r="E354" s="3">
        <v>7.9321000000000002</v>
      </c>
      <c r="F354" s="6">
        <f t="shared" si="65"/>
        <v>-0.16494999999999926</v>
      </c>
      <c r="G354" s="6">
        <f t="shared" si="66"/>
        <v>-2.0371616823410908E-2</v>
      </c>
      <c r="H354" s="6" t="str">
        <f t="shared" si="67"/>
        <v>🔴 Under-injection</v>
      </c>
      <c r="I354" s="6">
        <f t="shared" si="68"/>
        <v>0.16494999999999926</v>
      </c>
      <c r="J354" s="3">
        <v>0.66579999999999995</v>
      </c>
      <c r="K354" s="6">
        <f t="shared" si="69"/>
        <v>1.2145575</v>
      </c>
      <c r="L354" s="6">
        <f t="shared" si="70"/>
        <v>1.61941</v>
      </c>
      <c r="M354" s="6">
        <f t="shared" si="71"/>
        <v>0.16494999999999926</v>
      </c>
      <c r="N354" s="6">
        <f t="shared" si="72"/>
        <v>0</v>
      </c>
      <c r="O354" s="6">
        <f t="shared" si="73"/>
        <v>0</v>
      </c>
      <c r="P354" s="6">
        <f t="shared" si="74"/>
        <v>28.82872387499987</v>
      </c>
      <c r="Q354" s="3">
        <v>28.828723875000005</v>
      </c>
      <c r="R354" s="6">
        <f t="shared" si="75"/>
        <v>-1.3500311979441904E-13</v>
      </c>
      <c r="S354" s="6" t="str">
        <f t="shared" si="76"/>
        <v>OK</v>
      </c>
    </row>
    <row r="355" spans="1:19" x14ac:dyDescent="0.25">
      <c r="A355" s="3" t="str">
        <f t="shared" si="77"/>
        <v>07.05.2026</v>
      </c>
      <c r="B355" s="5">
        <v>50</v>
      </c>
      <c r="C355" s="5" t="s">
        <v>68</v>
      </c>
      <c r="D355" s="3">
        <v>8.0970499999999994</v>
      </c>
      <c r="E355" s="3">
        <v>7.9321000000000002</v>
      </c>
      <c r="F355" s="6">
        <f t="shared" si="65"/>
        <v>-0.16494999999999926</v>
      </c>
      <c r="G355" s="6">
        <f t="shared" si="66"/>
        <v>-2.0371616823410908E-2</v>
      </c>
      <c r="H355" s="6" t="str">
        <f t="shared" si="67"/>
        <v>🔴 Under-injection</v>
      </c>
      <c r="I355" s="6">
        <f t="shared" si="68"/>
        <v>0.16494999999999926</v>
      </c>
      <c r="J355" s="3">
        <v>0.56069999999999998</v>
      </c>
      <c r="K355" s="6">
        <f t="shared" si="69"/>
        <v>1.2145575</v>
      </c>
      <c r="L355" s="6">
        <f t="shared" si="70"/>
        <v>1.61941</v>
      </c>
      <c r="M355" s="6">
        <f t="shared" si="71"/>
        <v>0.16494999999999926</v>
      </c>
      <c r="N355" s="6">
        <f t="shared" si="72"/>
        <v>0</v>
      </c>
      <c r="O355" s="6">
        <f t="shared" si="73"/>
        <v>0</v>
      </c>
      <c r="P355" s="6">
        <f t="shared" si="74"/>
        <v>24.277959562499891</v>
      </c>
      <c r="Q355" s="3">
        <v>24.277959562500005</v>
      </c>
      <c r="R355" s="6">
        <f t="shared" si="75"/>
        <v>-1.1368683772161603E-13</v>
      </c>
      <c r="S355" s="6" t="str">
        <f t="shared" si="76"/>
        <v>OK</v>
      </c>
    </row>
    <row r="356" spans="1:19" x14ac:dyDescent="0.25">
      <c r="A356" s="3" t="str">
        <f t="shared" si="77"/>
        <v>07.05.2026</v>
      </c>
      <c r="B356" s="5">
        <v>51</v>
      </c>
      <c r="C356" s="5" t="s">
        <v>67</v>
      </c>
      <c r="D356" s="3">
        <v>8.0970499999999994</v>
      </c>
      <c r="E356" s="3">
        <v>7.9321000000000002</v>
      </c>
      <c r="F356" s="6">
        <f t="shared" si="65"/>
        <v>-0.16494999999999926</v>
      </c>
      <c r="G356" s="6">
        <f t="shared" si="66"/>
        <v>-2.0371616823410908E-2</v>
      </c>
      <c r="H356" s="6" t="str">
        <f t="shared" si="67"/>
        <v>🔴 Under-injection</v>
      </c>
      <c r="I356" s="6">
        <f t="shared" si="68"/>
        <v>0.16494999999999926</v>
      </c>
      <c r="J356" s="3">
        <v>0.55420000000000003</v>
      </c>
      <c r="K356" s="6">
        <f t="shared" si="69"/>
        <v>1.2145575</v>
      </c>
      <c r="L356" s="6">
        <f t="shared" si="70"/>
        <v>1.61941</v>
      </c>
      <c r="M356" s="6">
        <f t="shared" si="71"/>
        <v>0.16494999999999926</v>
      </c>
      <c r="N356" s="6">
        <f t="shared" si="72"/>
        <v>0</v>
      </c>
      <c r="O356" s="6">
        <f t="shared" si="73"/>
        <v>0</v>
      </c>
      <c r="P356" s="6">
        <f t="shared" si="74"/>
        <v>23.996513624999892</v>
      </c>
      <c r="Q356" s="3">
        <v>23.996513625000002</v>
      </c>
      <c r="R356" s="6">
        <f t="shared" si="75"/>
        <v>-1.1013412404281553E-13</v>
      </c>
      <c r="S356" s="6" t="str">
        <f t="shared" si="76"/>
        <v>OK</v>
      </c>
    </row>
    <row r="357" spans="1:19" x14ac:dyDescent="0.25">
      <c r="A357" s="3" t="str">
        <f t="shared" si="77"/>
        <v>07.05.2026</v>
      </c>
      <c r="B357" s="5">
        <v>52</v>
      </c>
      <c r="C357" s="5" t="s">
        <v>66</v>
      </c>
      <c r="D357" s="3">
        <v>8.0970499999999994</v>
      </c>
      <c r="E357" s="3">
        <v>7.92075</v>
      </c>
      <c r="F357" s="6">
        <f t="shared" si="65"/>
        <v>-0.17629999999999946</v>
      </c>
      <c r="G357" s="6">
        <f t="shared" si="66"/>
        <v>-2.17733619034092E-2</v>
      </c>
      <c r="H357" s="6" t="str">
        <f t="shared" si="67"/>
        <v>🔴 Under-injection</v>
      </c>
      <c r="I357" s="6">
        <f t="shared" si="68"/>
        <v>0.17629999999999946</v>
      </c>
      <c r="J357" s="3">
        <v>0.56100000000000005</v>
      </c>
      <c r="K357" s="6">
        <f t="shared" si="69"/>
        <v>1.2145575</v>
      </c>
      <c r="L357" s="6">
        <f t="shared" si="70"/>
        <v>1.61941</v>
      </c>
      <c r="M357" s="6">
        <f t="shared" si="71"/>
        <v>0.17629999999999946</v>
      </c>
      <c r="N357" s="6">
        <f t="shared" si="72"/>
        <v>0</v>
      </c>
      <c r="O357" s="6">
        <f t="shared" si="73"/>
        <v>0</v>
      </c>
      <c r="P357" s="6">
        <f t="shared" si="74"/>
        <v>25.962378749999925</v>
      </c>
      <c r="Q357" s="3">
        <v>25.962378750000003</v>
      </c>
      <c r="R357" s="6">
        <f t="shared" si="75"/>
        <v>-7.815970093361102E-14</v>
      </c>
      <c r="S357" s="6" t="str">
        <f t="shared" si="76"/>
        <v>OK</v>
      </c>
    </row>
    <row r="358" spans="1:19" x14ac:dyDescent="0.25">
      <c r="A358" s="3" t="str">
        <f t="shared" si="77"/>
        <v>07.05.2026</v>
      </c>
      <c r="B358" s="5">
        <v>53</v>
      </c>
      <c r="C358" s="5" t="s">
        <v>65</v>
      </c>
      <c r="D358" s="3">
        <v>8.0970499999999994</v>
      </c>
      <c r="E358" s="3">
        <v>7.92075</v>
      </c>
      <c r="F358" s="6">
        <f t="shared" si="65"/>
        <v>-0.17629999999999946</v>
      </c>
      <c r="G358" s="6">
        <f t="shared" si="66"/>
        <v>-2.17733619034092E-2</v>
      </c>
      <c r="H358" s="6" t="str">
        <f t="shared" si="67"/>
        <v>🔴 Under-injection</v>
      </c>
      <c r="I358" s="6">
        <f t="shared" si="68"/>
        <v>0.17629999999999946</v>
      </c>
      <c r="J358" s="3">
        <v>0.69790000000000008</v>
      </c>
      <c r="K358" s="6">
        <f t="shared" si="69"/>
        <v>1.2145575</v>
      </c>
      <c r="L358" s="6">
        <f t="shared" si="70"/>
        <v>1.61941</v>
      </c>
      <c r="M358" s="6">
        <f t="shared" si="71"/>
        <v>0.17629999999999946</v>
      </c>
      <c r="N358" s="6">
        <f t="shared" si="72"/>
        <v>0</v>
      </c>
      <c r="O358" s="6">
        <f t="shared" si="73"/>
        <v>0</v>
      </c>
      <c r="P358" s="6">
        <f t="shared" si="74"/>
        <v>32.297939624999906</v>
      </c>
      <c r="Q358" s="3">
        <v>32.297939625000005</v>
      </c>
      <c r="R358" s="6">
        <f t="shared" si="75"/>
        <v>-9.9475983006414026E-14</v>
      </c>
      <c r="S358" s="6" t="str">
        <f t="shared" si="76"/>
        <v>OK</v>
      </c>
    </row>
    <row r="359" spans="1:19" x14ac:dyDescent="0.25">
      <c r="A359" s="3" t="str">
        <f t="shared" si="77"/>
        <v>07.05.2026</v>
      </c>
      <c r="B359" s="5">
        <v>54</v>
      </c>
      <c r="C359" s="5" t="s">
        <v>64</v>
      </c>
      <c r="D359" s="3">
        <v>8.0970499999999994</v>
      </c>
      <c r="E359" s="3">
        <v>7.92075</v>
      </c>
      <c r="F359" s="6">
        <f t="shared" si="65"/>
        <v>-0.17629999999999946</v>
      </c>
      <c r="G359" s="6">
        <f t="shared" si="66"/>
        <v>-2.17733619034092E-2</v>
      </c>
      <c r="H359" s="6" t="str">
        <f t="shared" si="67"/>
        <v>🔴 Under-injection</v>
      </c>
      <c r="I359" s="6">
        <f t="shared" si="68"/>
        <v>0.17629999999999946</v>
      </c>
      <c r="J359" s="3">
        <v>0.69889999999999997</v>
      </c>
      <c r="K359" s="6">
        <f t="shared" si="69"/>
        <v>1.2145575</v>
      </c>
      <c r="L359" s="6">
        <f t="shared" si="70"/>
        <v>1.61941</v>
      </c>
      <c r="M359" s="6">
        <f t="shared" si="71"/>
        <v>0.17629999999999946</v>
      </c>
      <c r="N359" s="6">
        <f t="shared" si="72"/>
        <v>0</v>
      </c>
      <c r="O359" s="6">
        <f t="shared" si="73"/>
        <v>0</v>
      </c>
      <c r="P359" s="6">
        <f t="shared" si="74"/>
        <v>32.344218374999897</v>
      </c>
      <c r="Q359" s="3">
        <v>32.344218375000004</v>
      </c>
      <c r="R359" s="6">
        <f t="shared" si="75"/>
        <v>-1.0658141036401503E-13</v>
      </c>
      <c r="S359" s="6" t="str">
        <f t="shared" si="76"/>
        <v>OK</v>
      </c>
    </row>
    <row r="360" spans="1:19" x14ac:dyDescent="0.25">
      <c r="A360" s="3" t="str">
        <f t="shared" si="77"/>
        <v>07.05.2026</v>
      </c>
      <c r="B360" s="5">
        <v>55</v>
      </c>
      <c r="C360" s="5" t="s">
        <v>63</v>
      </c>
      <c r="D360" s="3">
        <v>8.0970499999999994</v>
      </c>
      <c r="E360" s="3">
        <v>7.92075</v>
      </c>
      <c r="F360" s="6">
        <f t="shared" si="65"/>
        <v>-0.17629999999999946</v>
      </c>
      <c r="G360" s="6">
        <f t="shared" si="66"/>
        <v>-2.17733619034092E-2</v>
      </c>
      <c r="H360" s="6" t="str">
        <f t="shared" si="67"/>
        <v>🔴 Under-injection</v>
      </c>
      <c r="I360" s="6">
        <f t="shared" si="68"/>
        <v>0.17629999999999946</v>
      </c>
      <c r="J360" s="3">
        <v>0.7659999999999999</v>
      </c>
      <c r="K360" s="6">
        <f t="shared" si="69"/>
        <v>1.2145575</v>
      </c>
      <c r="L360" s="6">
        <f t="shared" si="70"/>
        <v>1.61941</v>
      </c>
      <c r="M360" s="6">
        <f t="shared" si="71"/>
        <v>0.17629999999999946</v>
      </c>
      <c r="N360" s="6">
        <f t="shared" si="72"/>
        <v>0</v>
      </c>
      <c r="O360" s="6">
        <f t="shared" si="73"/>
        <v>0</v>
      </c>
      <c r="P360" s="6">
        <f t="shared" si="74"/>
        <v>35.449522499999894</v>
      </c>
      <c r="Q360" s="3">
        <v>35.4495225</v>
      </c>
      <c r="R360" s="6">
        <f t="shared" si="75"/>
        <v>-1.0658141036401503E-13</v>
      </c>
      <c r="S360" s="6" t="str">
        <f t="shared" si="76"/>
        <v>OK</v>
      </c>
    </row>
    <row r="361" spans="1:19" x14ac:dyDescent="0.25">
      <c r="A361" s="3" t="str">
        <f t="shared" si="77"/>
        <v>07.05.2026</v>
      </c>
      <c r="B361" s="5">
        <v>56</v>
      </c>
      <c r="C361" s="5" t="s">
        <v>62</v>
      </c>
      <c r="D361" s="3">
        <v>8.0970499999999994</v>
      </c>
      <c r="E361" s="3">
        <v>7.9321000000000002</v>
      </c>
      <c r="F361" s="6">
        <f t="shared" si="65"/>
        <v>-0.16494999999999926</v>
      </c>
      <c r="G361" s="6">
        <f t="shared" si="66"/>
        <v>-2.0371616823410908E-2</v>
      </c>
      <c r="H361" s="6" t="str">
        <f t="shared" si="67"/>
        <v>🔴 Under-injection</v>
      </c>
      <c r="I361" s="6">
        <f t="shared" si="68"/>
        <v>0.16494999999999926</v>
      </c>
      <c r="J361" s="3">
        <v>0.8226</v>
      </c>
      <c r="K361" s="6">
        <f t="shared" si="69"/>
        <v>1.2145575</v>
      </c>
      <c r="L361" s="6">
        <f t="shared" si="70"/>
        <v>1.61941</v>
      </c>
      <c r="M361" s="6">
        <f t="shared" si="71"/>
        <v>0.16494999999999926</v>
      </c>
      <c r="N361" s="6">
        <f t="shared" si="72"/>
        <v>0</v>
      </c>
      <c r="O361" s="6">
        <f t="shared" si="73"/>
        <v>0</v>
      </c>
      <c r="P361" s="6">
        <f t="shared" si="74"/>
        <v>35.618065874999843</v>
      </c>
      <c r="Q361" s="3">
        <v>35.618065874999999</v>
      </c>
      <c r="R361" s="6">
        <f t="shared" si="75"/>
        <v>-1.5631940186722204E-13</v>
      </c>
      <c r="S361" s="6" t="str">
        <f t="shared" si="76"/>
        <v>OK</v>
      </c>
    </row>
    <row r="362" spans="1:19" x14ac:dyDescent="0.25">
      <c r="A362" s="3" t="str">
        <f t="shared" si="77"/>
        <v>07.05.2026</v>
      </c>
      <c r="B362" s="5">
        <v>57</v>
      </c>
      <c r="C362" s="5" t="s">
        <v>61</v>
      </c>
      <c r="D362" s="3">
        <v>8.0970499999999994</v>
      </c>
      <c r="E362" s="3">
        <v>7.9321000000000002</v>
      </c>
      <c r="F362" s="6">
        <f t="shared" si="65"/>
        <v>-0.16494999999999926</v>
      </c>
      <c r="G362" s="6">
        <f t="shared" si="66"/>
        <v>-2.0371616823410908E-2</v>
      </c>
      <c r="H362" s="6" t="str">
        <f t="shared" si="67"/>
        <v>🔴 Under-injection</v>
      </c>
      <c r="I362" s="6">
        <f t="shared" si="68"/>
        <v>0.16494999999999926</v>
      </c>
      <c r="J362" s="3">
        <v>1.0806</v>
      </c>
      <c r="K362" s="6">
        <f t="shared" si="69"/>
        <v>1.2145575</v>
      </c>
      <c r="L362" s="6">
        <f t="shared" si="70"/>
        <v>1.61941</v>
      </c>
      <c r="M362" s="6">
        <f t="shared" si="71"/>
        <v>0.16494999999999926</v>
      </c>
      <c r="N362" s="6">
        <f t="shared" si="72"/>
        <v>0</v>
      </c>
      <c r="O362" s="6">
        <f t="shared" si="73"/>
        <v>0</v>
      </c>
      <c r="P362" s="6">
        <f t="shared" si="74"/>
        <v>46.789304624999794</v>
      </c>
      <c r="Q362" s="3">
        <v>46.789304625000007</v>
      </c>
      <c r="R362" s="6">
        <f t="shared" si="75"/>
        <v>-2.1316282072803006E-13</v>
      </c>
      <c r="S362" s="6" t="str">
        <f t="shared" si="76"/>
        <v>OK</v>
      </c>
    </row>
    <row r="363" spans="1:19" x14ac:dyDescent="0.25">
      <c r="A363" s="3" t="str">
        <f t="shared" si="77"/>
        <v>07.05.2026</v>
      </c>
      <c r="B363" s="5">
        <v>58</v>
      </c>
      <c r="C363" s="5" t="s">
        <v>60</v>
      </c>
      <c r="D363" s="3">
        <v>8.0970499999999994</v>
      </c>
      <c r="E363" s="3">
        <v>7.92075</v>
      </c>
      <c r="F363" s="6">
        <f t="shared" si="65"/>
        <v>-0.17629999999999946</v>
      </c>
      <c r="G363" s="6">
        <f t="shared" si="66"/>
        <v>-2.17733619034092E-2</v>
      </c>
      <c r="H363" s="6" t="str">
        <f t="shared" si="67"/>
        <v>🔴 Under-injection</v>
      </c>
      <c r="I363" s="6">
        <f t="shared" si="68"/>
        <v>0.17629999999999946</v>
      </c>
      <c r="J363" s="3">
        <v>1.0824</v>
      </c>
      <c r="K363" s="6">
        <f t="shared" si="69"/>
        <v>1.2145575</v>
      </c>
      <c r="L363" s="6">
        <f t="shared" si="70"/>
        <v>1.61941</v>
      </c>
      <c r="M363" s="6">
        <f t="shared" si="71"/>
        <v>0.17629999999999946</v>
      </c>
      <c r="N363" s="6">
        <f t="shared" si="72"/>
        <v>0</v>
      </c>
      <c r="O363" s="6">
        <f t="shared" si="73"/>
        <v>0</v>
      </c>
      <c r="P363" s="6">
        <f t="shared" si="74"/>
        <v>50.092118999999855</v>
      </c>
      <c r="Q363" s="3">
        <v>50.092119000000004</v>
      </c>
      <c r="R363" s="6">
        <f t="shared" si="75"/>
        <v>-1.4921397450962104E-13</v>
      </c>
      <c r="S363" s="6" t="str">
        <f t="shared" si="76"/>
        <v>OK</v>
      </c>
    </row>
    <row r="364" spans="1:19" x14ac:dyDescent="0.25">
      <c r="A364" s="3" t="str">
        <f t="shared" si="77"/>
        <v>07.05.2026</v>
      </c>
      <c r="B364" s="5">
        <v>59</v>
      </c>
      <c r="C364" s="5" t="s">
        <v>59</v>
      </c>
      <c r="D364" s="3">
        <v>8.0970499999999994</v>
      </c>
      <c r="E364" s="3">
        <v>7.92075</v>
      </c>
      <c r="F364" s="6">
        <f t="shared" si="65"/>
        <v>-0.17629999999999946</v>
      </c>
      <c r="G364" s="6">
        <f t="shared" si="66"/>
        <v>-2.17733619034092E-2</v>
      </c>
      <c r="H364" s="6" t="str">
        <f t="shared" si="67"/>
        <v>🔴 Under-injection</v>
      </c>
      <c r="I364" s="6">
        <f t="shared" si="68"/>
        <v>0.17629999999999946</v>
      </c>
      <c r="J364" s="3">
        <v>1.5402</v>
      </c>
      <c r="K364" s="6">
        <f t="shared" si="69"/>
        <v>1.2145575</v>
      </c>
      <c r="L364" s="6">
        <f t="shared" si="70"/>
        <v>1.61941</v>
      </c>
      <c r="M364" s="6">
        <f t="shared" si="71"/>
        <v>0.17629999999999946</v>
      </c>
      <c r="N364" s="6">
        <f t="shared" si="72"/>
        <v>0</v>
      </c>
      <c r="O364" s="6">
        <f t="shared" si="73"/>
        <v>0</v>
      </c>
      <c r="P364" s="6">
        <f t="shared" si="74"/>
        <v>71.278530749999788</v>
      </c>
      <c r="Q364" s="3">
        <v>71.278530750000016</v>
      </c>
      <c r="R364" s="6">
        <f t="shared" si="75"/>
        <v>-2.2737367544323206E-13</v>
      </c>
      <c r="S364" s="6" t="str">
        <f t="shared" si="76"/>
        <v>OK</v>
      </c>
    </row>
    <row r="365" spans="1:19" x14ac:dyDescent="0.25">
      <c r="A365" s="3" t="str">
        <f t="shared" si="77"/>
        <v>07.05.2026</v>
      </c>
      <c r="B365" s="5">
        <v>60</v>
      </c>
      <c r="C365" s="5" t="s">
        <v>58</v>
      </c>
      <c r="D365" s="3">
        <v>8.0970499999999994</v>
      </c>
      <c r="E365" s="3">
        <v>7.9321000000000002</v>
      </c>
      <c r="F365" s="6">
        <f t="shared" si="65"/>
        <v>-0.16494999999999926</v>
      </c>
      <c r="G365" s="6">
        <f t="shared" si="66"/>
        <v>-2.0371616823410908E-2</v>
      </c>
      <c r="H365" s="6" t="str">
        <f t="shared" si="67"/>
        <v>🔴 Under-injection</v>
      </c>
      <c r="I365" s="6">
        <f t="shared" si="68"/>
        <v>0.16494999999999926</v>
      </c>
      <c r="J365" s="3">
        <v>1.6383000000000001</v>
      </c>
      <c r="K365" s="6">
        <f t="shared" si="69"/>
        <v>1.2145575</v>
      </c>
      <c r="L365" s="6">
        <f t="shared" si="70"/>
        <v>1.61941</v>
      </c>
      <c r="M365" s="6">
        <f t="shared" si="71"/>
        <v>0.16494999999999926</v>
      </c>
      <c r="N365" s="6">
        <f t="shared" si="72"/>
        <v>0</v>
      </c>
      <c r="O365" s="6">
        <f t="shared" si="73"/>
        <v>0</v>
      </c>
      <c r="P365" s="6">
        <f t="shared" si="74"/>
        <v>70.937366062499692</v>
      </c>
      <c r="Q365" s="3">
        <v>70.937366062500018</v>
      </c>
      <c r="R365" s="6">
        <f t="shared" si="75"/>
        <v>-3.2684965844964609E-13</v>
      </c>
      <c r="S365" s="6" t="str">
        <f t="shared" si="76"/>
        <v>OK</v>
      </c>
    </row>
    <row r="366" spans="1:19" x14ac:dyDescent="0.25">
      <c r="A366" s="3" t="str">
        <f t="shared" si="77"/>
        <v>07.05.2026</v>
      </c>
      <c r="B366" s="5">
        <v>61</v>
      </c>
      <c r="C366" s="5" t="s">
        <v>57</v>
      </c>
      <c r="D366" s="3">
        <v>8.0970499999999994</v>
      </c>
      <c r="E366" s="3">
        <v>7.9321000000000002</v>
      </c>
      <c r="F366" s="6">
        <f t="shared" si="65"/>
        <v>-0.16494999999999926</v>
      </c>
      <c r="G366" s="6">
        <f t="shared" si="66"/>
        <v>-2.0371616823410908E-2</v>
      </c>
      <c r="H366" s="6" t="str">
        <f t="shared" si="67"/>
        <v>🔴 Under-injection</v>
      </c>
      <c r="I366" s="6">
        <f t="shared" si="68"/>
        <v>0.16494999999999926</v>
      </c>
      <c r="J366" s="3">
        <v>2.0284</v>
      </c>
      <c r="K366" s="6">
        <f t="shared" si="69"/>
        <v>1.2145575</v>
      </c>
      <c r="L366" s="6">
        <f t="shared" si="70"/>
        <v>1.61941</v>
      </c>
      <c r="M366" s="6">
        <f t="shared" si="71"/>
        <v>0.16494999999999926</v>
      </c>
      <c r="N366" s="6">
        <f t="shared" si="72"/>
        <v>0</v>
      </c>
      <c r="O366" s="6">
        <f t="shared" si="73"/>
        <v>0</v>
      </c>
      <c r="P366" s="6">
        <f t="shared" si="74"/>
        <v>87.8284522499996</v>
      </c>
      <c r="Q366" s="3">
        <v>87.828452250000012</v>
      </c>
      <c r="R366" s="6">
        <f t="shared" si="75"/>
        <v>-4.1211478674085811E-13</v>
      </c>
      <c r="S366" s="6" t="str">
        <f t="shared" si="76"/>
        <v>OK</v>
      </c>
    </row>
    <row r="367" spans="1:19" x14ac:dyDescent="0.25">
      <c r="A367" s="3" t="str">
        <f t="shared" si="77"/>
        <v>07.05.2026</v>
      </c>
      <c r="B367" s="5">
        <v>62</v>
      </c>
      <c r="C367" s="5" t="s">
        <v>56</v>
      </c>
      <c r="D367" s="3">
        <v>8.0970499999999994</v>
      </c>
      <c r="E367" s="3">
        <v>7.9321000000000002</v>
      </c>
      <c r="F367" s="6">
        <f t="shared" si="65"/>
        <v>-0.16494999999999926</v>
      </c>
      <c r="G367" s="6">
        <f t="shared" si="66"/>
        <v>-2.0371616823410908E-2</v>
      </c>
      <c r="H367" s="6" t="str">
        <f t="shared" si="67"/>
        <v>🔴 Under-injection</v>
      </c>
      <c r="I367" s="6">
        <f t="shared" si="68"/>
        <v>0.16494999999999926</v>
      </c>
      <c r="J367" s="3">
        <v>2.1269</v>
      </c>
      <c r="K367" s="6">
        <f t="shared" si="69"/>
        <v>1.2145575</v>
      </c>
      <c r="L367" s="6">
        <f t="shared" si="70"/>
        <v>1.61941</v>
      </c>
      <c r="M367" s="6">
        <f t="shared" si="71"/>
        <v>0.16494999999999926</v>
      </c>
      <c r="N367" s="6">
        <f t="shared" si="72"/>
        <v>0</v>
      </c>
      <c r="O367" s="6">
        <f t="shared" si="73"/>
        <v>0</v>
      </c>
      <c r="P367" s="6">
        <f t="shared" si="74"/>
        <v>92.09344068749958</v>
      </c>
      <c r="Q367" s="3">
        <v>92.093440687500021</v>
      </c>
      <c r="R367" s="6">
        <f t="shared" si="75"/>
        <v>-4.4053649617126212E-13</v>
      </c>
      <c r="S367" s="6" t="str">
        <f t="shared" si="76"/>
        <v>OK</v>
      </c>
    </row>
    <row r="368" spans="1:19" x14ac:dyDescent="0.25">
      <c r="A368" s="3" t="str">
        <f t="shared" si="77"/>
        <v>07.05.2026</v>
      </c>
      <c r="B368" s="5">
        <v>63</v>
      </c>
      <c r="C368" s="5" t="s">
        <v>55</v>
      </c>
      <c r="D368" s="3">
        <v>8.0970499999999994</v>
      </c>
      <c r="E368" s="3">
        <v>7.9321000000000002</v>
      </c>
      <c r="F368" s="6">
        <f t="shared" si="65"/>
        <v>-0.16494999999999926</v>
      </c>
      <c r="G368" s="6">
        <f t="shared" si="66"/>
        <v>-2.0371616823410908E-2</v>
      </c>
      <c r="H368" s="6" t="str">
        <f t="shared" si="67"/>
        <v>🔴 Under-injection</v>
      </c>
      <c r="I368" s="6">
        <f t="shared" si="68"/>
        <v>0.16494999999999926</v>
      </c>
      <c r="J368" s="3">
        <v>2.2315</v>
      </c>
      <c r="K368" s="6">
        <f t="shared" si="69"/>
        <v>1.2145575</v>
      </c>
      <c r="L368" s="6">
        <f t="shared" si="70"/>
        <v>1.61941</v>
      </c>
      <c r="M368" s="6">
        <f t="shared" si="71"/>
        <v>0.16494999999999926</v>
      </c>
      <c r="N368" s="6">
        <f t="shared" si="72"/>
        <v>0</v>
      </c>
      <c r="O368" s="6">
        <f t="shared" si="73"/>
        <v>0</v>
      </c>
      <c r="P368" s="6">
        <f t="shared" si="74"/>
        <v>96.622555312499571</v>
      </c>
      <c r="Q368" s="3">
        <v>96.622555312500012</v>
      </c>
      <c r="R368" s="6">
        <f t="shared" si="75"/>
        <v>-4.4053649617126212E-13</v>
      </c>
      <c r="S368" s="6" t="str">
        <f t="shared" si="76"/>
        <v>OK</v>
      </c>
    </row>
    <row r="369" spans="1:19" x14ac:dyDescent="0.25">
      <c r="A369" s="3" t="str">
        <f t="shared" si="77"/>
        <v>07.05.2026</v>
      </c>
      <c r="B369" s="5">
        <v>64</v>
      </c>
      <c r="C369" s="5" t="s">
        <v>54</v>
      </c>
      <c r="D369" s="3">
        <v>8.0970499999999994</v>
      </c>
      <c r="E369" s="3">
        <v>7.92075</v>
      </c>
      <c r="F369" s="6">
        <f t="shared" si="65"/>
        <v>-0.17629999999999946</v>
      </c>
      <c r="G369" s="6">
        <f t="shared" si="66"/>
        <v>-2.17733619034092E-2</v>
      </c>
      <c r="H369" s="6" t="str">
        <f t="shared" si="67"/>
        <v>🔴 Under-injection</v>
      </c>
      <c r="I369" s="6">
        <f t="shared" si="68"/>
        <v>0.17629999999999946</v>
      </c>
      <c r="J369" s="3">
        <v>2.3582000000000001</v>
      </c>
      <c r="K369" s="6">
        <f t="shared" si="69"/>
        <v>1.2145575</v>
      </c>
      <c r="L369" s="6">
        <f t="shared" si="70"/>
        <v>1.61941</v>
      </c>
      <c r="M369" s="6">
        <f t="shared" si="71"/>
        <v>0.17629999999999946</v>
      </c>
      <c r="N369" s="6">
        <f t="shared" si="72"/>
        <v>0</v>
      </c>
      <c r="O369" s="6">
        <f t="shared" si="73"/>
        <v>0</v>
      </c>
      <c r="P369" s="6">
        <f t="shared" si="74"/>
        <v>109.13454824999967</v>
      </c>
      <c r="Q369" s="3">
        <v>109.13454825000002</v>
      </c>
      <c r="R369" s="6">
        <f t="shared" si="75"/>
        <v>-3.5527136788005009E-13</v>
      </c>
      <c r="S369" s="6" t="str">
        <f t="shared" si="76"/>
        <v>OK</v>
      </c>
    </row>
    <row r="370" spans="1:19" x14ac:dyDescent="0.25">
      <c r="A370" s="3" t="str">
        <f t="shared" si="77"/>
        <v>07.05.2026</v>
      </c>
      <c r="B370" s="5">
        <v>65</v>
      </c>
      <c r="C370" s="5" t="s">
        <v>53</v>
      </c>
      <c r="D370" s="3">
        <v>7.7970499999999996</v>
      </c>
      <c r="E370" s="3">
        <v>7.7278399999999996</v>
      </c>
      <c r="F370" s="6">
        <f t="shared" si="65"/>
        <v>-6.9209999999999994E-2</v>
      </c>
      <c r="G370" s="6">
        <f t="shared" si="66"/>
        <v>-8.8764340359494941E-3</v>
      </c>
      <c r="H370" s="6" t="str">
        <f t="shared" si="67"/>
        <v>🔴 Under-injection</v>
      </c>
      <c r="I370" s="6">
        <f t="shared" si="68"/>
        <v>6.9209999999999994E-2</v>
      </c>
      <c r="J370" s="3">
        <v>2.4056000000000002</v>
      </c>
      <c r="K370" s="6">
        <f t="shared" si="69"/>
        <v>1.1695574999999998</v>
      </c>
      <c r="L370" s="6">
        <f t="shared" si="70"/>
        <v>1.55941</v>
      </c>
      <c r="M370" s="6">
        <f t="shared" si="71"/>
        <v>6.9209999999999994E-2</v>
      </c>
      <c r="N370" s="6">
        <f t="shared" si="72"/>
        <v>0</v>
      </c>
      <c r="O370" s="6">
        <f t="shared" si="73"/>
        <v>0</v>
      </c>
      <c r="P370" s="6">
        <f t="shared" si="74"/>
        <v>43.704038700000005</v>
      </c>
      <c r="Q370" s="3">
        <v>43.704038700000005</v>
      </c>
      <c r="R370" s="6">
        <f t="shared" si="75"/>
        <v>0</v>
      </c>
      <c r="S370" s="6" t="str">
        <f t="shared" si="76"/>
        <v>OK</v>
      </c>
    </row>
    <row r="371" spans="1:19" x14ac:dyDescent="0.25">
      <c r="A371" s="3" t="str">
        <f t="shared" si="77"/>
        <v>07.05.2026</v>
      </c>
      <c r="B371" s="5">
        <v>66</v>
      </c>
      <c r="C371" s="5" t="s">
        <v>52</v>
      </c>
      <c r="D371" s="3">
        <v>7.7970499999999996</v>
      </c>
      <c r="E371" s="3">
        <v>7.6484100000000002</v>
      </c>
      <c r="F371" s="6">
        <f t="shared" si="65"/>
        <v>-0.14863999999999944</v>
      </c>
      <c r="G371" s="6">
        <f t="shared" si="66"/>
        <v>-1.9063620215337782E-2</v>
      </c>
      <c r="H371" s="6" t="str">
        <f t="shared" si="67"/>
        <v>🔴 Under-injection</v>
      </c>
      <c r="I371" s="6">
        <f t="shared" si="68"/>
        <v>0.14863999999999944</v>
      </c>
      <c r="J371" s="3">
        <v>2.4355000000000002</v>
      </c>
      <c r="K371" s="6">
        <f t="shared" si="69"/>
        <v>1.1695574999999998</v>
      </c>
      <c r="L371" s="6">
        <f t="shared" si="70"/>
        <v>1.55941</v>
      </c>
      <c r="M371" s="6">
        <f t="shared" si="71"/>
        <v>0.14863999999999944</v>
      </c>
      <c r="N371" s="6">
        <f t="shared" si="72"/>
        <v>0</v>
      </c>
      <c r="O371" s="6">
        <f t="shared" si="73"/>
        <v>0</v>
      </c>
      <c r="P371" s="6">
        <f t="shared" si="74"/>
        <v>95.028338999999647</v>
      </c>
      <c r="Q371" s="3">
        <v>95.028339000000003</v>
      </c>
      <c r="R371" s="6">
        <f t="shared" si="75"/>
        <v>-3.5527136788005009E-13</v>
      </c>
      <c r="S371" s="6" t="str">
        <f t="shared" si="76"/>
        <v>OK</v>
      </c>
    </row>
    <row r="372" spans="1:19" x14ac:dyDescent="0.25">
      <c r="A372" s="3" t="str">
        <f t="shared" si="77"/>
        <v>07.05.2026</v>
      </c>
      <c r="B372" s="5">
        <v>67</v>
      </c>
      <c r="C372" s="5" t="s">
        <v>51</v>
      </c>
      <c r="D372" s="3">
        <v>7.7970499999999996</v>
      </c>
      <c r="E372" s="3">
        <v>7.6484100000000002</v>
      </c>
      <c r="F372" s="6">
        <f t="shared" si="65"/>
        <v>-0.14863999999999944</v>
      </c>
      <c r="G372" s="6">
        <f t="shared" si="66"/>
        <v>-1.9063620215337782E-2</v>
      </c>
      <c r="H372" s="6" t="str">
        <f t="shared" si="67"/>
        <v>🔴 Under-injection</v>
      </c>
      <c r="I372" s="6">
        <f t="shared" si="68"/>
        <v>0.14863999999999944</v>
      </c>
      <c r="J372" s="3">
        <v>2.5007999999999999</v>
      </c>
      <c r="K372" s="6">
        <f t="shared" si="69"/>
        <v>1.1695574999999998</v>
      </c>
      <c r="L372" s="6">
        <f t="shared" si="70"/>
        <v>1.55941</v>
      </c>
      <c r="M372" s="6">
        <f t="shared" si="71"/>
        <v>0.14863999999999944</v>
      </c>
      <c r="N372" s="6">
        <f t="shared" si="72"/>
        <v>0</v>
      </c>
      <c r="O372" s="6">
        <f t="shared" si="73"/>
        <v>0</v>
      </c>
      <c r="P372" s="6">
        <f t="shared" si="74"/>
        <v>97.576214399999628</v>
      </c>
      <c r="Q372" s="3">
        <v>97.576214399999998</v>
      </c>
      <c r="R372" s="6">
        <f t="shared" si="75"/>
        <v>-3.694822225952521E-13</v>
      </c>
      <c r="S372" s="6" t="str">
        <f t="shared" si="76"/>
        <v>OK</v>
      </c>
    </row>
    <row r="373" spans="1:19" x14ac:dyDescent="0.25">
      <c r="A373" s="3" t="str">
        <f t="shared" si="77"/>
        <v>07.05.2026</v>
      </c>
      <c r="B373" s="5">
        <v>68</v>
      </c>
      <c r="C373" s="5" t="s">
        <v>50</v>
      </c>
      <c r="D373" s="3">
        <v>7.7970499999999996</v>
      </c>
      <c r="E373" s="3">
        <v>7.6484100000000002</v>
      </c>
      <c r="F373" s="6">
        <f t="shared" si="65"/>
        <v>-0.14863999999999944</v>
      </c>
      <c r="G373" s="6">
        <f t="shared" si="66"/>
        <v>-1.9063620215337782E-2</v>
      </c>
      <c r="H373" s="6" t="str">
        <f t="shared" si="67"/>
        <v>🔴 Under-injection</v>
      </c>
      <c r="I373" s="6">
        <f t="shared" si="68"/>
        <v>0.14863999999999944</v>
      </c>
      <c r="J373" s="3">
        <v>2.6079000000000003</v>
      </c>
      <c r="K373" s="6">
        <f t="shared" si="69"/>
        <v>1.1695574999999998</v>
      </c>
      <c r="L373" s="6">
        <f t="shared" si="70"/>
        <v>1.55941</v>
      </c>
      <c r="M373" s="6">
        <f t="shared" si="71"/>
        <v>0.14863999999999944</v>
      </c>
      <c r="N373" s="6">
        <f t="shared" si="72"/>
        <v>0</v>
      </c>
      <c r="O373" s="6">
        <f t="shared" si="73"/>
        <v>0</v>
      </c>
      <c r="P373" s="6">
        <f t="shared" si="74"/>
        <v>101.75504219999964</v>
      </c>
      <c r="Q373" s="3">
        <v>101.75504220000001</v>
      </c>
      <c r="R373" s="6">
        <f t="shared" si="75"/>
        <v>-3.694822225952521E-13</v>
      </c>
      <c r="S373" s="6" t="str">
        <f t="shared" si="76"/>
        <v>OK</v>
      </c>
    </row>
    <row r="374" spans="1:19" x14ac:dyDescent="0.25">
      <c r="A374" s="3" t="str">
        <f t="shared" si="77"/>
        <v>07.05.2026</v>
      </c>
      <c r="B374" s="5">
        <v>69</v>
      </c>
      <c r="C374" s="5" t="s">
        <v>49</v>
      </c>
      <c r="D374" s="3">
        <v>7.7970499999999996</v>
      </c>
      <c r="E374" s="3">
        <v>7.6484100000000002</v>
      </c>
      <c r="F374" s="6">
        <f t="shared" si="65"/>
        <v>-0.14863999999999944</v>
      </c>
      <c r="G374" s="6">
        <f t="shared" si="66"/>
        <v>-1.9063620215337782E-2</v>
      </c>
      <c r="H374" s="6" t="str">
        <f t="shared" si="67"/>
        <v>🔴 Under-injection</v>
      </c>
      <c r="I374" s="6">
        <f t="shared" si="68"/>
        <v>0.14863999999999944</v>
      </c>
      <c r="J374" s="3">
        <v>2.5162</v>
      </c>
      <c r="K374" s="6">
        <f t="shared" si="69"/>
        <v>1.1695574999999998</v>
      </c>
      <c r="L374" s="6">
        <f t="shared" si="70"/>
        <v>1.55941</v>
      </c>
      <c r="M374" s="6">
        <f t="shared" si="71"/>
        <v>0.14863999999999944</v>
      </c>
      <c r="N374" s="6">
        <f t="shared" si="72"/>
        <v>0</v>
      </c>
      <c r="O374" s="6">
        <f t="shared" si="73"/>
        <v>0</v>
      </c>
      <c r="P374" s="6">
        <f t="shared" si="74"/>
        <v>98.177091599999628</v>
      </c>
      <c r="Q374" s="3">
        <v>98.177091599999983</v>
      </c>
      <c r="R374" s="6">
        <f t="shared" si="75"/>
        <v>-3.5527136788005009E-13</v>
      </c>
      <c r="S374" s="6" t="str">
        <f t="shared" si="76"/>
        <v>OK</v>
      </c>
    </row>
    <row r="375" spans="1:19" x14ac:dyDescent="0.25">
      <c r="A375" s="3" t="str">
        <f t="shared" si="77"/>
        <v>07.05.2026</v>
      </c>
      <c r="B375" s="5">
        <v>70</v>
      </c>
      <c r="C375" s="5" t="s">
        <v>48</v>
      </c>
      <c r="D375" s="3">
        <v>7.7970499999999996</v>
      </c>
      <c r="E375" s="3">
        <v>7.6484100000000002</v>
      </c>
      <c r="F375" s="6">
        <f t="shared" si="65"/>
        <v>-0.14863999999999944</v>
      </c>
      <c r="G375" s="6">
        <f t="shared" si="66"/>
        <v>-1.9063620215337782E-2</v>
      </c>
      <c r="H375" s="6" t="str">
        <f t="shared" si="67"/>
        <v>🔴 Under-injection</v>
      </c>
      <c r="I375" s="6">
        <f t="shared" si="68"/>
        <v>0.14863999999999944</v>
      </c>
      <c r="J375" s="3">
        <v>2.8276999999999997</v>
      </c>
      <c r="K375" s="6">
        <f t="shared" si="69"/>
        <v>1.1695574999999998</v>
      </c>
      <c r="L375" s="6">
        <f t="shared" si="70"/>
        <v>1.55941</v>
      </c>
      <c r="M375" s="6">
        <f t="shared" si="71"/>
        <v>0.14863999999999944</v>
      </c>
      <c r="N375" s="6">
        <f t="shared" si="72"/>
        <v>0</v>
      </c>
      <c r="O375" s="6">
        <f t="shared" si="73"/>
        <v>0</v>
      </c>
      <c r="P375" s="6">
        <f t="shared" si="74"/>
        <v>110.33119859999957</v>
      </c>
      <c r="Q375" s="3">
        <v>110.33119859999998</v>
      </c>
      <c r="R375" s="6">
        <f t="shared" si="75"/>
        <v>-4.1211478674085811E-13</v>
      </c>
      <c r="S375" s="6" t="str">
        <f t="shared" si="76"/>
        <v>OK</v>
      </c>
    </row>
    <row r="376" spans="1:19" x14ac:dyDescent="0.25">
      <c r="A376" s="3" t="str">
        <f t="shared" si="77"/>
        <v>07.05.2026</v>
      </c>
      <c r="B376" s="5">
        <v>71</v>
      </c>
      <c r="C376" s="5" t="s">
        <v>47</v>
      </c>
      <c r="D376" s="3">
        <v>7.7970499999999996</v>
      </c>
      <c r="E376" s="3">
        <v>7.6484100000000002</v>
      </c>
      <c r="F376" s="6">
        <f t="shared" si="65"/>
        <v>-0.14863999999999944</v>
      </c>
      <c r="G376" s="6">
        <f t="shared" si="66"/>
        <v>-1.9063620215337782E-2</v>
      </c>
      <c r="H376" s="6" t="str">
        <f t="shared" si="67"/>
        <v>🔴 Under-injection</v>
      </c>
      <c r="I376" s="6">
        <f t="shared" si="68"/>
        <v>0.14863999999999944</v>
      </c>
      <c r="J376" s="3">
        <v>3.1792000000000002</v>
      </c>
      <c r="K376" s="6">
        <f t="shared" si="69"/>
        <v>1.1695574999999998</v>
      </c>
      <c r="L376" s="6">
        <f t="shared" si="70"/>
        <v>1.55941</v>
      </c>
      <c r="M376" s="6">
        <f t="shared" si="71"/>
        <v>0.14863999999999944</v>
      </c>
      <c r="N376" s="6">
        <f t="shared" si="72"/>
        <v>0</v>
      </c>
      <c r="O376" s="6">
        <f t="shared" si="73"/>
        <v>0</v>
      </c>
      <c r="P376" s="6">
        <f t="shared" si="74"/>
        <v>124.04602559999954</v>
      </c>
      <c r="Q376" s="3">
        <v>124.04602559999999</v>
      </c>
      <c r="R376" s="6">
        <f t="shared" si="75"/>
        <v>-4.5474735088646412E-13</v>
      </c>
      <c r="S376" s="6" t="str">
        <f t="shared" si="76"/>
        <v>OK</v>
      </c>
    </row>
    <row r="377" spans="1:19" x14ac:dyDescent="0.25">
      <c r="A377" s="3" t="str">
        <f t="shared" si="77"/>
        <v>07.05.2026</v>
      </c>
      <c r="B377" s="5">
        <v>72</v>
      </c>
      <c r="C377" s="5" t="s">
        <v>46</v>
      </c>
      <c r="D377" s="3">
        <v>7.7970499999999996</v>
      </c>
      <c r="E377" s="3">
        <v>7.6484100000000002</v>
      </c>
      <c r="F377" s="6">
        <f t="shared" si="65"/>
        <v>-0.14863999999999944</v>
      </c>
      <c r="G377" s="6">
        <f t="shared" si="66"/>
        <v>-1.9063620215337782E-2</v>
      </c>
      <c r="H377" s="6" t="str">
        <f t="shared" si="67"/>
        <v>🔴 Under-injection</v>
      </c>
      <c r="I377" s="6">
        <f t="shared" si="68"/>
        <v>0.14863999999999944</v>
      </c>
      <c r="J377" s="3">
        <v>3.2267000000000001</v>
      </c>
      <c r="K377" s="6">
        <f t="shared" si="69"/>
        <v>1.1695574999999998</v>
      </c>
      <c r="L377" s="6">
        <f t="shared" si="70"/>
        <v>1.55941</v>
      </c>
      <c r="M377" s="6">
        <f t="shared" si="71"/>
        <v>0.14863999999999944</v>
      </c>
      <c r="N377" s="6">
        <f t="shared" si="72"/>
        <v>0</v>
      </c>
      <c r="O377" s="6">
        <f t="shared" si="73"/>
        <v>0</v>
      </c>
      <c r="P377" s="6">
        <f t="shared" si="74"/>
        <v>125.89938059999953</v>
      </c>
      <c r="Q377" s="3">
        <v>125.8993806</v>
      </c>
      <c r="R377" s="6">
        <f t="shared" si="75"/>
        <v>-4.6895820560166612E-13</v>
      </c>
      <c r="S377" s="6" t="str">
        <f t="shared" si="76"/>
        <v>OK</v>
      </c>
    </row>
    <row r="378" spans="1:19" x14ac:dyDescent="0.25">
      <c r="A378" s="3" t="str">
        <f t="shared" si="77"/>
        <v>07.05.2026</v>
      </c>
      <c r="B378" s="5">
        <v>73</v>
      </c>
      <c r="C378" s="5" t="s">
        <v>45</v>
      </c>
      <c r="D378" s="3">
        <v>8.0970499999999994</v>
      </c>
      <c r="E378" s="3">
        <v>7.92075</v>
      </c>
      <c r="F378" s="6">
        <f t="shared" si="65"/>
        <v>-0.17629999999999946</v>
      </c>
      <c r="G378" s="6">
        <f t="shared" si="66"/>
        <v>-2.17733619034092E-2</v>
      </c>
      <c r="H378" s="6" t="str">
        <f t="shared" si="67"/>
        <v>🔴 Under-injection</v>
      </c>
      <c r="I378" s="6">
        <f t="shared" si="68"/>
        <v>0.17629999999999946</v>
      </c>
      <c r="J378" s="3">
        <v>3.2458999999999998</v>
      </c>
      <c r="K378" s="6">
        <f t="shared" si="69"/>
        <v>1.2145575</v>
      </c>
      <c r="L378" s="6">
        <f t="shared" si="70"/>
        <v>1.61941</v>
      </c>
      <c r="M378" s="6">
        <f t="shared" si="71"/>
        <v>0.17629999999999946</v>
      </c>
      <c r="N378" s="6">
        <f t="shared" si="72"/>
        <v>0</v>
      </c>
      <c r="O378" s="6">
        <f t="shared" si="73"/>
        <v>0</v>
      </c>
      <c r="P378" s="6">
        <f t="shared" si="74"/>
        <v>150.21619462499956</v>
      </c>
      <c r="Q378" s="3">
        <v>150.21619462500001</v>
      </c>
      <c r="R378" s="6">
        <f t="shared" si="75"/>
        <v>-4.5474735088646412E-13</v>
      </c>
      <c r="S378" s="6" t="str">
        <f t="shared" si="76"/>
        <v>OK</v>
      </c>
    </row>
    <row r="379" spans="1:19" x14ac:dyDescent="0.25">
      <c r="A379" s="3" t="str">
        <f t="shared" si="77"/>
        <v>07.05.2026</v>
      </c>
      <c r="B379" s="5">
        <v>74</v>
      </c>
      <c r="C379" s="5" t="s">
        <v>44</v>
      </c>
      <c r="D379" s="3">
        <v>8.0970499999999994</v>
      </c>
      <c r="E379" s="3">
        <v>7.9434399999999998</v>
      </c>
      <c r="F379" s="6">
        <f t="shared" si="65"/>
        <v>-0.15360999999999958</v>
      </c>
      <c r="G379" s="6">
        <f t="shared" si="66"/>
        <v>-1.8971106761104303E-2</v>
      </c>
      <c r="H379" s="6" t="str">
        <f t="shared" si="67"/>
        <v>🔴 Under-injection</v>
      </c>
      <c r="I379" s="6">
        <f t="shared" si="68"/>
        <v>0.15360999999999958</v>
      </c>
      <c r="J379" s="3">
        <v>4.4929000000000006</v>
      </c>
      <c r="K379" s="6">
        <f t="shared" si="69"/>
        <v>1.2145575</v>
      </c>
      <c r="L379" s="6">
        <f t="shared" si="70"/>
        <v>1.61941</v>
      </c>
      <c r="M379" s="6">
        <f t="shared" si="71"/>
        <v>0.15360999999999958</v>
      </c>
      <c r="N379" s="6">
        <f t="shared" si="72"/>
        <v>0</v>
      </c>
      <c r="O379" s="6">
        <f t="shared" si="73"/>
        <v>0</v>
      </c>
      <c r="P379" s="6">
        <f t="shared" si="74"/>
        <v>181.16552186249953</v>
      </c>
      <c r="Q379" s="3">
        <v>181.16552186250004</v>
      </c>
      <c r="R379" s="6">
        <f t="shared" si="75"/>
        <v>-5.1159076974727213E-13</v>
      </c>
      <c r="S379" s="6" t="str">
        <f t="shared" si="76"/>
        <v>OK</v>
      </c>
    </row>
    <row r="380" spans="1:19" x14ac:dyDescent="0.25">
      <c r="A380" s="3" t="str">
        <f t="shared" si="77"/>
        <v>07.05.2026</v>
      </c>
      <c r="B380" s="5">
        <v>75</v>
      </c>
      <c r="C380" s="5" t="s">
        <v>43</v>
      </c>
      <c r="D380" s="3">
        <v>8.0970499999999994</v>
      </c>
      <c r="E380" s="3">
        <v>7.9321000000000002</v>
      </c>
      <c r="F380" s="6">
        <f t="shared" si="65"/>
        <v>-0.16494999999999926</v>
      </c>
      <c r="G380" s="6">
        <f t="shared" si="66"/>
        <v>-2.0371616823410908E-2</v>
      </c>
      <c r="H380" s="6" t="str">
        <f t="shared" si="67"/>
        <v>🔴 Under-injection</v>
      </c>
      <c r="I380" s="6">
        <f t="shared" si="68"/>
        <v>0.16494999999999926</v>
      </c>
      <c r="J380" s="3">
        <v>5.1904999999999992</v>
      </c>
      <c r="K380" s="6">
        <f t="shared" si="69"/>
        <v>1.2145575</v>
      </c>
      <c r="L380" s="6">
        <f t="shared" si="70"/>
        <v>1.61941</v>
      </c>
      <c r="M380" s="6">
        <f t="shared" si="71"/>
        <v>0.16494999999999926</v>
      </c>
      <c r="N380" s="6">
        <f t="shared" si="72"/>
        <v>0</v>
      </c>
      <c r="O380" s="6">
        <f t="shared" si="73"/>
        <v>0</v>
      </c>
      <c r="P380" s="6">
        <f t="shared" si="74"/>
        <v>224.74540593749899</v>
      </c>
      <c r="Q380" s="3">
        <v>224.74540593749998</v>
      </c>
      <c r="R380" s="6">
        <f t="shared" si="75"/>
        <v>-9.9475983006414026E-13</v>
      </c>
      <c r="S380" s="6" t="str">
        <f t="shared" si="76"/>
        <v>OK</v>
      </c>
    </row>
    <row r="381" spans="1:19" x14ac:dyDescent="0.25">
      <c r="A381" s="3" t="str">
        <f t="shared" si="77"/>
        <v>07.05.2026</v>
      </c>
      <c r="B381" s="5">
        <v>76</v>
      </c>
      <c r="C381" s="5" t="s">
        <v>42</v>
      </c>
      <c r="D381" s="3">
        <v>8.0970499999999994</v>
      </c>
      <c r="E381" s="3">
        <v>7.9434399999999998</v>
      </c>
      <c r="F381" s="6">
        <f t="shared" si="65"/>
        <v>-0.15360999999999958</v>
      </c>
      <c r="G381" s="6">
        <f t="shared" si="66"/>
        <v>-1.8971106761104303E-2</v>
      </c>
      <c r="H381" s="6" t="str">
        <f t="shared" si="67"/>
        <v>🔴 Under-injection</v>
      </c>
      <c r="I381" s="6">
        <f t="shared" si="68"/>
        <v>0.15360999999999958</v>
      </c>
      <c r="J381" s="3">
        <v>8.8522999999999996</v>
      </c>
      <c r="K381" s="6">
        <f t="shared" si="69"/>
        <v>1.2145575</v>
      </c>
      <c r="L381" s="6">
        <f t="shared" si="70"/>
        <v>1.61941</v>
      </c>
      <c r="M381" s="6">
        <f t="shared" si="71"/>
        <v>0.15360999999999958</v>
      </c>
      <c r="N381" s="6">
        <f t="shared" si="72"/>
        <v>0</v>
      </c>
      <c r="O381" s="6">
        <f t="shared" si="73"/>
        <v>0</v>
      </c>
      <c r="P381" s="6">
        <f t="shared" si="74"/>
        <v>356.947973287499</v>
      </c>
      <c r="Q381" s="3">
        <v>356.94797328750002</v>
      </c>
      <c r="R381" s="6">
        <f t="shared" si="75"/>
        <v>-1.0231815394945443E-12</v>
      </c>
      <c r="S381" s="6" t="str">
        <f t="shared" si="76"/>
        <v>OK</v>
      </c>
    </row>
    <row r="382" spans="1:19" x14ac:dyDescent="0.25">
      <c r="A382" s="3" t="str">
        <f t="shared" si="77"/>
        <v>07.05.2026</v>
      </c>
      <c r="B382" s="5">
        <v>77</v>
      </c>
      <c r="C382" s="5" t="s">
        <v>41</v>
      </c>
      <c r="D382" s="3">
        <v>8.1570499999999999</v>
      </c>
      <c r="E382" s="3">
        <v>7.9321000000000002</v>
      </c>
      <c r="F382" s="6">
        <f t="shared" si="65"/>
        <v>-0.22494999999999976</v>
      </c>
      <c r="G382" s="6">
        <f t="shared" si="66"/>
        <v>-2.7577371721394347E-2</v>
      </c>
      <c r="H382" s="6" t="str">
        <f t="shared" si="67"/>
        <v>🔴 Under-injection</v>
      </c>
      <c r="I382" s="6">
        <f t="shared" si="68"/>
        <v>0.22494999999999976</v>
      </c>
      <c r="J382" s="3">
        <v>10</v>
      </c>
      <c r="K382" s="6">
        <f t="shared" si="69"/>
        <v>1.2235574999999999</v>
      </c>
      <c r="L382" s="6">
        <f t="shared" si="70"/>
        <v>1.63141</v>
      </c>
      <c r="M382" s="6">
        <f t="shared" si="71"/>
        <v>0.22494999999999976</v>
      </c>
      <c r="N382" s="6">
        <f t="shared" si="72"/>
        <v>0</v>
      </c>
      <c r="O382" s="6">
        <f t="shared" si="73"/>
        <v>0</v>
      </c>
      <c r="P382" s="6">
        <f t="shared" si="74"/>
        <v>590.49374999999941</v>
      </c>
      <c r="Q382" s="3">
        <v>590.49375000000009</v>
      </c>
      <c r="R382" s="6">
        <f t="shared" si="75"/>
        <v>0</v>
      </c>
      <c r="S382" s="6" t="str">
        <f t="shared" si="76"/>
        <v>OK</v>
      </c>
    </row>
    <row r="383" spans="1:19" x14ac:dyDescent="0.25">
      <c r="A383" s="3" t="str">
        <f t="shared" si="77"/>
        <v>07.05.2026</v>
      </c>
      <c r="B383" s="5">
        <v>78</v>
      </c>
      <c r="C383" s="5" t="s">
        <v>40</v>
      </c>
      <c r="D383" s="3">
        <v>9.7170500000000004</v>
      </c>
      <c r="E383" s="3">
        <v>7.9321000000000002</v>
      </c>
      <c r="F383" s="6">
        <f t="shared" si="65"/>
        <v>-1.7849500000000003</v>
      </c>
      <c r="G383" s="6">
        <f t="shared" si="66"/>
        <v>-0.18369258159626636</v>
      </c>
      <c r="H383" s="6" t="str">
        <f t="shared" si="67"/>
        <v>🔴 Under-injection</v>
      </c>
      <c r="I383" s="6">
        <f t="shared" si="68"/>
        <v>1.7849500000000003</v>
      </c>
      <c r="J383" s="3">
        <v>10</v>
      </c>
      <c r="K383" s="6">
        <f t="shared" si="69"/>
        <v>1.4575575000000001</v>
      </c>
      <c r="L383" s="6">
        <f t="shared" si="70"/>
        <v>1.9434100000000001</v>
      </c>
      <c r="M383" s="6">
        <f t="shared" si="71"/>
        <v>1.4575575000000001</v>
      </c>
      <c r="N383" s="6">
        <f t="shared" si="72"/>
        <v>0.3273925000000002</v>
      </c>
      <c r="O383" s="6">
        <f t="shared" si="73"/>
        <v>0</v>
      </c>
      <c r="P383" s="6">
        <f t="shared" si="74"/>
        <v>4726.4178125000008</v>
      </c>
      <c r="Q383" s="3">
        <v>4726.4178124999999</v>
      </c>
      <c r="R383" s="6">
        <f t="shared" si="75"/>
        <v>0</v>
      </c>
      <c r="S383" s="6" t="str">
        <f t="shared" si="76"/>
        <v>OK</v>
      </c>
    </row>
    <row r="384" spans="1:19" x14ac:dyDescent="0.25">
      <c r="A384" s="3" t="str">
        <f t="shared" si="77"/>
        <v>07.05.2026</v>
      </c>
      <c r="B384" s="5">
        <v>79</v>
      </c>
      <c r="C384" s="5" t="s">
        <v>39</v>
      </c>
      <c r="D384" s="3">
        <v>9.7170500000000004</v>
      </c>
      <c r="E384" s="3">
        <v>7.6824399999999997</v>
      </c>
      <c r="F384" s="6">
        <f t="shared" si="65"/>
        <v>-2.0346100000000007</v>
      </c>
      <c r="G384" s="6">
        <f t="shared" si="66"/>
        <v>-0.20938556454891152</v>
      </c>
      <c r="H384" s="6" t="str">
        <f t="shared" si="67"/>
        <v>🔴 Under-injection</v>
      </c>
      <c r="I384" s="6">
        <f t="shared" si="68"/>
        <v>2.0346100000000007</v>
      </c>
      <c r="J384" s="3">
        <v>10</v>
      </c>
      <c r="K384" s="6">
        <f t="shared" si="69"/>
        <v>1.4575575000000001</v>
      </c>
      <c r="L384" s="6">
        <f t="shared" si="70"/>
        <v>1.9434100000000001</v>
      </c>
      <c r="M384" s="6">
        <f t="shared" si="71"/>
        <v>1.4575575000000001</v>
      </c>
      <c r="N384" s="6">
        <f t="shared" si="72"/>
        <v>0.48585250000000002</v>
      </c>
      <c r="O384" s="6">
        <f t="shared" si="73"/>
        <v>9.1200000000000614E-2</v>
      </c>
      <c r="P384" s="6">
        <f t="shared" si="74"/>
        <v>5435.7828125000024</v>
      </c>
      <c r="Q384" s="3">
        <v>5435.7828124999996</v>
      </c>
      <c r="R384" s="6">
        <f t="shared" si="75"/>
        <v>0</v>
      </c>
      <c r="S384" s="6" t="str">
        <f t="shared" si="76"/>
        <v>OK</v>
      </c>
    </row>
    <row r="385" spans="1:19" x14ac:dyDescent="0.25">
      <c r="A385" s="3" t="str">
        <f t="shared" si="77"/>
        <v>07.05.2026</v>
      </c>
      <c r="B385" s="5">
        <v>80</v>
      </c>
      <c r="C385" s="5" t="s">
        <v>38</v>
      </c>
      <c r="D385" s="3">
        <v>10.32705</v>
      </c>
      <c r="E385" s="3">
        <v>8.1930999999999994</v>
      </c>
      <c r="F385" s="6">
        <f t="shared" si="65"/>
        <v>-2.1339500000000005</v>
      </c>
      <c r="G385" s="6">
        <f t="shared" si="66"/>
        <v>-0.20663693891285512</v>
      </c>
      <c r="H385" s="6" t="str">
        <f t="shared" si="67"/>
        <v>🔴 Under-injection</v>
      </c>
      <c r="I385" s="6">
        <f t="shared" si="68"/>
        <v>2.1339500000000005</v>
      </c>
      <c r="J385" s="3">
        <v>10</v>
      </c>
      <c r="K385" s="6">
        <f t="shared" si="69"/>
        <v>1.5490575</v>
      </c>
      <c r="L385" s="6">
        <f t="shared" si="70"/>
        <v>2.06541</v>
      </c>
      <c r="M385" s="6">
        <f t="shared" si="71"/>
        <v>1.5490575</v>
      </c>
      <c r="N385" s="6">
        <f t="shared" si="72"/>
        <v>0.51635249999999999</v>
      </c>
      <c r="O385" s="6">
        <f t="shared" si="73"/>
        <v>6.8540000000000489E-2</v>
      </c>
      <c r="P385" s="6">
        <f t="shared" si="74"/>
        <v>5691.8653125000019</v>
      </c>
      <c r="Q385" s="3">
        <v>5691.865312500001</v>
      </c>
      <c r="R385" s="6">
        <f t="shared" si="75"/>
        <v>0</v>
      </c>
      <c r="S385" s="6" t="str">
        <f t="shared" si="76"/>
        <v>OK</v>
      </c>
    </row>
    <row r="386" spans="1:19" x14ac:dyDescent="0.25">
      <c r="A386" s="3" t="str">
        <f t="shared" si="77"/>
        <v>07.05.2026</v>
      </c>
      <c r="B386" s="5">
        <v>81</v>
      </c>
      <c r="C386" s="5" t="s">
        <v>37</v>
      </c>
      <c r="D386" s="3">
        <v>8.7970499999999987</v>
      </c>
      <c r="E386" s="3">
        <v>8.5448699999999995</v>
      </c>
      <c r="F386" s="6">
        <f t="shared" si="65"/>
        <v>-0.25217999999999918</v>
      </c>
      <c r="G386" s="6">
        <f t="shared" si="66"/>
        <v>-2.8666427950278697E-2</v>
      </c>
      <c r="H386" s="6" t="str">
        <f t="shared" si="67"/>
        <v>🔴 Under-injection</v>
      </c>
      <c r="I386" s="6">
        <f t="shared" si="68"/>
        <v>0.25217999999999918</v>
      </c>
      <c r="J386" s="3">
        <v>9.2901000000000007</v>
      </c>
      <c r="K386" s="6">
        <f t="shared" si="69"/>
        <v>1.3195574999999997</v>
      </c>
      <c r="L386" s="6">
        <f t="shared" si="70"/>
        <v>1.7594099999999999</v>
      </c>
      <c r="M386" s="6">
        <f t="shared" si="71"/>
        <v>0.25217999999999918</v>
      </c>
      <c r="N386" s="6">
        <f t="shared" si="72"/>
        <v>0</v>
      </c>
      <c r="O386" s="6">
        <f t="shared" si="73"/>
        <v>0</v>
      </c>
      <c r="P386" s="6">
        <f t="shared" si="74"/>
        <v>614.97907222499816</v>
      </c>
      <c r="Q386" s="3">
        <v>614.9790722250001</v>
      </c>
      <c r="R386" s="6">
        <f t="shared" si="75"/>
        <v>-1.9326762412674725E-12</v>
      </c>
      <c r="S386" s="6" t="str">
        <f t="shared" si="76"/>
        <v>OK</v>
      </c>
    </row>
    <row r="387" spans="1:19" x14ac:dyDescent="0.25">
      <c r="A387" s="3" t="str">
        <f t="shared" si="77"/>
        <v>07.05.2026</v>
      </c>
      <c r="B387" s="5">
        <v>82</v>
      </c>
      <c r="C387" s="5" t="s">
        <v>36</v>
      </c>
      <c r="D387" s="3">
        <v>8.6570499999999999</v>
      </c>
      <c r="E387" s="3">
        <v>8.5789200000000001</v>
      </c>
      <c r="F387" s="6">
        <f t="shared" si="65"/>
        <v>-7.8129999999999811E-2</v>
      </c>
      <c r="G387" s="6">
        <f t="shared" si="66"/>
        <v>-9.0250142947077595E-3</v>
      </c>
      <c r="H387" s="6" t="str">
        <f t="shared" si="67"/>
        <v>🔴 Under-injection</v>
      </c>
      <c r="I387" s="6">
        <f t="shared" si="68"/>
        <v>7.8129999999999811E-2</v>
      </c>
      <c r="J387" s="3">
        <v>10</v>
      </c>
      <c r="K387" s="6">
        <f t="shared" si="69"/>
        <v>1.2985575</v>
      </c>
      <c r="L387" s="6">
        <f t="shared" si="70"/>
        <v>1.7314100000000001</v>
      </c>
      <c r="M387" s="6">
        <f t="shared" si="71"/>
        <v>7.8129999999999811E-2</v>
      </c>
      <c r="N387" s="6">
        <f t="shared" si="72"/>
        <v>0</v>
      </c>
      <c r="O387" s="6">
        <f t="shared" si="73"/>
        <v>0</v>
      </c>
      <c r="P387" s="6">
        <f t="shared" si="74"/>
        <v>205.09124999999949</v>
      </c>
      <c r="Q387" s="3">
        <v>205.09125</v>
      </c>
      <c r="R387" s="6">
        <f t="shared" si="75"/>
        <v>-5.1159076974727213E-13</v>
      </c>
      <c r="S387" s="6" t="str">
        <f t="shared" si="76"/>
        <v>OK</v>
      </c>
    </row>
    <row r="388" spans="1:19" x14ac:dyDescent="0.25">
      <c r="A388" s="3" t="str">
        <f t="shared" si="77"/>
        <v>07.05.2026</v>
      </c>
      <c r="B388" s="5">
        <v>83</v>
      </c>
      <c r="C388" s="5" t="s">
        <v>35</v>
      </c>
      <c r="D388" s="3">
        <v>8.2470499999999998</v>
      </c>
      <c r="E388" s="3">
        <v>8.4200499999999998</v>
      </c>
      <c r="F388" s="6">
        <f t="shared" si="65"/>
        <v>0.17300000000000004</v>
      </c>
      <c r="G388" s="6">
        <f t="shared" si="66"/>
        <v>2.0977197907130433E-2</v>
      </c>
      <c r="H388" s="6" t="str">
        <f t="shared" si="67"/>
        <v>🟢 Over-injection</v>
      </c>
      <c r="I388" s="6">
        <f t="shared" si="68"/>
        <v>-0.17300000000000004</v>
      </c>
      <c r="J388" s="3">
        <v>10</v>
      </c>
      <c r="K388" s="6">
        <f t="shared" si="69"/>
        <v>1.2370574999999999</v>
      </c>
      <c r="L388" s="6">
        <f t="shared" si="70"/>
        <v>1.64941</v>
      </c>
      <c r="M388" s="6">
        <f t="shared" si="71"/>
        <v>0.17300000000000004</v>
      </c>
      <c r="N388" s="6">
        <f t="shared" si="72"/>
        <v>0</v>
      </c>
      <c r="O388" s="6">
        <f t="shared" si="73"/>
        <v>0</v>
      </c>
      <c r="P388" s="6">
        <f t="shared" si="74"/>
        <v>-346.00000000000011</v>
      </c>
      <c r="Q388" s="3">
        <v>-346</v>
      </c>
      <c r="R388" s="6">
        <f t="shared" si="75"/>
        <v>0</v>
      </c>
      <c r="S388" s="6" t="str">
        <f t="shared" si="76"/>
        <v>OK</v>
      </c>
    </row>
    <row r="389" spans="1:19" x14ac:dyDescent="0.25">
      <c r="A389" s="3" t="str">
        <f t="shared" si="77"/>
        <v>07.05.2026</v>
      </c>
      <c r="B389" s="5">
        <v>84</v>
      </c>
      <c r="C389" s="5" t="s">
        <v>34</v>
      </c>
      <c r="D389" s="3">
        <v>8.7470499999999998</v>
      </c>
      <c r="E389" s="3">
        <v>7.9774799999999999</v>
      </c>
      <c r="F389" s="6">
        <f t="shared" si="65"/>
        <v>-0.76956999999999987</v>
      </c>
      <c r="G389" s="6">
        <f t="shared" si="66"/>
        <v>-8.7980519146455077E-2</v>
      </c>
      <c r="H389" s="6" t="str">
        <f t="shared" si="67"/>
        <v>🔴 Under-injection</v>
      </c>
      <c r="I389" s="6">
        <f t="shared" si="68"/>
        <v>0.76956999999999987</v>
      </c>
      <c r="J389" s="3">
        <v>10</v>
      </c>
      <c r="K389" s="6">
        <f t="shared" si="69"/>
        <v>1.3120574999999999</v>
      </c>
      <c r="L389" s="6">
        <f t="shared" si="70"/>
        <v>1.7494100000000001</v>
      </c>
      <c r="M389" s="6">
        <f t="shared" si="71"/>
        <v>0.76956999999999987</v>
      </c>
      <c r="N389" s="6">
        <f t="shared" si="72"/>
        <v>0</v>
      </c>
      <c r="O389" s="6">
        <f t="shared" si="73"/>
        <v>0</v>
      </c>
      <c r="P389" s="6">
        <f t="shared" si="74"/>
        <v>2020.1212499999999</v>
      </c>
      <c r="Q389" s="3">
        <v>2020.1212499999999</v>
      </c>
      <c r="R389" s="6">
        <f t="shared" si="75"/>
        <v>0</v>
      </c>
      <c r="S389" s="6" t="str">
        <f t="shared" si="76"/>
        <v>OK</v>
      </c>
    </row>
    <row r="390" spans="1:19" x14ac:dyDescent="0.25">
      <c r="A390" s="3" t="str">
        <f t="shared" si="77"/>
        <v>07.05.2026</v>
      </c>
      <c r="B390" s="5">
        <v>85</v>
      </c>
      <c r="C390" s="5" t="s">
        <v>33</v>
      </c>
      <c r="D390" s="3">
        <v>8.0970499999999994</v>
      </c>
      <c r="E390" s="3">
        <v>7.9093999999999998</v>
      </c>
      <c r="F390" s="6">
        <f t="shared" si="65"/>
        <v>-0.18764999999999965</v>
      </c>
      <c r="G390" s="6">
        <f t="shared" si="66"/>
        <v>-2.3175106983407495E-2</v>
      </c>
      <c r="H390" s="6" t="str">
        <f t="shared" si="67"/>
        <v>🔴 Under-injection</v>
      </c>
      <c r="I390" s="6">
        <f t="shared" si="68"/>
        <v>0.18764999999999965</v>
      </c>
      <c r="J390" s="3">
        <v>8.4533000000000005</v>
      </c>
      <c r="K390" s="6">
        <f t="shared" si="69"/>
        <v>1.2145575</v>
      </c>
      <c r="L390" s="6">
        <f t="shared" si="70"/>
        <v>1.61941</v>
      </c>
      <c r="M390" s="6">
        <f t="shared" si="71"/>
        <v>0.18764999999999965</v>
      </c>
      <c r="N390" s="6">
        <f t="shared" si="72"/>
        <v>0</v>
      </c>
      <c r="O390" s="6">
        <f t="shared" si="73"/>
        <v>0</v>
      </c>
      <c r="P390" s="6">
        <f t="shared" si="74"/>
        <v>416.39370806249923</v>
      </c>
      <c r="Q390" s="3">
        <v>416.39370806250002</v>
      </c>
      <c r="R390" s="6">
        <f t="shared" si="75"/>
        <v>-7.9580786405131221E-13</v>
      </c>
      <c r="S390" s="6" t="str">
        <f t="shared" si="76"/>
        <v>OK</v>
      </c>
    </row>
    <row r="391" spans="1:19" x14ac:dyDescent="0.25">
      <c r="A391" s="3" t="str">
        <f t="shared" si="77"/>
        <v>07.05.2026</v>
      </c>
      <c r="B391" s="5">
        <v>86</v>
      </c>
      <c r="C391" s="5" t="s">
        <v>32</v>
      </c>
      <c r="D391" s="3">
        <v>8.0970499999999994</v>
      </c>
      <c r="E391" s="3">
        <v>7.9093999999999998</v>
      </c>
      <c r="F391" s="6">
        <f t="shared" si="65"/>
        <v>-0.18764999999999965</v>
      </c>
      <c r="G391" s="6">
        <f t="shared" si="66"/>
        <v>-2.3175106983407495E-2</v>
      </c>
      <c r="H391" s="6" t="str">
        <f t="shared" si="67"/>
        <v>🔴 Under-injection</v>
      </c>
      <c r="I391" s="6">
        <f t="shared" si="68"/>
        <v>0.18764999999999965</v>
      </c>
      <c r="J391" s="3">
        <v>8.4449000000000005</v>
      </c>
      <c r="K391" s="6">
        <f t="shared" si="69"/>
        <v>1.2145575</v>
      </c>
      <c r="L391" s="6">
        <f t="shared" si="70"/>
        <v>1.61941</v>
      </c>
      <c r="M391" s="6">
        <f t="shared" si="71"/>
        <v>0.18764999999999965</v>
      </c>
      <c r="N391" s="6">
        <f t="shared" si="72"/>
        <v>0</v>
      </c>
      <c r="O391" s="6">
        <f t="shared" si="73"/>
        <v>0</v>
      </c>
      <c r="P391" s="6">
        <f t="shared" si="74"/>
        <v>415.97993981249925</v>
      </c>
      <c r="Q391" s="3">
        <v>415.97993981250005</v>
      </c>
      <c r="R391" s="6">
        <f t="shared" si="75"/>
        <v>-7.9580786405131221E-13</v>
      </c>
      <c r="S391" s="6" t="str">
        <f t="shared" si="76"/>
        <v>OK</v>
      </c>
    </row>
    <row r="392" spans="1:19" x14ac:dyDescent="0.25">
      <c r="A392" s="3" t="str">
        <f t="shared" si="77"/>
        <v>07.05.2026</v>
      </c>
      <c r="B392" s="5">
        <v>87</v>
      </c>
      <c r="C392" s="5" t="s">
        <v>31</v>
      </c>
      <c r="D392" s="3">
        <v>8.0970499999999994</v>
      </c>
      <c r="E392" s="3">
        <v>7.9093999999999998</v>
      </c>
      <c r="F392" s="6">
        <f t="shared" si="65"/>
        <v>-0.18764999999999965</v>
      </c>
      <c r="G392" s="6">
        <f t="shared" si="66"/>
        <v>-2.3175106983407495E-2</v>
      </c>
      <c r="H392" s="6" t="str">
        <f t="shared" si="67"/>
        <v>🔴 Under-injection</v>
      </c>
      <c r="I392" s="6">
        <f t="shared" si="68"/>
        <v>0.18764999999999965</v>
      </c>
      <c r="J392" s="3">
        <v>7.1020000000000003</v>
      </c>
      <c r="K392" s="6">
        <f t="shared" si="69"/>
        <v>1.2145575</v>
      </c>
      <c r="L392" s="6">
        <f t="shared" si="70"/>
        <v>1.61941</v>
      </c>
      <c r="M392" s="6">
        <f t="shared" si="71"/>
        <v>0.18764999999999965</v>
      </c>
      <c r="N392" s="6">
        <f t="shared" si="72"/>
        <v>0</v>
      </c>
      <c r="O392" s="6">
        <f t="shared" si="73"/>
        <v>0</v>
      </c>
      <c r="P392" s="6">
        <f t="shared" si="74"/>
        <v>349.83120374999936</v>
      </c>
      <c r="Q392" s="3">
        <v>349.83120375000004</v>
      </c>
      <c r="R392" s="6">
        <f t="shared" si="75"/>
        <v>-6.8212102632969618E-13</v>
      </c>
      <c r="S392" s="6" t="str">
        <f t="shared" si="76"/>
        <v>OK</v>
      </c>
    </row>
    <row r="393" spans="1:19" x14ac:dyDescent="0.25">
      <c r="A393" s="3" t="str">
        <f t="shared" si="77"/>
        <v>07.05.2026</v>
      </c>
      <c r="B393" s="5">
        <v>88</v>
      </c>
      <c r="C393" s="5" t="s">
        <v>30</v>
      </c>
      <c r="D393" s="3">
        <v>8.0970499999999994</v>
      </c>
      <c r="E393" s="3">
        <v>7.9093999999999998</v>
      </c>
      <c r="F393" s="6">
        <f t="shared" si="65"/>
        <v>-0.18764999999999965</v>
      </c>
      <c r="G393" s="6">
        <f t="shared" si="66"/>
        <v>-2.3175106983407495E-2</v>
      </c>
      <c r="H393" s="6" t="str">
        <f t="shared" si="67"/>
        <v>🔴 Under-injection</v>
      </c>
      <c r="I393" s="6">
        <f t="shared" si="68"/>
        <v>0.18764999999999965</v>
      </c>
      <c r="J393" s="3">
        <v>7.7846000000000002</v>
      </c>
      <c r="K393" s="6">
        <f t="shared" si="69"/>
        <v>1.2145575</v>
      </c>
      <c r="L393" s="6">
        <f t="shared" si="70"/>
        <v>1.61941</v>
      </c>
      <c r="M393" s="6">
        <f t="shared" si="71"/>
        <v>0.18764999999999965</v>
      </c>
      <c r="N393" s="6">
        <f t="shared" si="72"/>
        <v>0</v>
      </c>
      <c r="O393" s="6">
        <f t="shared" si="73"/>
        <v>0</v>
      </c>
      <c r="P393" s="6">
        <f t="shared" si="74"/>
        <v>383.45479987499931</v>
      </c>
      <c r="Q393" s="3">
        <v>383.45479987500005</v>
      </c>
      <c r="R393" s="6">
        <f t="shared" si="75"/>
        <v>-7.3896444519050419E-13</v>
      </c>
      <c r="S393" s="6" t="str">
        <f t="shared" si="76"/>
        <v>OK</v>
      </c>
    </row>
    <row r="394" spans="1:19" x14ac:dyDescent="0.25">
      <c r="A394" s="3" t="str">
        <f t="shared" si="77"/>
        <v>07.05.2026</v>
      </c>
      <c r="B394" s="5">
        <v>89</v>
      </c>
      <c r="C394" s="5" t="s">
        <v>29</v>
      </c>
      <c r="D394" s="3">
        <v>7.8070499999999994</v>
      </c>
      <c r="E394" s="3">
        <v>7.9093999999999998</v>
      </c>
      <c r="F394" s="6">
        <f t="shared" si="65"/>
        <v>0.10235000000000039</v>
      </c>
      <c r="G394" s="6">
        <f t="shared" si="66"/>
        <v>1.310994549797944E-2</v>
      </c>
      <c r="H394" s="6" t="str">
        <f t="shared" si="67"/>
        <v>🟢 Over-injection</v>
      </c>
      <c r="I394" s="6">
        <f t="shared" si="68"/>
        <v>-0.10235000000000039</v>
      </c>
      <c r="J394" s="3">
        <v>10</v>
      </c>
      <c r="K394" s="6">
        <f t="shared" si="69"/>
        <v>1.1710574999999999</v>
      </c>
      <c r="L394" s="6">
        <f t="shared" si="70"/>
        <v>1.56141</v>
      </c>
      <c r="M394" s="6">
        <f t="shared" si="71"/>
        <v>0.10235000000000039</v>
      </c>
      <c r="N394" s="6">
        <f t="shared" si="72"/>
        <v>0</v>
      </c>
      <c r="O394" s="6">
        <f t="shared" si="73"/>
        <v>0</v>
      </c>
      <c r="P394" s="6">
        <f t="shared" si="74"/>
        <v>-204.70000000000078</v>
      </c>
      <c r="Q394" s="3">
        <v>-204.7</v>
      </c>
      <c r="R394" s="6">
        <f t="shared" si="75"/>
        <v>-7.9580786405131221E-13</v>
      </c>
      <c r="S394" s="6" t="str">
        <f t="shared" si="76"/>
        <v>OK</v>
      </c>
    </row>
    <row r="395" spans="1:19" x14ac:dyDescent="0.25">
      <c r="A395" s="3" t="str">
        <f t="shared" si="77"/>
        <v>07.05.2026</v>
      </c>
      <c r="B395" s="5">
        <v>90</v>
      </c>
      <c r="C395" s="5" t="s">
        <v>28</v>
      </c>
      <c r="D395" s="3">
        <v>7.7570500000000004</v>
      </c>
      <c r="E395" s="3">
        <v>7.9093999999999998</v>
      </c>
      <c r="F395" s="6">
        <f t="shared" si="65"/>
        <v>0.15234999999999932</v>
      </c>
      <c r="G395" s="6">
        <f t="shared" si="66"/>
        <v>1.9640198271249937E-2</v>
      </c>
      <c r="H395" s="6" t="str">
        <f t="shared" si="67"/>
        <v>🟢 Over-injection</v>
      </c>
      <c r="I395" s="6">
        <f t="shared" si="68"/>
        <v>-0.15234999999999932</v>
      </c>
      <c r="J395" s="3">
        <v>10</v>
      </c>
      <c r="K395" s="6">
        <f t="shared" si="69"/>
        <v>1.1635575</v>
      </c>
      <c r="L395" s="6">
        <f t="shared" si="70"/>
        <v>1.5514100000000002</v>
      </c>
      <c r="M395" s="6">
        <f t="shared" si="71"/>
        <v>0.15234999999999932</v>
      </c>
      <c r="N395" s="6">
        <f t="shared" si="72"/>
        <v>0</v>
      </c>
      <c r="O395" s="6">
        <f t="shared" si="73"/>
        <v>0</v>
      </c>
      <c r="P395" s="6">
        <f t="shared" si="74"/>
        <v>-304.69999999999862</v>
      </c>
      <c r="Q395" s="3">
        <v>-304.70000000000005</v>
      </c>
      <c r="R395" s="6">
        <f t="shared" si="75"/>
        <v>1.4210854715202004E-12</v>
      </c>
      <c r="S395" s="6" t="str">
        <f t="shared" si="76"/>
        <v>OK</v>
      </c>
    </row>
    <row r="396" spans="1:19" x14ac:dyDescent="0.25">
      <c r="A396" s="3" t="str">
        <f t="shared" si="77"/>
        <v>07.05.2026</v>
      </c>
      <c r="B396" s="5">
        <v>91</v>
      </c>
      <c r="C396" s="5" t="s">
        <v>27</v>
      </c>
      <c r="D396" s="3">
        <v>9.6870499999999993</v>
      </c>
      <c r="E396" s="3">
        <v>7.8072699999999999</v>
      </c>
      <c r="F396" s="6">
        <f t="shared" si="65"/>
        <v>-1.8797799999999993</v>
      </c>
      <c r="G396" s="6">
        <f t="shared" si="66"/>
        <v>-0.1940508204252068</v>
      </c>
      <c r="H396" s="6" t="str">
        <f t="shared" si="67"/>
        <v>🔴 Under-injection</v>
      </c>
      <c r="I396" s="6">
        <f t="shared" si="68"/>
        <v>1.8797799999999993</v>
      </c>
      <c r="J396" s="3">
        <v>10</v>
      </c>
      <c r="K396" s="6">
        <f t="shared" si="69"/>
        <v>1.4530574999999999</v>
      </c>
      <c r="L396" s="6">
        <f t="shared" si="70"/>
        <v>1.9374099999999999</v>
      </c>
      <c r="M396" s="6">
        <f t="shared" si="71"/>
        <v>1.4530574999999999</v>
      </c>
      <c r="N396" s="6">
        <f t="shared" si="72"/>
        <v>0.42672249999999945</v>
      </c>
      <c r="O396" s="6">
        <f t="shared" si="73"/>
        <v>0</v>
      </c>
      <c r="P396" s="6">
        <f t="shared" si="74"/>
        <v>4987.7628124999983</v>
      </c>
      <c r="Q396" s="3">
        <v>4987.7628125000001</v>
      </c>
      <c r="R396" s="6">
        <f t="shared" si="75"/>
        <v>0</v>
      </c>
      <c r="S396" s="6" t="str">
        <f t="shared" si="76"/>
        <v>OK</v>
      </c>
    </row>
    <row r="397" spans="1:19" x14ac:dyDescent="0.25">
      <c r="A397" s="3" t="str">
        <f t="shared" si="77"/>
        <v>07.05.2026</v>
      </c>
      <c r="B397" s="5">
        <v>92</v>
      </c>
      <c r="C397" s="5" t="s">
        <v>26</v>
      </c>
      <c r="D397" s="3">
        <v>9.7170500000000004</v>
      </c>
      <c r="E397" s="3">
        <v>7.5916600000000001</v>
      </c>
      <c r="F397" s="6">
        <f t="shared" si="65"/>
        <v>-2.1253900000000003</v>
      </c>
      <c r="G397" s="6">
        <f t="shared" si="66"/>
        <v>-0.21872790610318979</v>
      </c>
      <c r="H397" s="6" t="str">
        <f t="shared" si="67"/>
        <v>🔴 Under-injection</v>
      </c>
      <c r="I397" s="6">
        <f t="shared" si="68"/>
        <v>2.1253900000000003</v>
      </c>
      <c r="J397" s="3">
        <v>10</v>
      </c>
      <c r="K397" s="6">
        <f t="shared" si="69"/>
        <v>1.4575575000000001</v>
      </c>
      <c r="L397" s="6">
        <f t="shared" si="70"/>
        <v>1.9434100000000001</v>
      </c>
      <c r="M397" s="6">
        <f t="shared" si="71"/>
        <v>1.4575575000000001</v>
      </c>
      <c r="N397" s="6">
        <f t="shared" si="72"/>
        <v>0.48585250000000002</v>
      </c>
      <c r="O397" s="6">
        <f t="shared" si="73"/>
        <v>0.18198000000000025</v>
      </c>
      <c r="P397" s="6">
        <f t="shared" si="74"/>
        <v>5708.1228125000007</v>
      </c>
      <c r="Q397" s="3">
        <v>5708.1228124999989</v>
      </c>
      <c r="R397" s="6">
        <f t="shared" si="75"/>
        <v>0</v>
      </c>
      <c r="S397" s="6" t="str">
        <f t="shared" si="76"/>
        <v>OK</v>
      </c>
    </row>
    <row r="398" spans="1:19" x14ac:dyDescent="0.25">
      <c r="A398" s="3" t="str">
        <f t="shared" si="77"/>
        <v>07.05.2026</v>
      </c>
      <c r="B398" s="5">
        <v>93</v>
      </c>
      <c r="C398" s="5" t="s">
        <v>25</v>
      </c>
      <c r="D398" s="3">
        <v>9.7570499999999996</v>
      </c>
      <c r="E398" s="3">
        <v>7.5916600000000001</v>
      </c>
      <c r="F398" s="6">
        <f t="shared" si="65"/>
        <v>-2.1653899999999995</v>
      </c>
      <c r="G398" s="6">
        <f t="shared" si="66"/>
        <v>-0.22193080900477086</v>
      </c>
      <c r="H398" s="6" t="str">
        <f t="shared" si="67"/>
        <v>🔴 Under-injection</v>
      </c>
      <c r="I398" s="6">
        <f t="shared" si="68"/>
        <v>2.1653899999999995</v>
      </c>
      <c r="J398" s="3">
        <v>10</v>
      </c>
      <c r="K398" s="6">
        <f t="shared" si="69"/>
        <v>1.4635574999999998</v>
      </c>
      <c r="L398" s="6">
        <f t="shared" si="70"/>
        <v>1.9514100000000001</v>
      </c>
      <c r="M398" s="6">
        <f t="shared" si="71"/>
        <v>1.4635574999999998</v>
      </c>
      <c r="N398" s="6">
        <f t="shared" si="72"/>
        <v>0.48785250000000024</v>
      </c>
      <c r="O398" s="6">
        <f t="shared" si="73"/>
        <v>0.21397999999999939</v>
      </c>
      <c r="P398" s="6">
        <f t="shared" si="74"/>
        <v>5825.3728124999998</v>
      </c>
      <c r="Q398" s="3">
        <v>5825.3728124999998</v>
      </c>
      <c r="R398" s="6">
        <f t="shared" si="75"/>
        <v>0</v>
      </c>
      <c r="S398" s="6" t="str">
        <f t="shared" si="76"/>
        <v>OK</v>
      </c>
    </row>
    <row r="399" spans="1:19" x14ac:dyDescent="0.25">
      <c r="A399" s="3" t="str">
        <f t="shared" si="77"/>
        <v>07.05.2026</v>
      </c>
      <c r="B399" s="5">
        <v>94</v>
      </c>
      <c r="C399" s="5" t="s">
        <v>24</v>
      </c>
      <c r="D399" s="3">
        <v>11.15705</v>
      </c>
      <c r="E399" s="3">
        <v>7.5916600000000001</v>
      </c>
      <c r="F399" s="6">
        <f t="shared" si="65"/>
        <v>-3.5653899999999998</v>
      </c>
      <c r="G399" s="6">
        <f t="shared" si="66"/>
        <v>-0.3195638632075683</v>
      </c>
      <c r="H399" s="6" t="str">
        <f t="shared" si="67"/>
        <v>🔴 Under-injection</v>
      </c>
      <c r="I399" s="6">
        <f t="shared" si="68"/>
        <v>3.5653899999999998</v>
      </c>
      <c r="J399" s="3">
        <v>10</v>
      </c>
      <c r="K399" s="6">
        <f t="shared" si="69"/>
        <v>1.6735575</v>
      </c>
      <c r="L399" s="6">
        <f t="shared" si="70"/>
        <v>2.2314099999999999</v>
      </c>
      <c r="M399" s="6">
        <f t="shared" si="71"/>
        <v>1.6735575</v>
      </c>
      <c r="N399" s="6">
        <f t="shared" si="72"/>
        <v>0.55785249999999986</v>
      </c>
      <c r="O399" s="6">
        <f t="shared" si="73"/>
        <v>1.3339799999999999</v>
      </c>
      <c r="P399" s="6">
        <f t="shared" si="74"/>
        <v>9929.1228124999998</v>
      </c>
      <c r="Q399" s="3">
        <v>9929.1228125000016</v>
      </c>
      <c r="R399" s="6">
        <f t="shared" si="75"/>
        <v>0</v>
      </c>
      <c r="S399" s="6" t="str">
        <f t="shared" si="76"/>
        <v>OK</v>
      </c>
    </row>
    <row r="400" spans="1:19" x14ac:dyDescent="0.25">
      <c r="A400" s="3" t="str">
        <f t="shared" si="77"/>
        <v>07.05.2026</v>
      </c>
      <c r="B400" s="5">
        <v>95</v>
      </c>
      <c r="C400" s="5" t="s">
        <v>23</v>
      </c>
      <c r="D400" s="3">
        <v>11.13705</v>
      </c>
      <c r="E400" s="3">
        <v>7.6030100000000003</v>
      </c>
      <c r="F400" s="6">
        <f t="shared" si="65"/>
        <v>-3.5340400000000001</v>
      </c>
      <c r="G400" s="6">
        <f t="shared" si="66"/>
        <v>-0.31732280990028777</v>
      </c>
      <c r="H400" s="6" t="str">
        <f t="shared" si="67"/>
        <v>🔴 Under-injection</v>
      </c>
      <c r="I400" s="6">
        <f t="shared" si="68"/>
        <v>3.5340400000000001</v>
      </c>
      <c r="J400" s="3">
        <v>10</v>
      </c>
      <c r="K400" s="6">
        <f t="shared" si="69"/>
        <v>1.6705574999999999</v>
      </c>
      <c r="L400" s="6">
        <f t="shared" si="70"/>
        <v>2.2274100000000003</v>
      </c>
      <c r="M400" s="6">
        <f t="shared" si="71"/>
        <v>1.6705574999999999</v>
      </c>
      <c r="N400" s="6">
        <f t="shared" si="72"/>
        <v>0.55685250000000042</v>
      </c>
      <c r="O400" s="6">
        <f t="shared" si="73"/>
        <v>1.3066299999999997</v>
      </c>
      <c r="P400" s="6">
        <f t="shared" si="74"/>
        <v>9836.4478125000005</v>
      </c>
      <c r="Q400" s="3">
        <v>9836.4478124999987</v>
      </c>
      <c r="R400" s="6">
        <f t="shared" si="75"/>
        <v>0</v>
      </c>
      <c r="S400" s="6" t="str">
        <f t="shared" si="76"/>
        <v>OK</v>
      </c>
    </row>
    <row r="401" spans="1:19" x14ac:dyDescent="0.25">
      <c r="A401" s="3" t="str">
        <f t="shared" si="77"/>
        <v>07.05.2026</v>
      </c>
      <c r="B401" s="5">
        <v>96</v>
      </c>
      <c r="C401" s="5" t="s">
        <v>22</v>
      </c>
      <c r="D401" s="3">
        <v>7.8170499999999992</v>
      </c>
      <c r="E401" s="3">
        <v>7.9888399999999997</v>
      </c>
      <c r="F401" s="6">
        <f t="shared" si="65"/>
        <v>0.17179000000000055</v>
      </c>
      <c r="G401" s="6">
        <f t="shared" si="66"/>
        <v>2.1976320990655114E-2</v>
      </c>
      <c r="H401" s="6" t="str">
        <f t="shared" si="67"/>
        <v>🟢 Over-injection</v>
      </c>
      <c r="I401" s="6">
        <f t="shared" si="68"/>
        <v>-0.17179000000000055</v>
      </c>
      <c r="J401" s="3">
        <v>10</v>
      </c>
      <c r="K401" s="6">
        <f t="shared" si="69"/>
        <v>1.1725574999999999</v>
      </c>
      <c r="L401" s="6">
        <f t="shared" si="70"/>
        <v>1.56341</v>
      </c>
      <c r="M401" s="6">
        <f t="shared" si="71"/>
        <v>0.17179000000000055</v>
      </c>
      <c r="N401" s="6">
        <f t="shared" si="72"/>
        <v>0</v>
      </c>
      <c r="O401" s="6">
        <f t="shared" si="73"/>
        <v>0</v>
      </c>
      <c r="P401" s="6">
        <f t="shared" si="74"/>
        <v>-343.58000000000112</v>
      </c>
      <c r="Q401" s="3">
        <v>-343.58</v>
      </c>
      <c r="R401" s="6">
        <f t="shared" si="75"/>
        <v>-1.1368683772161603E-12</v>
      </c>
      <c r="S401" s="6" t="str">
        <f t="shared" si="76"/>
        <v>OK</v>
      </c>
    </row>
    <row r="402" spans="1:19" x14ac:dyDescent="0.25">
      <c r="A402" s="3" t="s">
        <v>172</v>
      </c>
      <c r="B402" s="5">
        <v>1</v>
      </c>
      <c r="C402" s="5" t="s">
        <v>117</v>
      </c>
      <c r="D402" s="3">
        <v>8.0970499999999994</v>
      </c>
      <c r="E402" s="3">
        <v>7.9888399999999997</v>
      </c>
      <c r="F402" s="6">
        <f t="shared" ref="F402:F465" si="78">E402-D402</f>
        <v>-0.1082099999999997</v>
      </c>
      <c r="G402" s="6">
        <f t="shared" ref="G402:G465" si="79">IF(D402=0,0,F402/D402)</f>
        <v>-1.3364126441111233E-2</v>
      </c>
      <c r="H402" s="6" t="str">
        <f t="shared" ref="H402:H465" si="80">IF(E402&gt;D402,"🟢 Over-injection",IF(E402&lt;D402,"🔴 Under-injection","⚪ Nil"))</f>
        <v>🔴 Under-injection</v>
      </c>
      <c r="I402" s="6">
        <f t="shared" ref="I402:I465" si="81">-F402</f>
        <v>0.1082099999999997</v>
      </c>
      <c r="J402" s="3">
        <v>5.5510999999999999</v>
      </c>
      <c r="K402" s="6">
        <f t="shared" ref="K402:K465" si="82">MIN(ABS(D402)*$B$7,$B$8)</f>
        <v>1.2145575</v>
      </c>
      <c r="L402" s="6">
        <f t="shared" ref="L402:L465" si="83">MIN(ABS(D402)*$B$9,$B$10)</f>
        <v>1.61941</v>
      </c>
      <c r="M402" s="6">
        <f t="shared" ref="M402:M465" si="84">MIN(ABS(F402),K402)</f>
        <v>0.1082099999999997</v>
      </c>
      <c r="N402" s="6">
        <f t="shared" ref="N402:N465" si="85">IF(F402&lt;0,MIN(MAX(ABS(F402)-K402,0),MAX(L402-K402,0)),0)</f>
        <v>0</v>
      </c>
      <c r="O402" s="6">
        <f t="shared" ref="O402:O465" si="86">IF(F402&lt;0,MAX(ABS(F402)-L402,0),0)</f>
        <v>0</v>
      </c>
      <c r="P402" s="6">
        <f t="shared" ref="P402:P465" si="87">IF(F402&gt;0,-M402*$B$11*J402*$B$6*1000,IF(F402&lt;0,(M402*$B$12+N402*$B$13+O402*$B$14)*J402*$B$6*1000,0))</f>
        <v>157.67968938749954</v>
      </c>
      <c r="Q402" s="3">
        <v>157.67968938750002</v>
      </c>
      <c r="R402" s="6">
        <f t="shared" ref="R402:R465" si="88">P402-Q402</f>
        <v>-4.8316906031686813E-13</v>
      </c>
      <c r="S402" s="6" t="str">
        <f t="shared" ref="S402:S465" si="89">IF(ABS(R402)&lt;=0.01,"OK","REVIEW")</f>
        <v>OK</v>
      </c>
    </row>
    <row r="403" spans="1:19" x14ac:dyDescent="0.25">
      <c r="A403" s="3" t="str">
        <f t="shared" si="77"/>
        <v>08.05.2026</v>
      </c>
      <c r="B403" s="5">
        <v>2</v>
      </c>
      <c r="C403" s="5" t="s">
        <v>116</v>
      </c>
      <c r="D403" s="3">
        <v>8.0970499999999994</v>
      </c>
      <c r="E403" s="3">
        <v>7.9888399999999997</v>
      </c>
      <c r="F403" s="6">
        <f t="shared" si="78"/>
        <v>-0.1082099999999997</v>
      </c>
      <c r="G403" s="6">
        <f t="shared" si="79"/>
        <v>-1.3364126441111233E-2</v>
      </c>
      <c r="H403" s="6" t="str">
        <f t="shared" si="80"/>
        <v>🔴 Under-injection</v>
      </c>
      <c r="I403" s="6">
        <f t="shared" si="81"/>
        <v>0.1082099999999997</v>
      </c>
      <c r="J403" s="3">
        <v>5.5271000000000008</v>
      </c>
      <c r="K403" s="6">
        <f t="shared" si="82"/>
        <v>1.2145575</v>
      </c>
      <c r="L403" s="6">
        <f t="shared" si="83"/>
        <v>1.61941</v>
      </c>
      <c r="M403" s="6">
        <f t="shared" si="84"/>
        <v>0.1082099999999997</v>
      </c>
      <c r="N403" s="6">
        <f t="shared" si="85"/>
        <v>0</v>
      </c>
      <c r="O403" s="6">
        <f t="shared" si="86"/>
        <v>0</v>
      </c>
      <c r="P403" s="6">
        <f t="shared" si="87"/>
        <v>156.99796638749959</v>
      </c>
      <c r="Q403" s="3">
        <v>156.99796638750004</v>
      </c>
      <c r="R403" s="6">
        <f t="shared" si="88"/>
        <v>-4.5474735088646412E-13</v>
      </c>
      <c r="S403" s="6" t="str">
        <f t="shared" si="89"/>
        <v>OK</v>
      </c>
    </row>
    <row r="404" spans="1:19" x14ac:dyDescent="0.25">
      <c r="A404" s="3" t="str">
        <f t="shared" ref="A404:A467" si="90">A403</f>
        <v>08.05.2026</v>
      </c>
      <c r="B404" s="5">
        <v>3</v>
      </c>
      <c r="C404" s="5" t="s">
        <v>115</v>
      </c>
      <c r="D404" s="3">
        <v>8.0970499999999994</v>
      </c>
      <c r="E404" s="3">
        <v>7.9888399999999997</v>
      </c>
      <c r="F404" s="6">
        <f t="shared" si="78"/>
        <v>-0.1082099999999997</v>
      </c>
      <c r="G404" s="6">
        <f t="shared" si="79"/>
        <v>-1.3364126441111233E-2</v>
      </c>
      <c r="H404" s="6" t="str">
        <f t="shared" si="80"/>
        <v>🔴 Under-injection</v>
      </c>
      <c r="I404" s="6">
        <f t="shared" si="81"/>
        <v>0.1082099999999997</v>
      </c>
      <c r="J404" s="3">
        <v>5.2824</v>
      </c>
      <c r="K404" s="6">
        <f t="shared" si="82"/>
        <v>1.2145575</v>
      </c>
      <c r="L404" s="6">
        <f t="shared" si="83"/>
        <v>1.61941</v>
      </c>
      <c r="M404" s="6">
        <f t="shared" si="84"/>
        <v>0.1082099999999997</v>
      </c>
      <c r="N404" s="6">
        <f t="shared" si="85"/>
        <v>0</v>
      </c>
      <c r="O404" s="6">
        <f t="shared" si="86"/>
        <v>0</v>
      </c>
      <c r="P404" s="6">
        <f t="shared" si="87"/>
        <v>150.04723229999959</v>
      </c>
      <c r="Q404" s="3">
        <v>150.04723229999999</v>
      </c>
      <c r="R404" s="6">
        <f t="shared" si="88"/>
        <v>-3.979039320256561E-13</v>
      </c>
      <c r="S404" s="6" t="str">
        <f t="shared" si="89"/>
        <v>OK</v>
      </c>
    </row>
    <row r="405" spans="1:19" x14ac:dyDescent="0.25">
      <c r="A405" s="3" t="str">
        <f t="shared" si="90"/>
        <v>08.05.2026</v>
      </c>
      <c r="B405" s="5">
        <v>4</v>
      </c>
      <c r="C405" s="5" t="s">
        <v>114</v>
      </c>
      <c r="D405" s="3">
        <v>8.0970499999999994</v>
      </c>
      <c r="E405" s="3">
        <v>7.9888399999999997</v>
      </c>
      <c r="F405" s="6">
        <f t="shared" si="78"/>
        <v>-0.1082099999999997</v>
      </c>
      <c r="G405" s="6">
        <f t="shared" si="79"/>
        <v>-1.3364126441111233E-2</v>
      </c>
      <c r="H405" s="6" t="str">
        <f t="shared" si="80"/>
        <v>🔴 Under-injection</v>
      </c>
      <c r="I405" s="6">
        <f t="shared" si="81"/>
        <v>0.1082099999999997</v>
      </c>
      <c r="J405" s="3">
        <v>5.0489999999999995</v>
      </c>
      <c r="K405" s="6">
        <f t="shared" si="82"/>
        <v>1.2145575</v>
      </c>
      <c r="L405" s="6">
        <f t="shared" si="83"/>
        <v>1.61941</v>
      </c>
      <c r="M405" s="6">
        <f t="shared" si="84"/>
        <v>0.1082099999999997</v>
      </c>
      <c r="N405" s="6">
        <f t="shared" si="85"/>
        <v>0</v>
      </c>
      <c r="O405" s="6">
        <f t="shared" si="86"/>
        <v>0</v>
      </c>
      <c r="P405" s="6">
        <f t="shared" si="87"/>
        <v>143.41747612499958</v>
      </c>
      <c r="Q405" s="3">
        <v>143.41747612500001</v>
      </c>
      <c r="R405" s="6">
        <f t="shared" si="88"/>
        <v>-4.2632564145606011E-13</v>
      </c>
      <c r="S405" s="6" t="str">
        <f t="shared" si="89"/>
        <v>OK</v>
      </c>
    </row>
    <row r="406" spans="1:19" x14ac:dyDescent="0.25">
      <c r="A406" s="3" t="str">
        <f t="shared" si="90"/>
        <v>08.05.2026</v>
      </c>
      <c r="B406" s="5">
        <v>5</v>
      </c>
      <c r="C406" s="5" t="s">
        <v>113</v>
      </c>
      <c r="D406" s="3">
        <v>8.0970499999999994</v>
      </c>
      <c r="E406" s="3">
        <v>7.9888399999999997</v>
      </c>
      <c r="F406" s="6">
        <f t="shared" si="78"/>
        <v>-0.1082099999999997</v>
      </c>
      <c r="G406" s="6">
        <f t="shared" si="79"/>
        <v>-1.3364126441111233E-2</v>
      </c>
      <c r="H406" s="6" t="str">
        <f t="shared" si="80"/>
        <v>🔴 Under-injection</v>
      </c>
      <c r="I406" s="6">
        <f t="shared" si="81"/>
        <v>0.1082099999999997</v>
      </c>
      <c r="J406" s="3">
        <v>5.0372000000000003</v>
      </c>
      <c r="K406" s="6">
        <f t="shared" si="82"/>
        <v>1.2145575</v>
      </c>
      <c r="L406" s="6">
        <f t="shared" si="83"/>
        <v>1.61941</v>
      </c>
      <c r="M406" s="6">
        <f t="shared" si="84"/>
        <v>0.1082099999999997</v>
      </c>
      <c r="N406" s="6">
        <f t="shared" si="85"/>
        <v>0</v>
      </c>
      <c r="O406" s="6">
        <f t="shared" si="86"/>
        <v>0</v>
      </c>
      <c r="P406" s="6">
        <f t="shared" si="87"/>
        <v>143.08229564999959</v>
      </c>
      <c r="Q406" s="3">
        <v>143.08229565000002</v>
      </c>
      <c r="R406" s="6">
        <f t="shared" si="88"/>
        <v>-4.2632564145606011E-13</v>
      </c>
      <c r="S406" s="6" t="str">
        <f t="shared" si="89"/>
        <v>OK</v>
      </c>
    </row>
    <row r="407" spans="1:19" x14ac:dyDescent="0.25">
      <c r="A407" s="3" t="str">
        <f t="shared" si="90"/>
        <v>08.05.2026</v>
      </c>
      <c r="B407" s="5">
        <v>6</v>
      </c>
      <c r="C407" s="5" t="s">
        <v>112</v>
      </c>
      <c r="D407" s="3">
        <v>8.0970499999999994</v>
      </c>
      <c r="E407" s="3">
        <v>7.9888399999999997</v>
      </c>
      <c r="F407" s="6">
        <f t="shared" si="78"/>
        <v>-0.1082099999999997</v>
      </c>
      <c r="G407" s="6">
        <f t="shared" si="79"/>
        <v>-1.3364126441111233E-2</v>
      </c>
      <c r="H407" s="6" t="str">
        <f t="shared" si="80"/>
        <v>🔴 Under-injection</v>
      </c>
      <c r="I407" s="6">
        <f t="shared" si="81"/>
        <v>0.1082099999999997</v>
      </c>
      <c r="J407" s="3">
        <v>4.9089999999999998</v>
      </c>
      <c r="K407" s="6">
        <f t="shared" si="82"/>
        <v>1.2145575</v>
      </c>
      <c r="L407" s="6">
        <f t="shared" si="83"/>
        <v>1.61941</v>
      </c>
      <c r="M407" s="6">
        <f t="shared" si="84"/>
        <v>0.1082099999999997</v>
      </c>
      <c r="N407" s="6">
        <f t="shared" si="85"/>
        <v>0</v>
      </c>
      <c r="O407" s="6">
        <f t="shared" si="86"/>
        <v>0</v>
      </c>
      <c r="P407" s="6">
        <f t="shared" si="87"/>
        <v>139.4407586249996</v>
      </c>
      <c r="Q407" s="3">
        <v>139.440758625</v>
      </c>
      <c r="R407" s="6">
        <f t="shared" si="88"/>
        <v>-3.979039320256561E-13</v>
      </c>
      <c r="S407" s="6" t="str">
        <f t="shared" si="89"/>
        <v>OK</v>
      </c>
    </row>
    <row r="408" spans="1:19" x14ac:dyDescent="0.25">
      <c r="A408" s="3" t="str">
        <f t="shared" si="90"/>
        <v>08.05.2026</v>
      </c>
      <c r="B408" s="5">
        <v>7</v>
      </c>
      <c r="C408" s="5" t="s">
        <v>111</v>
      </c>
      <c r="D408" s="3">
        <v>8.0970499999999994</v>
      </c>
      <c r="E408" s="3">
        <v>7.9888399999999997</v>
      </c>
      <c r="F408" s="6">
        <f t="shared" si="78"/>
        <v>-0.1082099999999997</v>
      </c>
      <c r="G408" s="6">
        <f t="shared" si="79"/>
        <v>-1.3364126441111233E-2</v>
      </c>
      <c r="H408" s="6" t="str">
        <f t="shared" si="80"/>
        <v>🔴 Under-injection</v>
      </c>
      <c r="I408" s="6">
        <f t="shared" si="81"/>
        <v>0.1082099999999997</v>
      </c>
      <c r="J408" s="3">
        <v>4.9013</v>
      </c>
      <c r="K408" s="6">
        <f t="shared" si="82"/>
        <v>1.2145575</v>
      </c>
      <c r="L408" s="6">
        <f t="shared" si="83"/>
        <v>1.61941</v>
      </c>
      <c r="M408" s="6">
        <f t="shared" si="84"/>
        <v>0.1082099999999997</v>
      </c>
      <c r="N408" s="6">
        <f t="shared" si="85"/>
        <v>0</v>
      </c>
      <c r="O408" s="6">
        <f t="shared" si="86"/>
        <v>0</v>
      </c>
      <c r="P408" s="6">
        <f t="shared" si="87"/>
        <v>139.22203916249961</v>
      </c>
      <c r="Q408" s="3">
        <v>139.22203916250001</v>
      </c>
      <c r="R408" s="6">
        <f t="shared" si="88"/>
        <v>-3.979039320256561E-13</v>
      </c>
      <c r="S408" s="6" t="str">
        <f t="shared" si="89"/>
        <v>OK</v>
      </c>
    </row>
    <row r="409" spans="1:19" x14ac:dyDescent="0.25">
      <c r="A409" s="3" t="str">
        <f t="shared" si="90"/>
        <v>08.05.2026</v>
      </c>
      <c r="B409" s="5">
        <v>8</v>
      </c>
      <c r="C409" s="5" t="s">
        <v>110</v>
      </c>
      <c r="D409" s="3">
        <v>8.0970499999999994</v>
      </c>
      <c r="E409" s="3">
        <v>7.9888399999999997</v>
      </c>
      <c r="F409" s="6">
        <f t="shared" si="78"/>
        <v>-0.1082099999999997</v>
      </c>
      <c r="G409" s="6">
        <f t="shared" si="79"/>
        <v>-1.3364126441111233E-2</v>
      </c>
      <c r="H409" s="6" t="str">
        <f t="shared" si="80"/>
        <v>🔴 Under-injection</v>
      </c>
      <c r="I409" s="6">
        <f t="shared" si="81"/>
        <v>0.1082099999999997</v>
      </c>
      <c r="J409" s="3">
        <v>4.7542999999999997</v>
      </c>
      <c r="K409" s="6">
        <f t="shared" si="82"/>
        <v>1.2145575</v>
      </c>
      <c r="L409" s="6">
        <f t="shared" si="83"/>
        <v>1.61941</v>
      </c>
      <c r="M409" s="6">
        <f t="shared" si="84"/>
        <v>0.1082099999999997</v>
      </c>
      <c r="N409" s="6">
        <f t="shared" si="85"/>
        <v>0</v>
      </c>
      <c r="O409" s="6">
        <f t="shared" si="86"/>
        <v>0</v>
      </c>
      <c r="P409" s="6">
        <f t="shared" si="87"/>
        <v>135.04648578749962</v>
      </c>
      <c r="Q409" s="3">
        <v>135.04648578749999</v>
      </c>
      <c r="R409" s="6">
        <f t="shared" si="88"/>
        <v>-3.694822225952521E-13</v>
      </c>
      <c r="S409" s="6" t="str">
        <f t="shared" si="89"/>
        <v>OK</v>
      </c>
    </row>
    <row r="410" spans="1:19" x14ac:dyDescent="0.25">
      <c r="A410" s="3" t="str">
        <f t="shared" si="90"/>
        <v>08.05.2026</v>
      </c>
      <c r="B410" s="5">
        <v>9</v>
      </c>
      <c r="C410" s="5" t="s">
        <v>109</v>
      </c>
      <c r="D410" s="3">
        <v>8.0970499999999994</v>
      </c>
      <c r="E410" s="3">
        <v>7.9888399999999997</v>
      </c>
      <c r="F410" s="6">
        <f t="shared" si="78"/>
        <v>-0.1082099999999997</v>
      </c>
      <c r="G410" s="6">
        <f t="shared" si="79"/>
        <v>-1.3364126441111233E-2</v>
      </c>
      <c r="H410" s="6" t="str">
        <f t="shared" si="80"/>
        <v>🔴 Under-injection</v>
      </c>
      <c r="I410" s="6">
        <f t="shared" si="81"/>
        <v>0.1082099999999997</v>
      </c>
      <c r="J410" s="3">
        <v>4.3995999999999995</v>
      </c>
      <c r="K410" s="6">
        <f t="shared" si="82"/>
        <v>1.2145575</v>
      </c>
      <c r="L410" s="6">
        <f t="shared" si="83"/>
        <v>1.61941</v>
      </c>
      <c r="M410" s="6">
        <f t="shared" si="84"/>
        <v>0.1082099999999997</v>
      </c>
      <c r="N410" s="6">
        <f t="shared" si="85"/>
        <v>0</v>
      </c>
      <c r="O410" s="6">
        <f t="shared" si="86"/>
        <v>0</v>
      </c>
      <c r="P410" s="6">
        <f t="shared" si="87"/>
        <v>124.97118794999963</v>
      </c>
      <c r="Q410" s="3">
        <v>124.97118795</v>
      </c>
      <c r="R410" s="6">
        <f t="shared" si="88"/>
        <v>-3.694822225952521E-13</v>
      </c>
      <c r="S410" s="6" t="str">
        <f t="shared" si="89"/>
        <v>OK</v>
      </c>
    </row>
    <row r="411" spans="1:19" x14ac:dyDescent="0.25">
      <c r="A411" s="3" t="str">
        <f t="shared" si="90"/>
        <v>08.05.2026</v>
      </c>
      <c r="B411" s="5">
        <v>10</v>
      </c>
      <c r="C411" s="5" t="s">
        <v>108</v>
      </c>
      <c r="D411" s="3">
        <v>8.0970499999999994</v>
      </c>
      <c r="E411" s="3">
        <v>7.9888399999999997</v>
      </c>
      <c r="F411" s="6">
        <f t="shared" si="78"/>
        <v>-0.1082099999999997</v>
      </c>
      <c r="G411" s="6">
        <f t="shared" si="79"/>
        <v>-1.3364126441111233E-2</v>
      </c>
      <c r="H411" s="6" t="str">
        <f t="shared" si="80"/>
        <v>🔴 Under-injection</v>
      </c>
      <c r="I411" s="6">
        <f t="shared" si="81"/>
        <v>0.1082099999999997</v>
      </c>
      <c r="J411" s="3">
        <v>4.2961</v>
      </c>
      <c r="K411" s="6">
        <f t="shared" si="82"/>
        <v>1.2145575</v>
      </c>
      <c r="L411" s="6">
        <f t="shared" si="83"/>
        <v>1.61941</v>
      </c>
      <c r="M411" s="6">
        <f t="shared" si="84"/>
        <v>0.1082099999999997</v>
      </c>
      <c r="N411" s="6">
        <f t="shared" si="85"/>
        <v>0</v>
      </c>
      <c r="O411" s="6">
        <f t="shared" si="86"/>
        <v>0</v>
      </c>
      <c r="P411" s="6">
        <f t="shared" si="87"/>
        <v>122.03125751249966</v>
      </c>
      <c r="Q411" s="3">
        <v>122.03125751250001</v>
      </c>
      <c r="R411" s="6">
        <f t="shared" si="88"/>
        <v>-3.4106051316484809E-13</v>
      </c>
      <c r="S411" s="6" t="str">
        <f t="shared" si="89"/>
        <v>OK</v>
      </c>
    </row>
    <row r="412" spans="1:19" x14ac:dyDescent="0.25">
      <c r="A412" s="3" t="str">
        <f t="shared" si="90"/>
        <v>08.05.2026</v>
      </c>
      <c r="B412" s="5">
        <v>11</v>
      </c>
      <c r="C412" s="5" t="s">
        <v>107</v>
      </c>
      <c r="D412" s="3">
        <v>8.0970499999999994</v>
      </c>
      <c r="E412" s="3">
        <v>7.9888399999999997</v>
      </c>
      <c r="F412" s="6">
        <f t="shared" si="78"/>
        <v>-0.1082099999999997</v>
      </c>
      <c r="G412" s="6">
        <f t="shared" si="79"/>
        <v>-1.3364126441111233E-2</v>
      </c>
      <c r="H412" s="6" t="str">
        <f t="shared" si="80"/>
        <v>🔴 Under-injection</v>
      </c>
      <c r="I412" s="6">
        <f t="shared" si="81"/>
        <v>0.1082099999999997</v>
      </c>
      <c r="J412" s="3">
        <v>4.2956000000000003</v>
      </c>
      <c r="K412" s="6">
        <f t="shared" si="82"/>
        <v>1.2145575</v>
      </c>
      <c r="L412" s="6">
        <f t="shared" si="83"/>
        <v>1.61941</v>
      </c>
      <c r="M412" s="6">
        <f t="shared" si="84"/>
        <v>0.1082099999999997</v>
      </c>
      <c r="N412" s="6">
        <f t="shared" si="85"/>
        <v>0</v>
      </c>
      <c r="O412" s="6">
        <f t="shared" si="86"/>
        <v>0</v>
      </c>
      <c r="P412" s="6">
        <f t="shared" si="87"/>
        <v>122.01705494999966</v>
      </c>
      <c r="Q412" s="3">
        <v>122.01705495</v>
      </c>
      <c r="R412" s="6">
        <f t="shared" si="88"/>
        <v>-3.4106051316484809E-13</v>
      </c>
      <c r="S412" s="6" t="str">
        <f t="shared" si="89"/>
        <v>OK</v>
      </c>
    </row>
    <row r="413" spans="1:19" x14ac:dyDescent="0.25">
      <c r="A413" s="3" t="str">
        <f t="shared" si="90"/>
        <v>08.05.2026</v>
      </c>
      <c r="B413" s="5">
        <v>12</v>
      </c>
      <c r="C413" s="5" t="s">
        <v>106</v>
      </c>
      <c r="D413" s="3">
        <v>8.0970499999999994</v>
      </c>
      <c r="E413" s="3">
        <v>7.9888399999999997</v>
      </c>
      <c r="F413" s="6">
        <f t="shared" si="78"/>
        <v>-0.1082099999999997</v>
      </c>
      <c r="G413" s="6">
        <f t="shared" si="79"/>
        <v>-1.3364126441111233E-2</v>
      </c>
      <c r="H413" s="6" t="str">
        <f t="shared" si="80"/>
        <v>🔴 Under-injection</v>
      </c>
      <c r="I413" s="6">
        <f t="shared" si="81"/>
        <v>0.1082099999999997</v>
      </c>
      <c r="J413" s="3">
        <v>4.2274000000000003</v>
      </c>
      <c r="K413" s="6">
        <f t="shared" si="82"/>
        <v>1.2145575</v>
      </c>
      <c r="L413" s="6">
        <f t="shared" si="83"/>
        <v>1.61941</v>
      </c>
      <c r="M413" s="6">
        <f t="shared" si="84"/>
        <v>0.1082099999999997</v>
      </c>
      <c r="N413" s="6">
        <f t="shared" si="85"/>
        <v>0</v>
      </c>
      <c r="O413" s="6">
        <f t="shared" si="86"/>
        <v>0</v>
      </c>
      <c r="P413" s="6">
        <f t="shared" si="87"/>
        <v>120.07982542499967</v>
      </c>
      <c r="Q413" s="3">
        <v>120.07982542500002</v>
      </c>
      <c r="R413" s="6">
        <f t="shared" si="88"/>
        <v>-3.5527136788005009E-13</v>
      </c>
      <c r="S413" s="6" t="str">
        <f t="shared" si="89"/>
        <v>OK</v>
      </c>
    </row>
    <row r="414" spans="1:19" x14ac:dyDescent="0.25">
      <c r="A414" s="3" t="str">
        <f t="shared" si="90"/>
        <v>08.05.2026</v>
      </c>
      <c r="B414" s="5">
        <v>13</v>
      </c>
      <c r="C414" s="5" t="s">
        <v>105</v>
      </c>
      <c r="D414" s="3">
        <v>8.0970499999999994</v>
      </c>
      <c r="E414" s="3">
        <v>7.9888399999999997</v>
      </c>
      <c r="F414" s="6">
        <f t="shared" si="78"/>
        <v>-0.1082099999999997</v>
      </c>
      <c r="G414" s="6">
        <f t="shared" si="79"/>
        <v>-1.3364126441111233E-2</v>
      </c>
      <c r="H414" s="6" t="str">
        <f t="shared" si="80"/>
        <v>🔴 Under-injection</v>
      </c>
      <c r="I414" s="6">
        <f t="shared" si="81"/>
        <v>0.1082099999999997</v>
      </c>
      <c r="J414" s="3">
        <v>3.9218000000000002</v>
      </c>
      <c r="K414" s="6">
        <f t="shared" si="82"/>
        <v>1.2145575</v>
      </c>
      <c r="L414" s="6">
        <f t="shared" si="83"/>
        <v>1.61941</v>
      </c>
      <c r="M414" s="6">
        <f t="shared" si="84"/>
        <v>0.1082099999999997</v>
      </c>
      <c r="N414" s="6">
        <f t="shared" si="85"/>
        <v>0</v>
      </c>
      <c r="O414" s="6">
        <f t="shared" si="86"/>
        <v>0</v>
      </c>
      <c r="P414" s="6">
        <f t="shared" si="87"/>
        <v>111.3992192249997</v>
      </c>
      <c r="Q414" s="3">
        <v>111.399219225</v>
      </c>
      <c r="R414" s="6">
        <f t="shared" si="88"/>
        <v>-2.9842794901924208E-13</v>
      </c>
      <c r="S414" s="6" t="str">
        <f t="shared" si="89"/>
        <v>OK</v>
      </c>
    </row>
    <row r="415" spans="1:19" x14ac:dyDescent="0.25">
      <c r="A415" s="3" t="str">
        <f t="shared" si="90"/>
        <v>08.05.2026</v>
      </c>
      <c r="B415" s="5">
        <v>14</v>
      </c>
      <c r="C415" s="5" t="s">
        <v>104</v>
      </c>
      <c r="D415" s="3">
        <v>8.0970499999999994</v>
      </c>
      <c r="E415" s="3">
        <v>7.9888399999999997</v>
      </c>
      <c r="F415" s="6">
        <f t="shared" si="78"/>
        <v>-0.1082099999999997</v>
      </c>
      <c r="G415" s="6">
        <f t="shared" si="79"/>
        <v>-1.3364126441111233E-2</v>
      </c>
      <c r="H415" s="6" t="str">
        <f t="shared" si="80"/>
        <v>🔴 Under-injection</v>
      </c>
      <c r="I415" s="6">
        <f t="shared" si="81"/>
        <v>0.1082099999999997</v>
      </c>
      <c r="J415" s="3">
        <v>3.9551999999999996</v>
      </c>
      <c r="K415" s="6">
        <f t="shared" si="82"/>
        <v>1.2145575</v>
      </c>
      <c r="L415" s="6">
        <f t="shared" si="83"/>
        <v>1.61941</v>
      </c>
      <c r="M415" s="6">
        <f t="shared" si="84"/>
        <v>0.1082099999999997</v>
      </c>
      <c r="N415" s="6">
        <f t="shared" si="85"/>
        <v>0</v>
      </c>
      <c r="O415" s="6">
        <f t="shared" si="86"/>
        <v>0</v>
      </c>
      <c r="P415" s="6">
        <f t="shared" si="87"/>
        <v>112.34795039999968</v>
      </c>
      <c r="Q415" s="3">
        <v>112.34795039999997</v>
      </c>
      <c r="R415" s="6">
        <f t="shared" si="88"/>
        <v>-2.9842794901924208E-13</v>
      </c>
      <c r="S415" s="6" t="str">
        <f t="shared" si="89"/>
        <v>OK</v>
      </c>
    </row>
    <row r="416" spans="1:19" x14ac:dyDescent="0.25">
      <c r="A416" s="3" t="str">
        <f t="shared" si="90"/>
        <v>08.05.2026</v>
      </c>
      <c r="B416" s="5">
        <v>15</v>
      </c>
      <c r="C416" s="5" t="s">
        <v>103</v>
      </c>
      <c r="D416" s="3">
        <v>8.0970499999999994</v>
      </c>
      <c r="E416" s="3">
        <v>7.9888399999999997</v>
      </c>
      <c r="F416" s="6">
        <f t="shared" si="78"/>
        <v>-0.1082099999999997</v>
      </c>
      <c r="G416" s="6">
        <f t="shared" si="79"/>
        <v>-1.3364126441111233E-2</v>
      </c>
      <c r="H416" s="6" t="str">
        <f t="shared" si="80"/>
        <v>🔴 Under-injection</v>
      </c>
      <c r="I416" s="6">
        <f t="shared" si="81"/>
        <v>0.1082099999999997</v>
      </c>
      <c r="J416" s="3">
        <v>3.7565</v>
      </c>
      <c r="K416" s="6">
        <f t="shared" si="82"/>
        <v>1.2145575</v>
      </c>
      <c r="L416" s="6">
        <f t="shared" si="83"/>
        <v>1.61941</v>
      </c>
      <c r="M416" s="6">
        <f t="shared" si="84"/>
        <v>0.1082099999999997</v>
      </c>
      <c r="N416" s="6">
        <f t="shared" si="85"/>
        <v>0</v>
      </c>
      <c r="O416" s="6">
        <f t="shared" si="86"/>
        <v>0</v>
      </c>
      <c r="P416" s="6">
        <f t="shared" si="87"/>
        <v>106.70385206249971</v>
      </c>
      <c r="Q416" s="3">
        <v>106.7038520625</v>
      </c>
      <c r="R416" s="6">
        <f t="shared" si="88"/>
        <v>-2.9842794901924208E-13</v>
      </c>
      <c r="S416" s="6" t="str">
        <f t="shared" si="89"/>
        <v>OK</v>
      </c>
    </row>
    <row r="417" spans="1:19" x14ac:dyDescent="0.25">
      <c r="A417" s="3" t="str">
        <f t="shared" si="90"/>
        <v>08.05.2026</v>
      </c>
      <c r="B417" s="5">
        <v>16</v>
      </c>
      <c r="C417" s="5" t="s">
        <v>102</v>
      </c>
      <c r="D417" s="3">
        <v>8.0970499999999994</v>
      </c>
      <c r="E417" s="3">
        <v>7.9888399999999997</v>
      </c>
      <c r="F417" s="6">
        <f t="shared" si="78"/>
        <v>-0.1082099999999997</v>
      </c>
      <c r="G417" s="6">
        <f t="shared" si="79"/>
        <v>-1.3364126441111233E-2</v>
      </c>
      <c r="H417" s="6" t="str">
        <f t="shared" si="80"/>
        <v>🔴 Under-injection</v>
      </c>
      <c r="I417" s="6">
        <f t="shared" si="81"/>
        <v>0.1082099999999997</v>
      </c>
      <c r="J417" s="3">
        <v>3.7370000000000001</v>
      </c>
      <c r="K417" s="6">
        <f t="shared" si="82"/>
        <v>1.2145575</v>
      </c>
      <c r="L417" s="6">
        <f t="shared" si="83"/>
        <v>1.61941</v>
      </c>
      <c r="M417" s="6">
        <f t="shared" si="84"/>
        <v>0.1082099999999997</v>
      </c>
      <c r="N417" s="6">
        <f t="shared" si="85"/>
        <v>0</v>
      </c>
      <c r="O417" s="6">
        <f t="shared" si="86"/>
        <v>0</v>
      </c>
      <c r="P417" s="6">
        <f t="shared" si="87"/>
        <v>106.14995212499971</v>
      </c>
      <c r="Q417" s="3">
        <v>106.149952125</v>
      </c>
      <c r="R417" s="6">
        <f t="shared" si="88"/>
        <v>-2.8421709430404007E-13</v>
      </c>
      <c r="S417" s="6" t="str">
        <f t="shared" si="89"/>
        <v>OK</v>
      </c>
    </row>
    <row r="418" spans="1:19" x14ac:dyDescent="0.25">
      <c r="A418" s="3" t="str">
        <f t="shared" si="90"/>
        <v>08.05.2026</v>
      </c>
      <c r="B418" s="5">
        <v>17</v>
      </c>
      <c r="C418" s="5" t="s">
        <v>101</v>
      </c>
      <c r="D418" s="3">
        <v>8.0970499999999994</v>
      </c>
      <c r="E418" s="3">
        <v>7.8299599999999998</v>
      </c>
      <c r="F418" s="6">
        <f t="shared" si="78"/>
        <v>-0.26708999999999961</v>
      </c>
      <c r="G418" s="6">
        <f t="shared" si="79"/>
        <v>-3.2986087525703763E-2</v>
      </c>
      <c r="H418" s="6" t="str">
        <f t="shared" si="80"/>
        <v>🔴 Under-injection</v>
      </c>
      <c r="I418" s="6">
        <f t="shared" si="81"/>
        <v>0.26708999999999961</v>
      </c>
      <c r="J418" s="3">
        <v>3.7035</v>
      </c>
      <c r="K418" s="6">
        <f t="shared" si="82"/>
        <v>1.2145575</v>
      </c>
      <c r="L418" s="6">
        <f t="shared" si="83"/>
        <v>1.61941</v>
      </c>
      <c r="M418" s="6">
        <f t="shared" si="84"/>
        <v>0.26708999999999961</v>
      </c>
      <c r="N418" s="6">
        <f t="shared" si="85"/>
        <v>0</v>
      </c>
      <c r="O418" s="6">
        <f t="shared" si="86"/>
        <v>0</v>
      </c>
      <c r="P418" s="6">
        <f t="shared" si="87"/>
        <v>259.65655143749962</v>
      </c>
      <c r="Q418" s="3">
        <v>259.65655143750001</v>
      </c>
      <c r="R418" s="6">
        <f t="shared" si="88"/>
        <v>0</v>
      </c>
      <c r="S418" s="6" t="str">
        <f t="shared" si="89"/>
        <v>OK</v>
      </c>
    </row>
    <row r="419" spans="1:19" x14ac:dyDescent="0.25">
      <c r="A419" s="3" t="str">
        <f t="shared" si="90"/>
        <v>08.05.2026</v>
      </c>
      <c r="B419" s="5">
        <v>18</v>
      </c>
      <c r="C419" s="5" t="s">
        <v>100</v>
      </c>
      <c r="D419" s="3">
        <v>8.0970499999999994</v>
      </c>
      <c r="E419" s="3">
        <v>7.8186200000000001</v>
      </c>
      <c r="F419" s="6">
        <f t="shared" si="78"/>
        <v>-0.27842999999999929</v>
      </c>
      <c r="G419" s="6">
        <f t="shared" si="79"/>
        <v>-3.4386597588010361E-2</v>
      </c>
      <c r="H419" s="6" t="str">
        <f t="shared" si="80"/>
        <v>🔴 Under-injection</v>
      </c>
      <c r="I419" s="6">
        <f t="shared" si="81"/>
        <v>0.27842999999999929</v>
      </c>
      <c r="J419" s="3">
        <v>3.6508999999999996</v>
      </c>
      <c r="K419" s="6">
        <f t="shared" si="82"/>
        <v>1.2145575</v>
      </c>
      <c r="L419" s="6">
        <f t="shared" si="83"/>
        <v>1.61941</v>
      </c>
      <c r="M419" s="6">
        <f t="shared" si="84"/>
        <v>0.27842999999999929</v>
      </c>
      <c r="N419" s="6">
        <f t="shared" si="85"/>
        <v>0</v>
      </c>
      <c r="O419" s="6">
        <f t="shared" si="86"/>
        <v>0</v>
      </c>
      <c r="P419" s="6">
        <f t="shared" si="87"/>
        <v>266.83652283749933</v>
      </c>
      <c r="Q419" s="3">
        <v>266.83652283749996</v>
      </c>
      <c r="R419" s="6">
        <f t="shared" si="88"/>
        <v>-6.2527760746888816E-13</v>
      </c>
      <c r="S419" s="6" t="str">
        <f t="shared" si="89"/>
        <v>OK</v>
      </c>
    </row>
    <row r="420" spans="1:19" x14ac:dyDescent="0.25">
      <c r="A420" s="3" t="str">
        <f t="shared" si="90"/>
        <v>08.05.2026</v>
      </c>
      <c r="B420" s="5">
        <v>19</v>
      </c>
      <c r="C420" s="5" t="s">
        <v>99</v>
      </c>
      <c r="D420" s="3">
        <v>8.0970499999999994</v>
      </c>
      <c r="E420" s="3">
        <v>7.8186200000000001</v>
      </c>
      <c r="F420" s="6">
        <f t="shared" si="78"/>
        <v>-0.27842999999999929</v>
      </c>
      <c r="G420" s="6">
        <f t="shared" si="79"/>
        <v>-3.4386597588010361E-2</v>
      </c>
      <c r="H420" s="6" t="str">
        <f t="shared" si="80"/>
        <v>🔴 Under-injection</v>
      </c>
      <c r="I420" s="6">
        <f t="shared" si="81"/>
        <v>0.27842999999999929</v>
      </c>
      <c r="J420" s="3">
        <v>3.6889999999999996</v>
      </c>
      <c r="K420" s="6">
        <f t="shared" si="82"/>
        <v>1.2145575</v>
      </c>
      <c r="L420" s="6">
        <f t="shared" si="83"/>
        <v>1.61941</v>
      </c>
      <c r="M420" s="6">
        <f t="shared" si="84"/>
        <v>0.27842999999999929</v>
      </c>
      <c r="N420" s="6">
        <f t="shared" si="85"/>
        <v>0</v>
      </c>
      <c r="O420" s="6">
        <f t="shared" si="86"/>
        <v>0</v>
      </c>
      <c r="P420" s="6">
        <f t="shared" si="87"/>
        <v>269.62117087499934</v>
      </c>
      <c r="Q420" s="3">
        <v>269.62117087499996</v>
      </c>
      <c r="R420" s="6">
        <f t="shared" si="88"/>
        <v>-6.2527760746888816E-13</v>
      </c>
      <c r="S420" s="6" t="str">
        <f t="shared" si="89"/>
        <v>OK</v>
      </c>
    </row>
    <row r="421" spans="1:19" x14ac:dyDescent="0.25">
      <c r="A421" s="3" t="str">
        <f t="shared" si="90"/>
        <v>08.05.2026</v>
      </c>
      <c r="B421" s="5">
        <v>20</v>
      </c>
      <c r="C421" s="5" t="s">
        <v>98</v>
      </c>
      <c r="D421" s="3">
        <v>8.0970499999999994</v>
      </c>
      <c r="E421" s="3">
        <v>7.8186200000000001</v>
      </c>
      <c r="F421" s="6">
        <f t="shared" si="78"/>
        <v>-0.27842999999999929</v>
      </c>
      <c r="G421" s="6">
        <f t="shared" si="79"/>
        <v>-3.4386597588010361E-2</v>
      </c>
      <c r="H421" s="6" t="str">
        <f t="shared" si="80"/>
        <v>🔴 Under-injection</v>
      </c>
      <c r="I421" s="6">
        <f t="shared" si="81"/>
        <v>0.27842999999999929</v>
      </c>
      <c r="J421" s="3">
        <v>3.6343000000000001</v>
      </c>
      <c r="K421" s="6">
        <f t="shared" si="82"/>
        <v>1.2145575</v>
      </c>
      <c r="L421" s="6">
        <f t="shared" si="83"/>
        <v>1.61941</v>
      </c>
      <c r="M421" s="6">
        <f t="shared" si="84"/>
        <v>0.27842999999999929</v>
      </c>
      <c r="N421" s="6">
        <f t="shared" si="85"/>
        <v>0</v>
      </c>
      <c r="O421" s="6">
        <f t="shared" si="86"/>
        <v>0</v>
      </c>
      <c r="P421" s="6">
        <f t="shared" si="87"/>
        <v>265.62326411249933</v>
      </c>
      <c r="Q421" s="3">
        <v>265.62326411250001</v>
      </c>
      <c r="R421" s="6">
        <f t="shared" si="88"/>
        <v>-6.8212102632969618E-13</v>
      </c>
      <c r="S421" s="6" t="str">
        <f t="shared" si="89"/>
        <v>OK</v>
      </c>
    </row>
    <row r="422" spans="1:19" x14ac:dyDescent="0.25">
      <c r="A422" s="3" t="str">
        <f t="shared" si="90"/>
        <v>08.05.2026</v>
      </c>
      <c r="B422" s="5">
        <v>21</v>
      </c>
      <c r="C422" s="5" t="s">
        <v>97</v>
      </c>
      <c r="D422" s="3">
        <v>8.0970499999999994</v>
      </c>
      <c r="E422" s="3">
        <v>7.8186200000000001</v>
      </c>
      <c r="F422" s="6">
        <f t="shared" si="78"/>
        <v>-0.27842999999999929</v>
      </c>
      <c r="G422" s="6">
        <f t="shared" si="79"/>
        <v>-3.4386597588010361E-2</v>
      </c>
      <c r="H422" s="6" t="str">
        <f t="shared" si="80"/>
        <v>🔴 Under-injection</v>
      </c>
      <c r="I422" s="6">
        <f t="shared" si="81"/>
        <v>0.27842999999999929</v>
      </c>
      <c r="J422" s="3">
        <v>3.7470999999999997</v>
      </c>
      <c r="K422" s="6">
        <f t="shared" si="82"/>
        <v>1.2145575</v>
      </c>
      <c r="L422" s="6">
        <f t="shared" si="83"/>
        <v>1.61941</v>
      </c>
      <c r="M422" s="6">
        <f t="shared" si="84"/>
        <v>0.27842999999999929</v>
      </c>
      <c r="N422" s="6">
        <f t="shared" si="85"/>
        <v>0</v>
      </c>
      <c r="O422" s="6">
        <f t="shared" si="86"/>
        <v>0</v>
      </c>
      <c r="P422" s="6">
        <f t="shared" si="87"/>
        <v>273.86757641249926</v>
      </c>
      <c r="Q422" s="3">
        <v>273.8675764125</v>
      </c>
      <c r="R422" s="6">
        <f t="shared" si="88"/>
        <v>-7.3896444519050419E-13</v>
      </c>
      <c r="S422" s="6" t="str">
        <f t="shared" si="89"/>
        <v>OK</v>
      </c>
    </row>
    <row r="423" spans="1:19" x14ac:dyDescent="0.25">
      <c r="A423" s="3" t="str">
        <f t="shared" si="90"/>
        <v>08.05.2026</v>
      </c>
      <c r="B423" s="5">
        <v>22</v>
      </c>
      <c r="C423" s="5" t="s">
        <v>96</v>
      </c>
      <c r="D423" s="3">
        <v>8.0970499999999994</v>
      </c>
      <c r="E423" s="3">
        <v>7.8186200000000001</v>
      </c>
      <c r="F423" s="6">
        <f t="shared" si="78"/>
        <v>-0.27842999999999929</v>
      </c>
      <c r="G423" s="6">
        <f t="shared" si="79"/>
        <v>-3.4386597588010361E-2</v>
      </c>
      <c r="H423" s="6" t="str">
        <f t="shared" si="80"/>
        <v>🔴 Under-injection</v>
      </c>
      <c r="I423" s="6">
        <f t="shared" si="81"/>
        <v>0.27842999999999929</v>
      </c>
      <c r="J423" s="3">
        <v>3.9201999999999999</v>
      </c>
      <c r="K423" s="6">
        <f t="shared" si="82"/>
        <v>1.2145575</v>
      </c>
      <c r="L423" s="6">
        <f t="shared" si="83"/>
        <v>1.61941</v>
      </c>
      <c r="M423" s="6">
        <f t="shared" si="84"/>
        <v>0.27842999999999929</v>
      </c>
      <c r="N423" s="6">
        <f t="shared" si="85"/>
        <v>0</v>
      </c>
      <c r="O423" s="6">
        <f t="shared" si="86"/>
        <v>0</v>
      </c>
      <c r="P423" s="6">
        <f t="shared" si="87"/>
        <v>286.51908757499928</v>
      </c>
      <c r="Q423" s="3">
        <v>286.51908757500001</v>
      </c>
      <c r="R423" s="6">
        <f t="shared" si="88"/>
        <v>-7.3896444519050419E-13</v>
      </c>
      <c r="S423" s="6" t="str">
        <f t="shared" si="89"/>
        <v>OK</v>
      </c>
    </row>
    <row r="424" spans="1:19" x14ac:dyDescent="0.25">
      <c r="A424" s="3" t="str">
        <f t="shared" si="90"/>
        <v>08.05.2026</v>
      </c>
      <c r="B424" s="5">
        <v>23</v>
      </c>
      <c r="C424" s="5" t="s">
        <v>95</v>
      </c>
      <c r="D424" s="3">
        <v>8.0970499999999994</v>
      </c>
      <c r="E424" s="3">
        <v>7.8186200000000001</v>
      </c>
      <c r="F424" s="6">
        <f t="shared" si="78"/>
        <v>-0.27842999999999929</v>
      </c>
      <c r="G424" s="6">
        <f t="shared" si="79"/>
        <v>-3.4386597588010361E-2</v>
      </c>
      <c r="H424" s="6" t="str">
        <f t="shared" si="80"/>
        <v>🔴 Under-injection</v>
      </c>
      <c r="I424" s="6">
        <f t="shared" si="81"/>
        <v>0.27842999999999929</v>
      </c>
      <c r="J424" s="3">
        <v>4.0179999999999998</v>
      </c>
      <c r="K424" s="6">
        <f t="shared" si="82"/>
        <v>1.2145575</v>
      </c>
      <c r="L424" s="6">
        <f t="shared" si="83"/>
        <v>1.61941</v>
      </c>
      <c r="M424" s="6">
        <f t="shared" si="84"/>
        <v>0.27842999999999929</v>
      </c>
      <c r="N424" s="6">
        <f t="shared" si="85"/>
        <v>0</v>
      </c>
      <c r="O424" s="6">
        <f t="shared" si="86"/>
        <v>0</v>
      </c>
      <c r="P424" s="6">
        <f t="shared" si="87"/>
        <v>293.66708174999923</v>
      </c>
      <c r="Q424" s="3">
        <v>293.66708175000002</v>
      </c>
      <c r="R424" s="6">
        <f t="shared" si="88"/>
        <v>-7.9580786405131221E-13</v>
      </c>
      <c r="S424" s="6" t="str">
        <f t="shared" si="89"/>
        <v>OK</v>
      </c>
    </row>
    <row r="425" spans="1:19" x14ac:dyDescent="0.25">
      <c r="A425" s="3" t="str">
        <f t="shared" si="90"/>
        <v>08.05.2026</v>
      </c>
      <c r="B425" s="5">
        <v>24</v>
      </c>
      <c r="C425" s="5" t="s">
        <v>94</v>
      </c>
      <c r="D425" s="3">
        <v>8.0970499999999994</v>
      </c>
      <c r="E425" s="3">
        <v>7.8186200000000001</v>
      </c>
      <c r="F425" s="6">
        <f t="shared" si="78"/>
        <v>-0.27842999999999929</v>
      </c>
      <c r="G425" s="6">
        <f t="shared" si="79"/>
        <v>-3.4386597588010361E-2</v>
      </c>
      <c r="H425" s="6" t="str">
        <f t="shared" si="80"/>
        <v>🔴 Under-injection</v>
      </c>
      <c r="I425" s="6">
        <f t="shared" si="81"/>
        <v>0.27842999999999929</v>
      </c>
      <c r="J425" s="3">
        <v>3.8017000000000003</v>
      </c>
      <c r="K425" s="6">
        <f t="shared" si="82"/>
        <v>1.2145575</v>
      </c>
      <c r="L425" s="6">
        <f t="shared" si="83"/>
        <v>1.61941</v>
      </c>
      <c r="M425" s="6">
        <f t="shared" si="84"/>
        <v>0.27842999999999929</v>
      </c>
      <c r="N425" s="6">
        <f t="shared" si="85"/>
        <v>0</v>
      </c>
      <c r="O425" s="6">
        <f t="shared" si="86"/>
        <v>0</v>
      </c>
      <c r="P425" s="6">
        <f t="shared" si="87"/>
        <v>277.85817438749933</v>
      </c>
      <c r="Q425" s="3">
        <v>277.85817438750007</v>
      </c>
      <c r="R425" s="6">
        <f t="shared" si="88"/>
        <v>-7.3896444519050419E-13</v>
      </c>
      <c r="S425" s="6" t="str">
        <f t="shared" si="89"/>
        <v>OK</v>
      </c>
    </row>
    <row r="426" spans="1:19" x14ac:dyDescent="0.25">
      <c r="A426" s="3" t="str">
        <f t="shared" si="90"/>
        <v>08.05.2026</v>
      </c>
      <c r="B426" s="5">
        <v>25</v>
      </c>
      <c r="C426" s="5" t="s">
        <v>93</v>
      </c>
      <c r="D426" s="3">
        <v>8.0970499999999994</v>
      </c>
      <c r="E426" s="3">
        <v>7.8186200000000001</v>
      </c>
      <c r="F426" s="6">
        <f t="shared" si="78"/>
        <v>-0.27842999999999929</v>
      </c>
      <c r="G426" s="6">
        <f t="shared" si="79"/>
        <v>-3.4386597588010361E-2</v>
      </c>
      <c r="H426" s="6" t="str">
        <f t="shared" si="80"/>
        <v>🔴 Under-injection</v>
      </c>
      <c r="I426" s="6">
        <f t="shared" si="81"/>
        <v>0.27842999999999929</v>
      </c>
      <c r="J426" s="3">
        <v>3.6656999999999997</v>
      </c>
      <c r="K426" s="6">
        <f t="shared" si="82"/>
        <v>1.2145575</v>
      </c>
      <c r="L426" s="6">
        <f t="shared" si="83"/>
        <v>1.61941</v>
      </c>
      <c r="M426" s="6">
        <f t="shared" si="84"/>
        <v>0.27842999999999929</v>
      </c>
      <c r="N426" s="6">
        <f t="shared" si="85"/>
        <v>0</v>
      </c>
      <c r="O426" s="6">
        <f t="shared" si="86"/>
        <v>0</v>
      </c>
      <c r="P426" s="6">
        <f t="shared" si="87"/>
        <v>267.91822338749932</v>
      </c>
      <c r="Q426" s="3">
        <v>267.91822338750001</v>
      </c>
      <c r="R426" s="6">
        <f t="shared" si="88"/>
        <v>-6.8212102632969618E-13</v>
      </c>
      <c r="S426" s="6" t="str">
        <f t="shared" si="89"/>
        <v>OK</v>
      </c>
    </row>
    <row r="427" spans="1:19" x14ac:dyDescent="0.25">
      <c r="A427" s="3" t="str">
        <f t="shared" si="90"/>
        <v>08.05.2026</v>
      </c>
      <c r="B427" s="5">
        <v>26</v>
      </c>
      <c r="C427" s="5" t="s">
        <v>92</v>
      </c>
      <c r="D427" s="3">
        <v>8.0970499999999994</v>
      </c>
      <c r="E427" s="3">
        <v>7.8186200000000001</v>
      </c>
      <c r="F427" s="6">
        <f t="shared" si="78"/>
        <v>-0.27842999999999929</v>
      </c>
      <c r="G427" s="6">
        <f t="shared" si="79"/>
        <v>-3.4386597588010361E-2</v>
      </c>
      <c r="H427" s="6" t="str">
        <f t="shared" si="80"/>
        <v>🔴 Under-injection</v>
      </c>
      <c r="I427" s="6">
        <f t="shared" si="81"/>
        <v>0.27842999999999929</v>
      </c>
      <c r="J427" s="3">
        <v>3.6061000000000001</v>
      </c>
      <c r="K427" s="6">
        <f t="shared" si="82"/>
        <v>1.2145575</v>
      </c>
      <c r="L427" s="6">
        <f t="shared" si="83"/>
        <v>1.61941</v>
      </c>
      <c r="M427" s="6">
        <f t="shared" si="84"/>
        <v>0.27842999999999929</v>
      </c>
      <c r="N427" s="6">
        <f t="shared" si="85"/>
        <v>0</v>
      </c>
      <c r="O427" s="6">
        <f t="shared" si="86"/>
        <v>0</v>
      </c>
      <c r="P427" s="6">
        <f t="shared" si="87"/>
        <v>263.56218603749937</v>
      </c>
      <c r="Q427" s="3">
        <v>263.56218603750006</v>
      </c>
      <c r="R427" s="6">
        <f t="shared" si="88"/>
        <v>-6.8212102632969618E-13</v>
      </c>
      <c r="S427" s="6" t="str">
        <f t="shared" si="89"/>
        <v>OK</v>
      </c>
    </row>
    <row r="428" spans="1:19" x14ac:dyDescent="0.25">
      <c r="A428" s="3" t="str">
        <f t="shared" si="90"/>
        <v>08.05.2026</v>
      </c>
      <c r="B428" s="5">
        <v>27</v>
      </c>
      <c r="C428" s="5" t="s">
        <v>91</v>
      </c>
      <c r="D428" s="3">
        <v>8.0970499999999994</v>
      </c>
      <c r="E428" s="3">
        <v>7.8186200000000001</v>
      </c>
      <c r="F428" s="6">
        <f t="shared" si="78"/>
        <v>-0.27842999999999929</v>
      </c>
      <c r="G428" s="6">
        <f t="shared" si="79"/>
        <v>-3.4386597588010361E-2</v>
      </c>
      <c r="H428" s="6" t="str">
        <f t="shared" si="80"/>
        <v>🔴 Under-injection</v>
      </c>
      <c r="I428" s="6">
        <f t="shared" si="81"/>
        <v>0.27842999999999929</v>
      </c>
      <c r="J428" s="3">
        <v>3.4144999999999999</v>
      </c>
      <c r="K428" s="6">
        <f t="shared" si="82"/>
        <v>1.2145575</v>
      </c>
      <c r="L428" s="6">
        <f t="shared" si="83"/>
        <v>1.61941</v>
      </c>
      <c r="M428" s="6">
        <f t="shared" si="84"/>
        <v>0.27842999999999929</v>
      </c>
      <c r="N428" s="6">
        <f t="shared" si="85"/>
        <v>0</v>
      </c>
      <c r="O428" s="6">
        <f t="shared" si="86"/>
        <v>0</v>
      </c>
      <c r="P428" s="6">
        <f t="shared" si="87"/>
        <v>249.55854918749938</v>
      </c>
      <c r="Q428" s="3">
        <v>249.55854918750001</v>
      </c>
      <c r="R428" s="6">
        <f t="shared" si="88"/>
        <v>-6.2527760746888816E-13</v>
      </c>
      <c r="S428" s="6" t="str">
        <f t="shared" si="89"/>
        <v>OK</v>
      </c>
    </row>
    <row r="429" spans="1:19" x14ac:dyDescent="0.25">
      <c r="A429" s="3" t="str">
        <f t="shared" si="90"/>
        <v>08.05.2026</v>
      </c>
      <c r="B429" s="5">
        <v>28</v>
      </c>
      <c r="C429" s="5" t="s">
        <v>90</v>
      </c>
      <c r="D429" s="3">
        <v>8.0970499999999994</v>
      </c>
      <c r="E429" s="3">
        <v>7.8186200000000001</v>
      </c>
      <c r="F429" s="6">
        <f t="shared" si="78"/>
        <v>-0.27842999999999929</v>
      </c>
      <c r="G429" s="6">
        <f t="shared" si="79"/>
        <v>-3.4386597588010361E-2</v>
      </c>
      <c r="H429" s="6" t="str">
        <f t="shared" si="80"/>
        <v>🔴 Under-injection</v>
      </c>
      <c r="I429" s="6">
        <f t="shared" si="81"/>
        <v>0.27842999999999929</v>
      </c>
      <c r="J429" s="3">
        <v>3.2317</v>
      </c>
      <c r="K429" s="6">
        <f t="shared" si="82"/>
        <v>1.2145575</v>
      </c>
      <c r="L429" s="6">
        <f t="shared" si="83"/>
        <v>1.61941</v>
      </c>
      <c r="M429" s="6">
        <f t="shared" si="84"/>
        <v>0.27842999999999929</v>
      </c>
      <c r="N429" s="6">
        <f t="shared" si="85"/>
        <v>0</v>
      </c>
      <c r="O429" s="6">
        <f t="shared" si="86"/>
        <v>0</v>
      </c>
      <c r="P429" s="6">
        <f t="shared" si="87"/>
        <v>236.19808563749942</v>
      </c>
      <c r="Q429" s="3">
        <v>236.19808563750001</v>
      </c>
      <c r="R429" s="6">
        <f t="shared" si="88"/>
        <v>-5.9685589803848416E-13</v>
      </c>
      <c r="S429" s="6" t="str">
        <f t="shared" si="89"/>
        <v>OK</v>
      </c>
    </row>
    <row r="430" spans="1:19" x14ac:dyDescent="0.25">
      <c r="A430" s="3" t="str">
        <f t="shared" si="90"/>
        <v>08.05.2026</v>
      </c>
      <c r="B430" s="5">
        <v>29</v>
      </c>
      <c r="C430" s="5" t="s">
        <v>89</v>
      </c>
      <c r="D430" s="3">
        <v>8.0970499999999994</v>
      </c>
      <c r="E430" s="3">
        <v>7.8072699999999999</v>
      </c>
      <c r="F430" s="6">
        <f t="shared" si="78"/>
        <v>-0.28977999999999948</v>
      </c>
      <c r="G430" s="6">
        <f t="shared" si="79"/>
        <v>-3.5788342668008656E-2</v>
      </c>
      <c r="H430" s="6" t="str">
        <f t="shared" si="80"/>
        <v>🔴 Under-injection</v>
      </c>
      <c r="I430" s="6">
        <f t="shared" si="81"/>
        <v>0.28977999999999948</v>
      </c>
      <c r="J430" s="3">
        <v>2.9585000000000004</v>
      </c>
      <c r="K430" s="6">
        <f t="shared" si="82"/>
        <v>1.2145575</v>
      </c>
      <c r="L430" s="6">
        <f t="shared" si="83"/>
        <v>1.61941</v>
      </c>
      <c r="M430" s="6">
        <f t="shared" si="84"/>
        <v>0.28977999999999948</v>
      </c>
      <c r="N430" s="6">
        <f t="shared" si="85"/>
        <v>0</v>
      </c>
      <c r="O430" s="6">
        <f t="shared" si="86"/>
        <v>0</v>
      </c>
      <c r="P430" s="6">
        <f t="shared" si="87"/>
        <v>225.04495912499965</v>
      </c>
      <c r="Q430" s="3">
        <v>225.04495912500002</v>
      </c>
      <c r="R430" s="6">
        <f t="shared" si="88"/>
        <v>-3.694822225952521E-13</v>
      </c>
      <c r="S430" s="6" t="str">
        <f t="shared" si="89"/>
        <v>OK</v>
      </c>
    </row>
    <row r="431" spans="1:19" x14ac:dyDescent="0.25">
      <c r="A431" s="3" t="str">
        <f t="shared" si="90"/>
        <v>08.05.2026</v>
      </c>
      <c r="B431" s="5">
        <v>30</v>
      </c>
      <c r="C431" s="5" t="s">
        <v>88</v>
      </c>
      <c r="D431" s="3">
        <v>8.0970499999999994</v>
      </c>
      <c r="E431" s="3">
        <v>7.8072699999999999</v>
      </c>
      <c r="F431" s="6">
        <f t="shared" si="78"/>
        <v>-0.28977999999999948</v>
      </c>
      <c r="G431" s="6">
        <f t="shared" si="79"/>
        <v>-3.5788342668008656E-2</v>
      </c>
      <c r="H431" s="6" t="str">
        <f t="shared" si="80"/>
        <v>🔴 Under-injection</v>
      </c>
      <c r="I431" s="6">
        <f t="shared" si="81"/>
        <v>0.28977999999999948</v>
      </c>
      <c r="J431" s="3">
        <v>2.6187</v>
      </c>
      <c r="K431" s="6">
        <f t="shared" si="82"/>
        <v>1.2145575</v>
      </c>
      <c r="L431" s="6">
        <f t="shared" si="83"/>
        <v>1.61941</v>
      </c>
      <c r="M431" s="6">
        <f t="shared" si="84"/>
        <v>0.28977999999999948</v>
      </c>
      <c r="N431" s="6">
        <f t="shared" si="85"/>
        <v>0</v>
      </c>
      <c r="O431" s="6">
        <f t="shared" si="86"/>
        <v>0</v>
      </c>
      <c r="P431" s="6">
        <f t="shared" si="87"/>
        <v>199.19730757499966</v>
      </c>
      <c r="Q431" s="3">
        <v>199.19730757499997</v>
      </c>
      <c r="R431" s="6">
        <f t="shared" si="88"/>
        <v>-3.1263880373444408E-13</v>
      </c>
      <c r="S431" s="6" t="str">
        <f t="shared" si="89"/>
        <v>OK</v>
      </c>
    </row>
    <row r="432" spans="1:19" x14ac:dyDescent="0.25">
      <c r="A432" s="3" t="str">
        <f t="shared" si="90"/>
        <v>08.05.2026</v>
      </c>
      <c r="B432" s="5">
        <v>31</v>
      </c>
      <c r="C432" s="5" t="s">
        <v>87</v>
      </c>
      <c r="D432" s="3">
        <v>8.0970499999999994</v>
      </c>
      <c r="E432" s="3">
        <v>7.8072699999999999</v>
      </c>
      <c r="F432" s="6">
        <f t="shared" si="78"/>
        <v>-0.28977999999999948</v>
      </c>
      <c r="G432" s="6">
        <f t="shared" si="79"/>
        <v>-3.5788342668008656E-2</v>
      </c>
      <c r="H432" s="6" t="str">
        <f t="shared" si="80"/>
        <v>🔴 Under-injection</v>
      </c>
      <c r="I432" s="6">
        <f t="shared" si="81"/>
        <v>0.28977999999999948</v>
      </c>
      <c r="J432" s="3">
        <v>2.0909</v>
      </c>
      <c r="K432" s="6">
        <f t="shared" si="82"/>
        <v>1.2145575</v>
      </c>
      <c r="L432" s="6">
        <f t="shared" si="83"/>
        <v>1.61941</v>
      </c>
      <c r="M432" s="6">
        <f t="shared" si="84"/>
        <v>0.28977999999999948</v>
      </c>
      <c r="N432" s="6">
        <f t="shared" si="85"/>
        <v>0</v>
      </c>
      <c r="O432" s="6">
        <f t="shared" si="86"/>
        <v>0</v>
      </c>
      <c r="P432" s="6">
        <f t="shared" si="87"/>
        <v>159.04901302499971</v>
      </c>
      <c r="Q432" s="3">
        <v>159.04901302499999</v>
      </c>
      <c r="R432" s="6">
        <f t="shared" si="88"/>
        <v>-2.8421709430404007E-13</v>
      </c>
      <c r="S432" s="6" t="str">
        <f t="shared" si="89"/>
        <v>OK</v>
      </c>
    </row>
    <row r="433" spans="1:19" x14ac:dyDescent="0.25">
      <c r="A433" s="3" t="str">
        <f t="shared" si="90"/>
        <v>08.05.2026</v>
      </c>
      <c r="B433" s="5">
        <v>32</v>
      </c>
      <c r="C433" s="5" t="s">
        <v>86</v>
      </c>
      <c r="D433" s="3">
        <v>8.0970499999999994</v>
      </c>
      <c r="E433" s="3">
        <v>7.8072699999999999</v>
      </c>
      <c r="F433" s="6">
        <f t="shared" si="78"/>
        <v>-0.28977999999999948</v>
      </c>
      <c r="G433" s="6">
        <f t="shared" si="79"/>
        <v>-3.5788342668008656E-2</v>
      </c>
      <c r="H433" s="6" t="str">
        <f t="shared" si="80"/>
        <v>🔴 Under-injection</v>
      </c>
      <c r="I433" s="6">
        <f t="shared" si="81"/>
        <v>0.28977999999999948</v>
      </c>
      <c r="J433" s="3">
        <v>1.9324000000000001</v>
      </c>
      <c r="K433" s="6">
        <f t="shared" si="82"/>
        <v>1.2145575</v>
      </c>
      <c r="L433" s="6">
        <f t="shared" si="83"/>
        <v>1.61941</v>
      </c>
      <c r="M433" s="6">
        <f t="shared" si="84"/>
        <v>0.28977999999999948</v>
      </c>
      <c r="N433" s="6">
        <f t="shared" si="85"/>
        <v>0</v>
      </c>
      <c r="O433" s="6">
        <f t="shared" si="86"/>
        <v>0</v>
      </c>
      <c r="P433" s="6">
        <f t="shared" si="87"/>
        <v>146.99235389999973</v>
      </c>
      <c r="Q433" s="3">
        <v>146.99235389999998</v>
      </c>
      <c r="R433" s="6">
        <f t="shared" si="88"/>
        <v>-2.5579538487363607E-13</v>
      </c>
      <c r="S433" s="6" t="str">
        <f t="shared" si="89"/>
        <v>OK</v>
      </c>
    </row>
    <row r="434" spans="1:19" x14ac:dyDescent="0.25">
      <c r="A434" s="3" t="str">
        <f t="shared" si="90"/>
        <v>08.05.2026</v>
      </c>
      <c r="B434" s="5">
        <v>33</v>
      </c>
      <c r="C434" s="5" t="s">
        <v>85</v>
      </c>
      <c r="D434" s="3">
        <v>8.0970499999999994</v>
      </c>
      <c r="E434" s="3">
        <v>7.8072699999999999</v>
      </c>
      <c r="F434" s="6">
        <f t="shared" si="78"/>
        <v>-0.28977999999999948</v>
      </c>
      <c r="G434" s="6">
        <f t="shared" si="79"/>
        <v>-3.5788342668008656E-2</v>
      </c>
      <c r="H434" s="6" t="str">
        <f t="shared" si="80"/>
        <v>🔴 Under-injection</v>
      </c>
      <c r="I434" s="6">
        <f t="shared" si="81"/>
        <v>0.28977999999999948</v>
      </c>
      <c r="J434" s="3">
        <v>1.6769999999999998</v>
      </c>
      <c r="K434" s="6">
        <f t="shared" si="82"/>
        <v>1.2145575</v>
      </c>
      <c r="L434" s="6">
        <f t="shared" si="83"/>
        <v>1.61941</v>
      </c>
      <c r="M434" s="6">
        <f t="shared" si="84"/>
        <v>0.28977999999999948</v>
      </c>
      <c r="N434" s="6">
        <f t="shared" si="85"/>
        <v>0</v>
      </c>
      <c r="O434" s="6">
        <f t="shared" si="86"/>
        <v>0</v>
      </c>
      <c r="P434" s="6">
        <f t="shared" si="87"/>
        <v>127.56477824999976</v>
      </c>
      <c r="Q434" s="3">
        <v>127.56477824999999</v>
      </c>
      <c r="R434" s="6">
        <f t="shared" si="88"/>
        <v>-2.2737367544323206E-13</v>
      </c>
      <c r="S434" s="6" t="str">
        <f t="shared" si="89"/>
        <v>OK</v>
      </c>
    </row>
    <row r="435" spans="1:19" x14ac:dyDescent="0.25">
      <c r="A435" s="3" t="str">
        <f t="shared" si="90"/>
        <v>08.05.2026</v>
      </c>
      <c r="B435" s="5">
        <v>34</v>
      </c>
      <c r="C435" s="5" t="s">
        <v>84</v>
      </c>
      <c r="D435" s="3">
        <v>8.0970499999999994</v>
      </c>
      <c r="E435" s="3">
        <v>7.8072699999999999</v>
      </c>
      <c r="F435" s="6">
        <f t="shared" si="78"/>
        <v>-0.28977999999999948</v>
      </c>
      <c r="G435" s="6">
        <f t="shared" si="79"/>
        <v>-3.5788342668008656E-2</v>
      </c>
      <c r="H435" s="6" t="str">
        <f t="shared" si="80"/>
        <v>🔴 Under-injection</v>
      </c>
      <c r="I435" s="6">
        <f t="shared" si="81"/>
        <v>0.28977999999999948</v>
      </c>
      <c r="J435" s="3">
        <v>1.5667</v>
      </c>
      <c r="K435" s="6">
        <f t="shared" si="82"/>
        <v>1.2145575</v>
      </c>
      <c r="L435" s="6">
        <f t="shared" si="83"/>
        <v>1.61941</v>
      </c>
      <c r="M435" s="6">
        <f t="shared" si="84"/>
        <v>0.28977999999999948</v>
      </c>
      <c r="N435" s="6">
        <f t="shared" si="85"/>
        <v>0</v>
      </c>
      <c r="O435" s="6">
        <f t="shared" si="86"/>
        <v>0</v>
      </c>
      <c r="P435" s="6">
        <f t="shared" si="87"/>
        <v>119.17456057499979</v>
      </c>
      <c r="Q435" s="3">
        <v>119.17456057499999</v>
      </c>
      <c r="R435" s="6">
        <f t="shared" si="88"/>
        <v>-1.9895196601282805E-13</v>
      </c>
      <c r="S435" s="6" t="str">
        <f t="shared" si="89"/>
        <v>OK</v>
      </c>
    </row>
    <row r="436" spans="1:19" x14ac:dyDescent="0.25">
      <c r="A436" s="3" t="str">
        <f t="shared" si="90"/>
        <v>08.05.2026</v>
      </c>
      <c r="B436" s="5">
        <v>35</v>
      </c>
      <c r="C436" s="5" t="s">
        <v>83</v>
      </c>
      <c r="D436" s="3">
        <v>8.0970499999999994</v>
      </c>
      <c r="E436" s="3">
        <v>7.8072699999999999</v>
      </c>
      <c r="F436" s="6">
        <f t="shared" si="78"/>
        <v>-0.28977999999999948</v>
      </c>
      <c r="G436" s="6">
        <f t="shared" si="79"/>
        <v>-3.5788342668008656E-2</v>
      </c>
      <c r="H436" s="6" t="str">
        <f t="shared" si="80"/>
        <v>🔴 Under-injection</v>
      </c>
      <c r="I436" s="6">
        <f t="shared" si="81"/>
        <v>0.28977999999999948</v>
      </c>
      <c r="J436" s="3">
        <v>1.47</v>
      </c>
      <c r="K436" s="6">
        <f t="shared" si="82"/>
        <v>1.2145575</v>
      </c>
      <c r="L436" s="6">
        <f t="shared" si="83"/>
        <v>1.61941</v>
      </c>
      <c r="M436" s="6">
        <f t="shared" si="84"/>
        <v>0.28977999999999948</v>
      </c>
      <c r="N436" s="6">
        <f t="shared" si="85"/>
        <v>0</v>
      </c>
      <c r="O436" s="6">
        <f t="shared" si="86"/>
        <v>0</v>
      </c>
      <c r="P436" s="6">
        <f t="shared" si="87"/>
        <v>111.81885749999979</v>
      </c>
      <c r="Q436" s="3">
        <v>111.81885749999999</v>
      </c>
      <c r="R436" s="6">
        <f t="shared" si="88"/>
        <v>-1.9895196601282805E-13</v>
      </c>
      <c r="S436" s="6" t="str">
        <f t="shared" si="89"/>
        <v>OK</v>
      </c>
    </row>
    <row r="437" spans="1:19" x14ac:dyDescent="0.25">
      <c r="A437" s="3" t="str">
        <f t="shared" si="90"/>
        <v>08.05.2026</v>
      </c>
      <c r="B437" s="5">
        <v>36</v>
      </c>
      <c r="C437" s="5" t="s">
        <v>82</v>
      </c>
      <c r="D437" s="3">
        <v>8.0970499999999994</v>
      </c>
      <c r="E437" s="3">
        <v>7.8072699999999999</v>
      </c>
      <c r="F437" s="6">
        <f t="shared" si="78"/>
        <v>-0.28977999999999948</v>
      </c>
      <c r="G437" s="6">
        <f t="shared" si="79"/>
        <v>-3.5788342668008656E-2</v>
      </c>
      <c r="H437" s="6" t="str">
        <f t="shared" si="80"/>
        <v>🔴 Under-injection</v>
      </c>
      <c r="I437" s="6">
        <f t="shared" si="81"/>
        <v>0.28977999999999948</v>
      </c>
      <c r="J437" s="3">
        <v>1.3525</v>
      </c>
      <c r="K437" s="6">
        <f t="shared" si="82"/>
        <v>1.2145575</v>
      </c>
      <c r="L437" s="6">
        <f t="shared" si="83"/>
        <v>1.61941</v>
      </c>
      <c r="M437" s="6">
        <f t="shared" si="84"/>
        <v>0.28977999999999948</v>
      </c>
      <c r="N437" s="6">
        <f t="shared" si="85"/>
        <v>0</v>
      </c>
      <c r="O437" s="6">
        <f t="shared" si="86"/>
        <v>0</v>
      </c>
      <c r="P437" s="6">
        <f t="shared" si="87"/>
        <v>102.88095562499983</v>
      </c>
      <c r="Q437" s="3">
        <v>102.88095562500001</v>
      </c>
      <c r="R437" s="6">
        <f t="shared" si="88"/>
        <v>-1.8474111129762605E-13</v>
      </c>
      <c r="S437" s="6" t="str">
        <f t="shared" si="89"/>
        <v>OK</v>
      </c>
    </row>
    <row r="438" spans="1:19" x14ac:dyDescent="0.25">
      <c r="A438" s="3" t="str">
        <f t="shared" si="90"/>
        <v>08.05.2026</v>
      </c>
      <c r="B438" s="5">
        <v>37</v>
      </c>
      <c r="C438" s="5" t="s">
        <v>81</v>
      </c>
      <c r="D438" s="3">
        <v>8.0970499999999994</v>
      </c>
      <c r="E438" s="3">
        <v>7.8072699999999999</v>
      </c>
      <c r="F438" s="6">
        <f t="shared" si="78"/>
        <v>-0.28977999999999948</v>
      </c>
      <c r="G438" s="6">
        <f t="shared" si="79"/>
        <v>-3.5788342668008656E-2</v>
      </c>
      <c r="H438" s="6" t="str">
        <f t="shared" si="80"/>
        <v>🔴 Under-injection</v>
      </c>
      <c r="I438" s="6">
        <f t="shared" si="81"/>
        <v>0.28977999999999948</v>
      </c>
      <c r="J438" s="3">
        <v>1.0414000000000001</v>
      </c>
      <c r="K438" s="6">
        <f t="shared" si="82"/>
        <v>1.2145575</v>
      </c>
      <c r="L438" s="6">
        <f t="shared" si="83"/>
        <v>1.61941</v>
      </c>
      <c r="M438" s="6">
        <f t="shared" si="84"/>
        <v>0.28977999999999948</v>
      </c>
      <c r="N438" s="6">
        <f t="shared" si="85"/>
        <v>0</v>
      </c>
      <c r="O438" s="6">
        <f t="shared" si="86"/>
        <v>0</v>
      </c>
      <c r="P438" s="6">
        <f t="shared" si="87"/>
        <v>79.216434149999856</v>
      </c>
      <c r="Q438" s="3">
        <v>79.216434149999998</v>
      </c>
      <c r="R438" s="6">
        <f t="shared" si="88"/>
        <v>-1.4210854715202004E-13</v>
      </c>
      <c r="S438" s="6" t="str">
        <f t="shared" si="89"/>
        <v>OK</v>
      </c>
    </row>
    <row r="439" spans="1:19" x14ac:dyDescent="0.25">
      <c r="A439" s="3" t="str">
        <f t="shared" si="90"/>
        <v>08.05.2026</v>
      </c>
      <c r="B439" s="5">
        <v>38</v>
      </c>
      <c r="C439" s="5" t="s">
        <v>80</v>
      </c>
      <c r="D439" s="3">
        <v>8.0970499999999994</v>
      </c>
      <c r="E439" s="3">
        <v>7.8072699999999999</v>
      </c>
      <c r="F439" s="6">
        <f t="shared" si="78"/>
        <v>-0.28977999999999948</v>
      </c>
      <c r="G439" s="6">
        <f t="shared" si="79"/>
        <v>-3.5788342668008656E-2</v>
      </c>
      <c r="H439" s="6" t="str">
        <f t="shared" si="80"/>
        <v>🔴 Under-injection</v>
      </c>
      <c r="I439" s="6">
        <f t="shared" si="81"/>
        <v>0.28977999999999948</v>
      </c>
      <c r="J439" s="3">
        <v>0.85319999999999996</v>
      </c>
      <c r="K439" s="6">
        <f t="shared" si="82"/>
        <v>1.2145575</v>
      </c>
      <c r="L439" s="6">
        <f t="shared" si="83"/>
        <v>1.61941</v>
      </c>
      <c r="M439" s="6">
        <f t="shared" si="84"/>
        <v>0.28977999999999948</v>
      </c>
      <c r="N439" s="6">
        <f t="shared" si="85"/>
        <v>0</v>
      </c>
      <c r="O439" s="6">
        <f t="shared" si="86"/>
        <v>0</v>
      </c>
      <c r="P439" s="6">
        <f t="shared" si="87"/>
        <v>64.900577699999872</v>
      </c>
      <c r="Q439" s="3">
        <v>64.900577699999985</v>
      </c>
      <c r="R439" s="6">
        <f t="shared" si="88"/>
        <v>-1.1368683772161603E-13</v>
      </c>
      <c r="S439" s="6" t="str">
        <f t="shared" si="89"/>
        <v>OK</v>
      </c>
    </row>
    <row r="440" spans="1:19" x14ac:dyDescent="0.25">
      <c r="A440" s="3" t="str">
        <f t="shared" si="90"/>
        <v>08.05.2026</v>
      </c>
      <c r="B440" s="5">
        <v>39</v>
      </c>
      <c r="C440" s="5" t="s">
        <v>79</v>
      </c>
      <c r="D440" s="3">
        <v>8.0970499999999994</v>
      </c>
      <c r="E440" s="3">
        <v>7.8072699999999999</v>
      </c>
      <c r="F440" s="6">
        <f t="shared" si="78"/>
        <v>-0.28977999999999948</v>
      </c>
      <c r="G440" s="6">
        <f t="shared" si="79"/>
        <v>-3.5788342668008656E-2</v>
      </c>
      <c r="H440" s="6" t="str">
        <f t="shared" si="80"/>
        <v>🔴 Under-injection</v>
      </c>
      <c r="I440" s="6">
        <f t="shared" si="81"/>
        <v>0.28977999999999948</v>
      </c>
      <c r="J440" s="3">
        <v>1.0011000000000001</v>
      </c>
      <c r="K440" s="6">
        <f t="shared" si="82"/>
        <v>1.2145575</v>
      </c>
      <c r="L440" s="6">
        <f t="shared" si="83"/>
        <v>1.61941</v>
      </c>
      <c r="M440" s="6">
        <f t="shared" si="84"/>
        <v>0.28977999999999948</v>
      </c>
      <c r="N440" s="6">
        <f t="shared" si="85"/>
        <v>0</v>
      </c>
      <c r="O440" s="6">
        <f t="shared" si="86"/>
        <v>0</v>
      </c>
      <c r="P440" s="6">
        <f t="shared" si="87"/>
        <v>76.15092397499987</v>
      </c>
      <c r="Q440" s="3">
        <v>76.150923975000012</v>
      </c>
      <c r="R440" s="6">
        <f t="shared" si="88"/>
        <v>-1.4210854715202004E-13</v>
      </c>
      <c r="S440" s="6" t="str">
        <f t="shared" si="89"/>
        <v>OK</v>
      </c>
    </row>
    <row r="441" spans="1:19" x14ac:dyDescent="0.25">
      <c r="A441" s="3" t="str">
        <f t="shared" si="90"/>
        <v>08.05.2026</v>
      </c>
      <c r="B441" s="5">
        <v>40</v>
      </c>
      <c r="C441" s="5" t="s">
        <v>78</v>
      </c>
      <c r="D441" s="3">
        <v>8.0970499999999994</v>
      </c>
      <c r="E441" s="3">
        <v>7.8072699999999999</v>
      </c>
      <c r="F441" s="6">
        <f t="shared" si="78"/>
        <v>-0.28977999999999948</v>
      </c>
      <c r="G441" s="6">
        <f t="shared" si="79"/>
        <v>-3.5788342668008656E-2</v>
      </c>
      <c r="H441" s="6" t="str">
        <f t="shared" si="80"/>
        <v>🔴 Under-injection</v>
      </c>
      <c r="I441" s="6">
        <f t="shared" si="81"/>
        <v>0.28977999999999948</v>
      </c>
      <c r="J441" s="3">
        <v>1.1309</v>
      </c>
      <c r="K441" s="6">
        <f t="shared" si="82"/>
        <v>1.2145575</v>
      </c>
      <c r="L441" s="6">
        <f t="shared" si="83"/>
        <v>1.61941</v>
      </c>
      <c r="M441" s="6">
        <f t="shared" si="84"/>
        <v>0.28977999999999948</v>
      </c>
      <c r="N441" s="6">
        <f t="shared" si="85"/>
        <v>0</v>
      </c>
      <c r="O441" s="6">
        <f t="shared" si="86"/>
        <v>0</v>
      </c>
      <c r="P441" s="6">
        <f t="shared" si="87"/>
        <v>86.024453024999843</v>
      </c>
      <c r="Q441" s="3">
        <v>86.024453025</v>
      </c>
      <c r="R441" s="6">
        <f t="shared" si="88"/>
        <v>-1.5631940186722204E-13</v>
      </c>
      <c r="S441" s="6" t="str">
        <f t="shared" si="89"/>
        <v>OK</v>
      </c>
    </row>
    <row r="442" spans="1:19" x14ac:dyDescent="0.25">
      <c r="A442" s="3" t="str">
        <f t="shared" si="90"/>
        <v>08.05.2026</v>
      </c>
      <c r="B442" s="5">
        <v>41</v>
      </c>
      <c r="C442" s="5" t="s">
        <v>77</v>
      </c>
      <c r="D442" s="3">
        <v>8.0970499999999994</v>
      </c>
      <c r="E442" s="3">
        <v>7.8072699999999999</v>
      </c>
      <c r="F442" s="6">
        <f t="shared" si="78"/>
        <v>-0.28977999999999948</v>
      </c>
      <c r="G442" s="6">
        <f t="shared" si="79"/>
        <v>-3.5788342668008656E-2</v>
      </c>
      <c r="H442" s="6" t="str">
        <f t="shared" si="80"/>
        <v>🔴 Under-injection</v>
      </c>
      <c r="I442" s="6">
        <f t="shared" si="81"/>
        <v>0.28977999999999948</v>
      </c>
      <c r="J442" s="3">
        <v>1.0009000000000001</v>
      </c>
      <c r="K442" s="6">
        <f t="shared" si="82"/>
        <v>1.2145575</v>
      </c>
      <c r="L442" s="6">
        <f t="shared" si="83"/>
        <v>1.61941</v>
      </c>
      <c r="M442" s="6">
        <f t="shared" si="84"/>
        <v>0.28977999999999948</v>
      </c>
      <c r="N442" s="6">
        <f t="shared" si="85"/>
        <v>0</v>
      </c>
      <c r="O442" s="6">
        <f t="shared" si="86"/>
        <v>0</v>
      </c>
      <c r="P442" s="6">
        <f t="shared" si="87"/>
        <v>76.135710524999865</v>
      </c>
      <c r="Q442" s="3">
        <v>76.135710525000007</v>
      </c>
      <c r="R442" s="6">
        <f t="shared" si="88"/>
        <v>-1.4210854715202004E-13</v>
      </c>
      <c r="S442" s="6" t="str">
        <f t="shared" si="89"/>
        <v>OK</v>
      </c>
    </row>
    <row r="443" spans="1:19" x14ac:dyDescent="0.25">
      <c r="A443" s="3" t="str">
        <f t="shared" si="90"/>
        <v>08.05.2026</v>
      </c>
      <c r="B443" s="5">
        <v>42</v>
      </c>
      <c r="C443" s="5" t="s">
        <v>76</v>
      </c>
      <c r="D443" s="3">
        <v>8.0970499999999994</v>
      </c>
      <c r="E443" s="3">
        <v>7.8072699999999999</v>
      </c>
      <c r="F443" s="6">
        <f t="shared" si="78"/>
        <v>-0.28977999999999948</v>
      </c>
      <c r="G443" s="6">
        <f t="shared" si="79"/>
        <v>-3.5788342668008656E-2</v>
      </c>
      <c r="H443" s="6" t="str">
        <f t="shared" si="80"/>
        <v>🔴 Under-injection</v>
      </c>
      <c r="I443" s="6">
        <f t="shared" si="81"/>
        <v>0.28977999999999948</v>
      </c>
      <c r="J443" s="3">
        <v>1.0009999999999999</v>
      </c>
      <c r="K443" s="6">
        <f t="shared" si="82"/>
        <v>1.2145575</v>
      </c>
      <c r="L443" s="6">
        <f t="shared" si="83"/>
        <v>1.61941</v>
      </c>
      <c r="M443" s="6">
        <f t="shared" si="84"/>
        <v>0.28977999999999948</v>
      </c>
      <c r="N443" s="6">
        <f t="shared" si="85"/>
        <v>0</v>
      </c>
      <c r="O443" s="6">
        <f t="shared" si="86"/>
        <v>0</v>
      </c>
      <c r="P443" s="6">
        <f t="shared" si="87"/>
        <v>76.143317249999853</v>
      </c>
      <c r="Q443" s="3">
        <v>76.143317249999996</v>
      </c>
      <c r="R443" s="6">
        <f t="shared" si="88"/>
        <v>-1.4210854715202004E-13</v>
      </c>
      <c r="S443" s="6" t="str">
        <f t="shared" si="89"/>
        <v>OK</v>
      </c>
    </row>
    <row r="444" spans="1:19" x14ac:dyDescent="0.25">
      <c r="A444" s="3" t="str">
        <f t="shared" si="90"/>
        <v>08.05.2026</v>
      </c>
      <c r="B444" s="5">
        <v>43</v>
      </c>
      <c r="C444" s="5" t="s">
        <v>75</v>
      </c>
      <c r="D444" s="3">
        <v>8.0970499999999994</v>
      </c>
      <c r="E444" s="3">
        <v>7.8072699999999999</v>
      </c>
      <c r="F444" s="6">
        <f t="shared" si="78"/>
        <v>-0.28977999999999948</v>
      </c>
      <c r="G444" s="6">
        <f t="shared" si="79"/>
        <v>-3.5788342668008656E-2</v>
      </c>
      <c r="H444" s="6" t="str">
        <f t="shared" si="80"/>
        <v>🔴 Under-injection</v>
      </c>
      <c r="I444" s="6">
        <f t="shared" si="81"/>
        <v>0.28977999999999948</v>
      </c>
      <c r="J444" s="3">
        <v>1.0476000000000001</v>
      </c>
      <c r="K444" s="6">
        <f t="shared" si="82"/>
        <v>1.2145575</v>
      </c>
      <c r="L444" s="6">
        <f t="shared" si="83"/>
        <v>1.61941</v>
      </c>
      <c r="M444" s="6">
        <f t="shared" si="84"/>
        <v>0.28977999999999948</v>
      </c>
      <c r="N444" s="6">
        <f t="shared" si="85"/>
        <v>0</v>
      </c>
      <c r="O444" s="6">
        <f t="shared" si="86"/>
        <v>0</v>
      </c>
      <c r="P444" s="6">
        <f t="shared" si="87"/>
        <v>79.688051099999868</v>
      </c>
      <c r="Q444" s="3">
        <v>79.68805110000001</v>
      </c>
      <c r="R444" s="6">
        <f t="shared" si="88"/>
        <v>-1.4210854715202004E-13</v>
      </c>
      <c r="S444" s="6" t="str">
        <f t="shared" si="89"/>
        <v>OK</v>
      </c>
    </row>
    <row r="445" spans="1:19" x14ac:dyDescent="0.25">
      <c r="A445" s="3" t="str">
        <f t="shared" si="90"/>
        <v>08.05.2026</v>
      </c>
      <c r="B445" s="5">
        <v>44</v>
      </c>
      <c r="C445" s="5" t="s">
        <v>74</v>
      </c>
      <c r="D445" s="3">
        <v>8.0970499999999994</v>
      </c>
      <c r="E445" s="3">
        <v>7.8072699999999999</v>
      </c>
      <c r="F445" s="6">
        <f t="shared" si="78"/>
        <v>-0.28977999999999948</v>
      </c>
      <c r="G445" s="6">
        <f t="shared" si="79"/>
        <v>-3.5788342668008656E-2</v>
      </c>
      <c r="H445" s="6" t="str">
        <f t="shared" si="80"/>
        <v>🔴 Under-injection</v>
      </c>
      <c r="I445" s="6">
        <f t="shared" si="81"/>
        <v>0.28977999999999948</v>
      </c>
      <c r="J445" s="3">
        <v>1.0476000000000001</v>
      </c>
      <c r="K445" s="6">
        <f t="shared" si="82"/>
        <v>1.2145575</v>
      </c>
      <c r="L445" s="6">
        <f t="shared" si="83"/>
        <v>1.61941</v>
      </c>
      <c r="M445" s="6">
        <f t="shared" si="84"/>
        <v>0.28977999999999948</v>
      </c>
      <c r="N445" s="6">
        <f t="shared" si="85"/>
        <v>0</v>
      </c>
      <c r="O445" s="6">
        <f t="shared" si="86"/>
        <v>0</v>
      </c>
      <c r="P445" s="6">
        <f t="shared" si="87"/>
        <v>79.688051099999868</v>
      </c>
      <c r="Q445" s="3">
        <v>79.68805110000001</v>
      </c>
      <c r="R445" s="6">
        <f t="shared" si="88"/>
        <v>-1.4210854715202004E-13</v>
      </c>
      <c r="S445" s="6" t="str">
        <f t="shared" si="89"/>
        <v>OK</v>
      </c>
    </row>
    <row r="446" spans="1:19" x14ac:dyDescent="0.25">
      <c r="A446" s="3" t="str">
        <f t="shared" si="90"/>
        <v>08.05.2026</v>
      </c>
      <c r="B446" s="5">
        <v>45</v>
      </c>
      <c r="C446" s="5" t="s">
        <v>73</v>
      </c>
      <c r="D446" s="3">
        <v>8.0970499999999994</v>
      </c>
      <c r="E446" s="3">
        <v>7.8072699999999999</v>
      </c>
      <c r="F446" s="6">
        <f t="shared" si="78"/>
        <v>-0.28977999999999948</v>
      </c>
      <c r="G446" s="6">
        <f t="shared" si="79"/>
        <v>-3.5788342668008656E-2</v>
      </c>
      <c r="H446" s="6" t="str">
        <f t="shared" si="80"/>
        <v>🔴 Under-injection</v>
      </c>
      <c r="I446" s="6">
        <f t="shared" si="81"/>
        <v>0.28977999999999948</v>
      </c>
      <c r="J446" s="3">
        <v>0.90249999999999997</v>
      </c>
      <c r="K446" s="6">
        <f t="shared" si="82"/>
        <v>1.2145575</v>
      </c>
      <c r="L446" s="6">
        <f t="shared" si="83"/>
        <v>1.61941</v>
      </c>
      <c r="M446" s="6">
        <f t="shared" si="84"/>
        <v>0.28977999999999948</v>
      </c>
      <c r="N446" s="6">
        <f t="shared" si="85"/>
        <v>0</v>
      </c>
      <c r="O446" s="6">
        <f t="shared" si="86"/>
        <v>0</v>
      </c>
      <c r="P446" s="6">
        <f t="shared" si="87"/>
        <v>68.650693124999876</v>
      </c>
      <c r="Q446" s="3">
        <v>68.650693124999989</v>
      </c>
      <c r="R446" s="6">
        <f t="shared" si="88"/>
        <v>-1.1368683772161603E-13</v>
      </c>
      <c r="S446" s="6" t="str">
        <f t="shared" si="89"/>
        <v>OK</v>
      </c>
    </row>
    <row r="447" spans="1:19" x14ac:dyDescent="0.25">
      <c r="A447" s="3" t="str">
        <f t="shared" si="90"/>
        <v>08.05.2026</v>
      </c>
      <c r="B447" s="5">
        <v>46</v>
      </c>
      <c r="C447" s="5" t="s">
        <v>72</v>
      </c>
      <c r="D447" s="3">
        <v>8.0970499999999994</v>
      </c>
      <c r="E447" s="3">
        <v>7.8072699999999999</v>
      </c>
      <c r="F447" s="6">
        <f t="shared" si="78"/>
        <v>-0.28977999999999948</v>
      </c>
      <c r="G447" s="6">
        <f t="shared" si="79"/>
        <v>-3.5788342668008656E-2</v>
      </c>
      <c r="H447" s="6" t="str">
        <f t="shared" si="80"/>
        <v>🔴 Under-injection</v>
      </c>
      <c r="I447" s="6">
        <f t="shared" si="81"/>
        <v>0.28977999999999948</v>
      </c>
      <c r="J447" s="3">
        <v>0.90579999999999994</v>
      </c>
      <c r="K447" s="6">
        <f t="shared" si="82"/>
        <v>1.2145575</v>
      </c>
      <c r="L447" s="6">
        <f t="shared" si="83"/>
        <v>1.61941</v>
      </c>
      <c r="M447" s="6">
        <f t="shared" si="84"/>
        <v>0.28977999999999948</v>
      </c>
      <c r="N447" s="6">
        <f t="shared" si="85"/>
        <v>0</v>
      </c>
      <c r="O447" s="6">
        <f t="shared" si="86"/>
        <v>0</v>
      </c>
      <c r="P447" s="6">
        <f t="shared" si="87"/>
        <v>68.901715049999865</v>
      </c>
      <c r="Q447" s="3">
        <v>68.901715049999993</v>
      </c>
      <c r="R447" s="6">
        <f t="shared" si="88"/>
        <v>-1.2789769243681803E-13</v>
      </c>
      <c r="S447" s="6" t="str">
        <f t="shared" si="89"/>
        <v>OK</v>
      </c>
    </row>
    <row r="448" spans="1:19" x14ac:dyDescent="0.25">
      <c r="A448" s="3" t="str">
        <f t="shared" si="90"/>
        <v>08.05.2026</v>
      </c>
      <c r="B448" s="5">
        <v>47</v>
      </c>
      <c r="C448" s="5" t="s">
        <v>71</v>
      </c>
      <c r="D448" s="3">
        <v>8.0970499999999994</v>
      </c>
      <c r="E448" s="3">
        <v>7.8072699999999999</v>
      </c>
      <c r="F448" s="6">
        <f t="shared" si="78"/>
        <v>-0.28977999999999948</v>
      </c>
      <c r="G448" s="6">
        <f t="shared" si="79"/>
        <v>-3.5788342668008656E-2</v>
      </c>
      <c r="H448" s="6" t="str">
        <f t="shared" si="80"/>
        <v>🔴 Under-injection</v>
      </c>
      <c r="I448" s="6">
        <f t="shared" si="81"/>
        <v>0.28977999999999948</v>
      </c>
      <c r="J448" s="3">
        <v>0.9073</v>
      </c>
      <c r="K448" s="6">
        <f t="shared" si="82"/>
        <v>1.2145575</v>
      </c>
      <c r="L448" s="6">
        <f t="shared" si="83"/>
        <v>1.61941</v>
      </c>
      <c r="M448" s="6">
        <f t="shared" si="84"/>
        <v>0.28977999999999948</v>
      </c>
      <c r="N448" s="6">
        <f t="shared" si="85"/>
        <v>0</v>
      </c>
      <c r="O448" s="6">
        <f t="shared" si="86"/>
        <v>0</v>
      </c>
      <c r="P448" s="6">
        <f t="shared" si="87"/>
        <v>69.01581592499987</v>
      </c>
      <c r="Q448" s="3">
        <v>69.015815924999998</v>
      </c>
      <c r="R448" s="6">
        <f t="shared" si="88"/>
        <v>-1.2789769243681803E-13</v>
      </c>
      <c r="S448" s="6" t="str">
        <f t="shared" si="89"/>
        <v>OK</v>
      </c>
    </row>
    <row r="449" spans="1:19" x14ac:dyDescent="0.25">
      <c r="A449" s="3" t="str">
        <f t="shared" si="90"/>
        <v>08.05.2026</v>
      </c>
      <c r="B449" s="5">
        <v>48</v>
      </c>
      <c r="C449" s="5" t="s">
        <v>70</v>
      </c>
      <c r="D449" s="3">
        <v>8.0970499999999994</v>
      </c>
      <c r="E449" s="3">
        <v>7.8072699999999999</v>
      </c>
      <c r="F449" s="6">
        <f t="shared" si="78"/>
        <v>-0.28977999999999948</v>
      </c>
      <c r="G449" s="6">
        <f t="shared" si="79"/>
        <v>-3.5788342668008656E-2</v>
      </c>
      <c r="H449" s="6" t="str">
        <f t="shared" si="80"/>
        <v>🔴 Under-injection</v>
      </c>
      <c r="I449" s="6">
        <f t="shared" si="81"/>
        <v>0.28977999999999948</v>
      </c>
      <c r="J449" s="3">
        <v>0.9052</v>
      </c>
      <c r="K449" s="6">
        <f t="shared" si="82"/>
        <v>1.2145575</v>
      </c>
      <c r="L449" s="6">
        <f t="shared" si="83"/>
        <v>1.61941</v>
      </c>
      <c r="M449" s="6">
        <f t="shared" si="84"/>
        <v>0.28977999999999948</v>
      </c>
      <c r="N449" s="6">
        <f t="shared" si="85"/>
        <v>0</v>
      </c>
      <c r="O449" s="6">
        <f t="shared" si="86"/>
        <v>0</v>
      </c>
      <c r="P449" s="6">
        <f t="shared" si="87"/>
        <v>68.85607469999988</v>
      </c>
      <c r="Q449" s="3">
        <v>68.856074700000008</v>
      </c>
      <c r="R449" s="6">
        <f t="shared" si="88"/>
        <v>-1.2789769243681803E-13</v>
      </c>
      <c r="S449" s="6" t="str">
        <f t="shared" si="89"/>
        <v>OK</v>
      </c>
    </row>
    <row r="450" spans="1:19" x14ac:dyDescent="0.25">
      <c r="A450" s="3" t="str">
        <f t="shared" si="90"/>
        <v>08.05.2026</v>
      </c>
      <c r="B450" s="5">
        <v>49</v>
      </c>
      <c r="C450" s="5" t="s">
        <v>69</v>
      </c>
      <c r="D450" s="3">
        <v>8.0970499999999994</v>
      </c>
      <c r="E450" s="3">
        <v>7.8072699999999999</v>
      </c>
      <c r="F450" s="6">
        <f t="shared" si="78"/>
        <v>-0.28977999999999948</v>
      </c>
      <c r="G450" s="6">
        <f t="shared" si="79"/>
        <v>-3.5788342668008656E-2</v>
      </c>
      <c r="H450" s="6" t="str">
        <f t="shared" si="80"/>
        <v>🔴 Under-injection</v>
      </c>
      <c r="I450" s="6">
        <f t="shared" si="81"/>
        <v>0.28977999999999948</v>
      </c>
      <c r="J450" s="3">
        <v>0.88349999999999995</v>
      </c>
      <c r="K450" s="6">
        <f t="shared" si="82"/>
        <v>1.2145575</v>
      </c>
      <c r="L450" s="6">
        <f t="shared" si="83"/>
        <v>1.61941</v>
      </c>
      <c r="M450" s="6">
        <f t="shared" si="84"/>
        <v>0.28977999999999948</v>
      </c>
      <c r="N450" s="6">
        <f t="shared" si="85"/>
        <v>0</v>
      </c>
      <c r="O450" s="6">
        <f t="shared" si="86"/>
        <v>0</v>
      </c>
      <c r="P450" s="6">
        <f t="shared" si="87"/>
        <v>67.205415374999887</v>
      </c>
      <c r="Q450" s="3">
        <v>67.205415374999987</v>
      </c>
      <c r="R450" s="6">
        <f t="shared" si="88"/>
        <v>0</v>
      </c>
      <c r="S450" s="6" t="str">
        <f t="shared" si="89"/>
        <v>OK</v>
      </c>
    </row>
    <row r="451" spans="1:19" x14ac:dyDescent="0.25">
      <c r="A451" s="3" t="str">
        <f t="shared" si="90"/>
        <v>08.05.2026</v>
      </c>
      <c r="B451" s="5">
        <v>50</v>
      </c>
      <c r="C451" s="5" t="s">
        <v>68</v>
      </c>
      <c r="D451" s="3">
        <v>8.0970499999999994</v>
      </c>
      <c r="E451" s="3">
        <v>7.8072699999999999</v>
      </c>
      <c r="F451" s="6">
        <f t="shared" si="78"/>
        <v>-0.28977999999999948</v>
      </c>
      <c r="G451" s="6">
        <f t="shared" si="79"/>
        <v>-3.5788342668008656E-2</v>
      </c>
      <c r="H451" s="6" t="str">
        <f t="shared" si="80"/>
        <v>🔴 Under-injection</v>
      </c>
      <c r="I451" s="6">
        <f t="shared" si="81"/>
        <v>0.28977999999999948</v>
      </c>
      <c r="J451" s="3">
        <v>0.84279999999999999</v>
      </c>
      <c r="K451" s="6">
        <f t="shared" si="82"/>
        <v>1.2145575</v>
      </c>
      <c r="L451" s="6">
        <f t="shared" si="83"/>
        <v>1.61941</v>
      </c>
      <c r="M451" s="6">
        <f t="shared" si="84"/>
        <v>0.28977999999999948</v>
      </c>
      <c r="N451" s="6">
        <f t="shared" si="85"/>
        <v>0</v>
      </c>
      <c r="O451" s="6">
        <f t="shared" si="86"/>
        <v>0</v>
      </c>
      <c r="P451" s="6">
        <f t="shared" si="87"/>
        <v>64.109478299999878</v>
      </c>
      <c r="Q451" s="3">
        <v>64.109478299999992</v>
      </c>
      <c r="R451" s="6">
        <f t="shared" si="88"/>
        <v>-1.1368683772161603E-13</v>
      </c>
      <c r="S451" s="6" t="str">
        <f t="shared" si="89"/>
        <v>OK</v>
      </c>
    </row>
    <row r="452" spans="1:19" x14ac:dyDescent="0.25">
      <c r="A452" s="3" t="str">
        <f t="shared" si="90"/>
        <v>08.05.2026</v>
      </c>
      <c r="B452" s="5">
        <v>51</v>
      </c>
      <c r="C452" s="5" t="s">
        <v>67</v>
      </c>
      <c r="D452" s="3">
        <v>8.0970499999999994</v>
      </c>
      <c r="E452" s="3">
        <v>7.8072699999999999</v>
      </c>
      <c r="F452" s="6">
        <f t="shared" si="78"/>
        <v>-0.28977999999999948</v>
      </c>
      <c r="G452" s="6">
        <f t="shared" si="79"/>
        <v>-3.5788342668008656E-2</v>
      </c>
      <c r="H452" s="6" t="str">
        <f t="shared" si="80"/>
        <v>🔴 Under-injection</v>
      </c>
      <c r="I452" s="6">
        <f t="shared" si="81"/>
        <v>0.28977999999999948</v>
      </c>
      <c r="J452" s="3">
        <v>0.84400000000000008</v>
      </c>
      <c r="K452" s="6">
        <f t="shared" si="82"/>
        <v>1.2145575</v>
      </c>
      <c r="L452" s="6">
        <f t="shared" si="83"/>
        <v>1.61941</v>
      </c>
      <c r="M452" s="6">
        <f t="shared" si="84"/>
        <v>0.28977999999999948</v>
      </c>
      <c r="N452" s="6">
        <f t="shared" si="85"/>
        <v>0</v>
      </c>
      <c r="O452" s="6">
        <f t="shared" si="86"/>
        <v>0</v>
      </c>
      <c r="P452" s="6">
        <f t="shared" si="87"/>
        <v>64.200758999999891</v>
      </c>
      <c r="Q452" s="3">
        <v>64.200759000000005</v>
      </c>
      <c r="R452" s="6">
        <f t="shared" si="88"/>
        <v>-1.1368683772161603E-13</v>
      </c>
      <c r="S452" s="6" t="str">
        <f t="shared" si="89"/>
        <v>OK</v>
      </c>
    </row>
    <row r="453" spans="1:19" x14ac:dyDescent="0.25">
      <c r="A453" s="3" t="str">
        <f t="shared" si="90"/>
        <v>08.05.2026</v>
      </c>
      <c r="B453" s="5">
        <v>52</v>
      </c>
      <c r="C453" s="5" t="s">
        <v>66</v>
      </c>
      <c r="D453" s="3">
        <v>8.0970499999999994</v>
      </c>
      <c r="E453" s="3">
        <v>7.8072699999999999</v>
      </c>
      <c r="F453" s="6">
        <f t="shared" si="78"/>
        <v>-0.28977999999999948</v>
      </c>
      <c r="G453" s="6">
        <f t="shared" si="79"/>
        <v>-3.5788342668008656E-2</v>
      </c>
      <c r="H453" s="6" t="str">
        <f t="shared" si="80"/>
        <v>🔴 Under-injection</v>
      </c>
      <c r="I453" s="6">
        <f t="shared" si="81"/>
        <v>0.28977999999999948</v>
      </c>
      <c r="J453" s="3">
        <v>0.84459999999999991</v>
      </c>
      <c r="K453" s="6">
        <f t="shared" si="82"/>
        <v>1.2145575</v>
      </c>
      <c r="L453" s="6">
        <f t="shared" si="83"/>
        <v>1.61941</v>
      </c>
      <c r="M453" s="6">
        <f t="shared" si="84"/>
        <v>0.28977999999999948</v>
      </c>
      <c r="N453" s="6">
        <f t="shared" si="85"/>
        <v>0</v>
      </c>
      <c r="O453" s="6">
        <f t="shared" si="86"/>
        <v>0</v>
      </c>
      <c r="P453" s="6">
        <f t="shared" si="87"/>
        <v>64.246399349999876</v>
      </c>
      <c r="Q453" s="3">
        <v>64.24639934999999</v>
      </c>
      <c r="R453" s="6">
        <f t="shared" si="88"/>
        <v>-1.1368683772161603E-13</v>
      </c>
      <c r="S453" s="6" t="str">
        <f t="shared" si="89"/>
        <v>OK</v>
      </c>
    </row>
    <row r="454" spans="1:19" x14ac:dyDescent="0.25">
      <c r="A454" s="3" t="str">
        <f t="shared" si="90"/>
        <v>08.05.2026</v>
      </c>
      <c r="B454" s="5">
        <v>53</v>
      </c>
      <c r="C454" s="5" t="s">
        <v>65</v>
      </c>
      <c r="D454" s="3">
        <v>8.0970499999999994</v>
      </c>
      <c r="E454" s="3">
        <v>7.8072699999999999</v>
      </c>
      <c r="F454" s="6">
        <f t="shared" si="78"/>
        <v>-0.28977999999999948</v>
      </c>
      <c r="G454" s="6">
        <f t="shared" si="79"/>
        <v>-3.5788342668008656E-2</v>
      </c>
      <c r="H454" s="6" t="str">
        <f t="shared" si="80"/>
        <v>🔴 Under-injection</v>
      </c>
      <c r="I454" s="6">
        <f t="shared" si="81"/>
        <v>0.28977999999999948</v>
      </c>
      <c r="J454" s="3">
        <v>0.55859999999999999</v>
      </c>
      <c r="K454" s="6">
        <f t="shared" si="82"/>
        <v>1.2145575</v>
      </c>
      <c r="L454" s="6">
        <f t="shared" si="83"/>
        <v>1.61941</v>
      </c>
      <c r="M454" s="6">
        <f t="shared" si="84"/>
        <v>0.28977999999999948</v>
      </c>
      <c r="N454" s="6">
        <f t="shared" si="85"/>
        <v>0</v>
      </c>
      <c r="O454" s="6">
        <f t="shared" si="86"/>
        <v>0</v>
      </c>
      <c r="P454" s="6">
        <f t="shared" si="87"/>
        <v>42.491165849999923</v>
      </c>
      <c r="Q454" s="3">
        <v>42.491165850000002</v>
      </c>
      <c r="R454" s="6">
        <f t="shared" si="88"/>
        <v>-7.815970093361102E-14</v>
      </c>
      <c r="S454" s="6" t="str">
        <f t="shared" si="89"/>
        <v>OK</v>
      </c>
    </row>
    <row r="455" spans="1:19" x14ac:dyDescent="0.25">
      <c r="A455" s="3" t="str">
        <f t="shared" si="90"/>
        <v>08.05.2026</v>
      </c>
      <c r="B455" s="5">
        <v>54</v>
      </c>
      <c r="C455" s="5" t="s">
        <v>64</v>
      </c>
      <c r="D455" s="3">
        <v>8.0970499999999994</v>
      </c>
      <c r="E455" s="3">
        <v>7.8072699999999999</v>
      </c>
      <c r="F455" s="6">
        <f t="shared" si="78"/>
        <v>-0.28977999999999948</v>
      </c>
      <c r="G455" s="6">
        <f t="shared" si="79"/>
        <v>-3.5788342668008656E-2</v>
      </c>
      <c r="H455" s="6" t="str">
        <f t="shared" si="80"/>
        <v>🔴 Under-injection</v>
      </c>
      <c r="I455" s="6">
        <f t="shared" si="81"/>
        <v>0.28977999999999948</v>
      </c>
      <c r="J455" s="3">
        <v>0.55689999999999995</v>
      </c>
      <c r="K455" s="6">
        <f t="shared" si="82"/>
        <v>1.2145575</v>
      </c>
      <c r="L455" s="6">
        <f t="shared" si="83"/>
        <v>1.61941</v>
      </c>
      <c r="M455" s="6">
        <f t="shared" si="84"/>
        <v>0.28977999999999948</v>
      </c>
      <c r="N455" s="6">
        <f t="shared" si="85"/>
        <v>0</v>
      </c>
      <c r="O455" s="6">
        <f t="shared" si="86"/>
        <v>0</v>
      </c>
      <c r="P455" s="6">
        <f t="shared" si="87"/>
        <v>42.361851524999921</v>
      </c>
      <c r="Q455" s="3">
        <v>42.361851524999992</v>
      </c>
      <c r="R455" s="6">
        <f t="shared" si="88"/>
        <v>-7.1054273576010019E-14</v>
      </c>
      <c r="S455" s="6" t="str">
        <f t="shared" si="89"/>
        <v>OK</v>
      </c>
    </row>
    <row r="456" spans="1:19" x14ac:dyDescent="0.25">
      <c r="A456" s="3" t="str">
        <f t="shared" si="90"/>
        <v>08.05.2026</v>
      </c>
      <c r="B456" s="5">
        <v>55</v>
      </c>
      <c r="C456" s="5" t="s">
        <v>63</v>
      </c>
      <c r="D456" s="3">
        <v>8.0970499999999994</v>
      </c>
      <c r="E456" s="3">
        <v>7.8072699999999999</v>
      </c>
      <c r="F456" s="6">
        <f t="shared" si="78"/>
        <v>-0.28977999999999948</v>
      </c>
      <c r="G456" s="6">
        <f t="shared" si="79"/>
        <v>-3.5788342668008656E-2</v>
      </c>
      <c r="H456" s="6" t="str">
        <f t="shared" si="80"/>
        <v>🔴 Under-injection</v>
      </c>
      <c r="I456" s="6">
        <f t="shared" si="81"/>
        <v>0.28977999999999948</v>
      </c>
      <c r="J456" s="3">
        <v>0.55700000000000005</v>
      </c>
      <c r="K456" s="6">
        <f t="shared" si="82"/>
        <v>1.2145575</v>
      </c>
      <c r="L456" s="6">
        <f t="shared" si="83"/>
        <v>1.61941</v>
      </c>
      <c r="M456" s="6">
        <f t="shared" si="84"/>
        <v>0.28977999999999948</v>
      </c>
      <c r="N456" s="6">
        <f t="shared" si="85"/>
        <v>0</v>
      </c>
      <c r="O456" s="6">
        <f t="shared" si="86"/>
        <v>0</v>
      </c>
      <c r="P456" s="6">
        <f t="shared" si="87"/>
        <v>42.36945824999993</v>
      </c>
      <c r="Q456" s="3">
        <v>42.369458250000008</v>
      </c>
      <c r="R456" s="6">
        <f t="shared" si="88"/>
        <v>-7.815970093361102E-14</v>
      </c>
      <c r="S456" s="6" t="str">
        <f t="shared" si="89"/>
        <v>OK</v>
      </c>
    </row>
    <row r="457" spans="1:19" x14ac:dyDescent="0.25">
      <c r="A457" s="3" t="str">
        <f t="shared" si="90"/>
        <v>08.05.2026</v>
      </c>
      <c r="B457" s="5">
        <v>56</v>
      </c>
      <c r="C457" s="5" t="s">
        <v>62</v>
      </c>
      <c r="D457" s="3">
        <v>8.0970499999999994</v>
      </c>
      <c r="E457" s="3">
        <v>7.8072699999999999</v>
      </c>
      <c r="F457" s="6">
        <f t="shared" si="78"/>
        <v>-0.28977999999999948</v>
      </c>
      <c r="G457" s="6">
        <f t="shared" si="79"/>
        <v>-3.5788342668008656E-2</v>
      </c>
      <c r="H457" s="6" t="str">
        <f t="shared" si="80"/>
        <v>🔴 Under-injection</v>
      </c>
      <c r="I457" s="6">
        <f t="shared" si="81"/>
        <v>0.28977999999999948</v>
      </c>
      <c r="J457" s="3">
        <v>0.67319999999999991</v>
      </c>
      <c r="K457" s="6">
        <f t="shared" si="82"/>
        <v>1.2145575</v>
      </c>
      <c r="L457" s="6">
        <f t="shared" si="83"/>
        <v>1.61941</v>
      </c>
      <c r="M457" s="6">
        <f t="shared" si="84"/>
        <v>0.28977999999999948</v>
      </c>
      <c r="N457" s="6">
        <f t="shared" si="85"/>
        <v>0</v>
      </c>
      <c r="O457" s="6">
        <f t="shared" si="86"/>
        <v>0</v>
      </c>
      <c r="P457" s="6">
        <f t="shared" si="87"/>
        <v>51.208472699999902</v>
      </c>
      <c r="Q457" s="3">
        <v>51.208472699999994</v>
      </c>
      <c r="R457" s="6">
        <f t="shared" si="88"/>
        <v>-9.2370555648813024E-14</v>
      </c>
      <c r="S457" s="6" t="str">
        <f t="shared" si="89"/>
        <v>OK</v>
      </c>
    </row>
    <row r="458" spans="1:19" x14ac:dyDescent="0.25">
      <c r="A458" s="3" t="str">
        <f t="shared" si="90"/>
        <v>08.05.2026</v>
      </c>
      <c r="B458" s="5">
        <v>57</v>
      </c>
      <c r="C458" s="5" t="s">
        <v>61</v>
      </c>
      <c r="D458" s="3">
        <v>8.0970499999999994</v>
      </c>
      <c r="E458" s="3">
        <v>7.8072699999999999</v>
      </c>
      <c r="F458" s="6">
        <f t="shared" si="78"/>
        <v>-0.28977999999999948</v>
      </c>
      <c r="G458" s="6">
        <f t="shared" si="79"/>
        <v>-3.5788342668008656E-2</v>
      </c>
      <c r="H458" s="6" t="str">
        <f t="shared" si="80"/>
        <v>🔴 Under-injection</v>
      </c>
      <c r="I458" s="6">
        <f t="shared" si="81"/>
        <v>0.28977999999999948</v>
      </c>
      <c r="J458" s="3">
        <v>1.0820999999999998</v>
      </c>
      <c r="K458" s="6">
        <f t="shared" si="82"/>
        <v>1.2145575</v>
      </c>
      <c r="L458" s="6">
        <f t="shared" si="83"/>
        <v>1.61941</v>
      </c>
      <c r="M458" s="6">
        <f t="shared" si="84"/>
        <v>0.28977999999999948</v>
      </c>
      <c r="N458" s="6">
        <f t="shared" si="85"/>
        <v>0</v>
      </c>
      <c r="O458" s="6">
        <f t="shared" si="86"/>
        <v>0</v>
      </c>
      <c r="P458" s="6">
        <f t="shared" si="87"/>
        <v>82.31237122499985</v>
      </c>
      <c r="Q458" s="3">
        <v>82.312371224999993</v>
      </c>
      <c r="R458" s="6">
        <f t="shared" si="88"/>
        <v>-1.4210854715202004E-13</v>
      </c>
      <c r="S458" s="6" t="str">
        <f t="shared" si="89"/>
        <v>OK</v>
      </c>
    </row>
    <row r="459" spans="1:19" x14ac:dyDescent="0.25">
      <c r="A459" s="3" t="str">
        <f t="shared" si="90"/>
        <v>08.05.2026</v>
      </c>
      <c r="B459" s="5">
        <v>58</v>
      </c>
      <c r="C459" s="5" t="s">
        <v>60</v>
      </c>
      <c r="D459" s="3">
        <v>8.0970499999999994</v>
      </c>
      <c r="E459" s="3">
        <v>7.8640100000000004</v>
      </c>
      <c r="F459" s="6">
        <f t="shared" si="78"/>
        <v>-0.23303999999999903</v>
      </c>
      <c r="G459" s="6">
        <f t="shared" si="79"/>
        <v>-2.8780852285708876E-2</v>
      </c>
      <c r="H459" s="6" t="str">
        <f t="shared" si="80"/>
        <v>🔴 Under-injection</v>
      </c>
      <c r="I459" s="6">
        <f t="shared" si="81"/>
        <v>0.23303999999999903</v>
      </c>
      <c r="J459" s="3">
        <v>1.3493999999999999</v>
      </c>
      <c r="K459" s="6">
        <f t="shared" si="82"/>
        <v>1.2145575</v>
      </c>
      <c r="L459" s="6">
        <f t="shared" si="83"/>
        <v>1.61941</v>
      </c>
      <c r="M459" s="6">
        <f t="shared" si="84"/>
        <v>0.23303999999999903</v>
      </c>
      <c r="N459" s="6">
        <f t="shared" si="85"/>
        <v>0</v>
      </c>
      <c r="O459" s="6">
        <f t="shared" si="86"/>
        <v>0</v>
      </c>
      <c r="P459" s="6">
        <f t="shared" si="87"/>
        <v>82.546846199999663</v>
      </c>
      <c r="Q459" s="3">
        <v>82.546846200000005</v>
      </c>
      <c r="R459" s="6">
        <f t="shared" si="88"/>
        <v>-3.4106051316484809E-13</v>
      </c>
      <c r="S459" s="6" t="str">
        <f t="shared" si="89"/>
        <v>OK</v>
      </c>
    </row>
    <row r="460" spans="1:19" x14ac:dyDescent="0.25">
      <c r="A460" s="3" t="str">
        <f t="shared" si="90"/>
        <v>08.05.2026</v>
      </c>
      <c r="B460" s="5">
        <v>59</v>
      </c>
      <c r="C460" s="5" t="s">
        <v>59</v>
      </c>
      <c r="D460" s="3">
        <v>8.0970499999999994</v>
      </c>
      <c r="E460" s="3">
        <v>7.9321000000000002</v>
      </c>
      <c r="F460" s="6">
        <f t="shared" si="78"/>
        <v>-0.16494999999999926</v>
      </c>
      <c r="G460" s="6">
        <f t="shared" si="79"/>
        <v>-2.0371616823410908E-2</v>
      </c>
      <c r="H460" s="6" t="str">
        <f t="shared" si="80"/>
        <v>🔴 Under-injection</v>
      </c>
      <c r="I460" s="6">
        <f t="shared" si="81"/>
        <v>0.16494999999999926</v>
      </c>
      <c r="J460" s="3">
        <v>1.5259</v>
      </c>
      <c r="K460" s="6">
        <f t="shared" si="82"/>
        <v>1.2145575</v>
      </c>
      <c r="L460" s="6">
        <f t="shared" si="83"/>
        <v>1.61941</v>
      </c>
      <c r="M460" s="6">
        <f t="shared" si="84"/>
        <v>0.16494999999999926</v>
      </c>
      <c r="N460" s="6">
        <f t="shared" si="85"/>
        <v>0</v>
      </c>
      <c r="O460" s="6">
        <f t="shared" si="86"/>
        <v>0</v>
      </c>
      <c r="P460" s="6">
        <f t="shared" si="87"/>
        <v>66.070516312499706</v>
      </c>
      <c r="Q460" s="3">
        <v>66.070516312500004</v>
      </c>
      <c r="R460" s="6">
        <f t="shared" si="88"/>
        <v>-2.9842794901924208E-13</v>
      </c>
      <c r="S460" s="6" t="str">
        <f t="shared" si="89"/>
        <v>OK</v>
      </c>
    </row>
    <row r="461" spans="1:19" x14ac:dyDescent="0.25">
      <c r="A461" s="3" t="str">
        <f t="shared" si="90"/>
        <v>08.05.2026</v>
      </c>
      <c r="B461" s="5">
        <v>60</v>
      </c>
      <c r="C461" s="5" t="s">
        <v>58</v>
      </c>
      <c r="D461" s="3">
        <v>8.0970499999999994</v>
      </c>
      <c r="E461" s="3">
        <v>7.9321000000000002</v>
      </c>
      <c r="F461" s="6">
        <f t="shared" si="78"/>
        <v>-0.16494999999999926</v>
      </c>
      <c r="G461" s="6">
        <f t="shared" si="79"/>
        <v>-2.0371616823410908E-2</v>
      </c>
      <c r="H461" s="6" t="str">
        <f t="shared" si="80"/>
        <v>🔴 Under-injection</v>
      </c>
      <c r="I461" s="6">
        <f t="shared" si="81"/>
        <v>0.16494999999999926</v>
      </c>
      <c r="J461" s="3">
        <v>1.6643000000000001</v>
      </c>
      <c r="K461" s="6">
        <f t="shared" si="82"/>
        <v>1.2145575</v>
      </c>
      <c r="L461" s="6">
        <f t="shared" si="83"/>
        <v>1.61941</v>
      </c>
      <c r="M461" s="6">
        <f t="shared" si="84"/>
        <v>0.16494999999999926</v>
      </c>
      <c r="N461" s="6">
        <f t="shared" si="85"/>
        <v>0</v>
      </c>
      <c r="O461" s="6">
        <f t="shared" si="86"/>
        <v>0</v>
      </c>
      <c r="P461" s="6">
        <f t="shared" si="87"/>
        <v>72.063149812499688</v>
      </c>
      <c r="Q461" s="3">
        <v>72.063149812500015</v>
      </c>
      <c r="R461" s="6">
        <f t="shared" si="88"/>
        <v>-3.2684965844964609E-13</v>
      </c>
      <c r="S461" s="6" t="str">
        <f t="shared" si="89"/>
        <v>OK</v>
      </c>
    </row>
    <row r="462" spans="1:19" x14ac:dyDescent="0.25">
      <c r="A462" s="3" t="str">
        <f t="shared" si="90"/>
        <v>08.05.2026</v>
      </c>
      <c r="B462" s="5">
        <v>61</v>
      </c>
      <c r="C462" s="5" t="s">
        <v>57</v>
      </c>
      <c r="D462" s="3">
        <v>8.0970499999999994</v>
      </c>
      <c r="E462" s="3">
        <v>7.9321000000000002</v>
      </c>
      <c r="F462" s="6">
        <f t="shared" si="78"/>
        <v>-0.16494999999999926</v>
      </c>
      <c r="G462" s="6">
        <f t="shared" si="79"/>
        <v>-2.0371616823410908E-2</v>
      </c>
      <c r="H462" s="6" t="str">
        <f t="shared" si="80"/>
        <v>🔴 Under-injection</v>
      </c>
      <c r="I462" s="6">
        <f t="shared" si="81"/>
        <v>0.16494999999999926</v>
      </c>
      <c r="J462" s="3">
        <v>2.1389</v>
      </c>
      <c r="K462" s="6">
        <f t="shared" si="82"/>
        <v>1.2145575</v>
      </c>
      <c r="L462" s="6">
        <f t="shared" si="83"/>
        <v>1.61941</v>
      </c>
      <c r="M462" s="6">
        <f t="shared" si="84"/>
        <v>0.16494999999999926</v>
      </c>
      <c r="N462" s="6">
        <f t="shared" si="85"/>
        <v>0</v>
      </c>
      <c r="O462" s="6">
        <f t="shared" si="86"/>
        <v>0</v>
      </c>
      <c r="P462" s="6">
        <f t="shared" si="87"/>
        <v>92.613033187499582</v>
      </c>
      <c r="Q462" s="3">
        <v>92.613033187500008</v>
      </c>
      <c r="R462" s="6">
        <f t="shared" si="88"/>
        <v>-4.2632564145606011E-13</v>
      </c>
      <c r="S462" s="6" t="str">
        <f t="shared" si="89"/>
        <v>OK</v>
      </c>
    </row>
    <row r="463" spans="1:19" x14ac:dyDescent="0.25">
      <c r="A463" s="3" t="str">
        <f t="shared" si="90"/>
        <v>08.05.2026</v>
      </c>
      <c r="B463" s="5">
        <v>62</v>
      </c>
      <c r="C463" s="5" t="s">
        <v>56</v>
      </c>
      <c r="D463" s="3">
        <v>8.0970499999999994</v>
      </c>
      <c r="E463" s="3">
        <v>7.9321000000000002</v>
      </c>
      <c r="F463" s="6">
        <f t="shared" si="78"/>
        <v>-0.16494999999999926</v>
      </c>
      <c r="G463" s="6">
        <f t="shared" si="79"/>
        <v>-2.0371616823410908E-2</v>
      </c>
      <c r="H463" s="6" t="str">
        <f t="shared" si="80"/>
        <v>🔴 Under-injection</v>
      </c>
      <c r="I463" s="6">
        <f t="shared" si="81"/>
        <v>0.16494999999999926</v>
      </c>
      <c r="J463" s="3">
        <v>2.1894999999999998</v>
      </c>
      <c r="K463" s="6">
        <f t="shared" si="82"/>
        <v>1.2145575</v>
      </c>
      <c r="L463" s="6">
        <f t="shared" si="83"/>
        <v>1.61941</v>
      </c>
      <c r="M463" s="6">
        <f t="shared" si="84"/>
        <v>0.16494999999999926</v>
      </c>
      <c r="N463" s="6">
        <f t="shared" si="85"/>
        <v>0</v>
      </c>
      <c r="O463" s="6">
        <f t="shared" si="86"/>
        <v>0</v>
      </c>
      <c r="P463" s="6">
        <f t="shared" si="87"/>
        <v>94.803981562499573</v>
      </c>
      <c r="Q463" s="3">
        <v>94.803981562499999</v>
      </c>
      <c r="R463" s="6">
        <f t="shared" si="88"/>
        <v>-4.2632564145606011E-13</v>
      </c>
      <c r="S463" s="6" t="str">
        <f t="shared" si="89"/>
        <v>OK</v>
      </c>
    </row>
    <row r="464" spans="1:19" x14ac:dyDescent="0.25">
      <c r="A464" s="3" t="str">
        <f t="shared" si="90"/>
        <v>08.05.2026</v>
      </c>
      <c r="B464" s="5">
        <v>63</v>
      </c>
      <c r="C464" s="5" t="s">
        <v>55</v>
      </c>
      <c r="D464" s="3">
        <v>8.0970499999999994</v>
      </c>
      <c r="E464" s="3">
        <v>7.9321000000000002</v>
      </c>
      <c r="F464" s="6">
        <f t="shared" si="78"/>
        <v>-0.16494999999999926</v>
      </c>
      <c r="G464" s="6">
        <f t="shared" si="79"/>
        <v>-2.0371616823410908E-2</v>
      </c>
      <c r="H464" s="6" t="str">
        <f t="shared" si="80"/>
        <v>🔴 Under-injection</v>
      </c>
      <c r="I464" s="6">
        <f t="shared" si="81"/>
        <v>0.16494999999999926</v>
      </c>
      <c r="J464" s="3">
        <v>2.3331999999999997</v>
      </c>
      <c r="K464" s="6">
        <f t="shared" si="82"/>
        <v>1.2145575</v>
      </c>
      <c r="L464" s="6">
        <f t="shared" si="83"/>
        <v>1.61941</v>
      </c>
      <c r="M464" s="6">
        <f t="shared" si="84"/>
        <v>0.16494999999999926</v>
      </c>
      <c r="N464" s="6">
        <f t="shared" si="85"/>
        <v>0</v>
      </c>
      <c r="O464" s="6">
        <f t="shared" si="86"/>
        <v>0</v>
      </c>
      <c r="P464" s="6">
        <f t="shared" si="87"/>
        <v>101.02610174999954</v>
      </c>
      <c r="Q464" s="3">
        <v>101.02610175</v>
      </c>
      <c r="R464" s="6">
        <f t="shared" si="88"/>
        <v>-4.5474735088646412E-13</v>
      </c>
      <c r="S464" s="6" t="str">
        <f t="shared" si="89"/>
        <v>OK</v>
      </c>
    </row>
    <row r="465" spans="1:19" x14ac:dyDescent="0.25">
      <c r="A465" s="3" t="str">
        <f t="shared" si="90"/>
        <v>08.05.2026</v>
      </c>
      <c r="B465" s="5">
        <v>64</v>
      </c>
      <c r="C465" s="5" t="s">
        <v>54</v>
      </c>
      <c r="D465" s="3">
        <v>8.0970499999999994</v>
      </c>
      <c r="E465" s="3">
        <v>7.9321000000000002</v>
      </c>
      <c r="F465" s="6">
        <f t="shared" si="78"/>
        <v>-0.16494999999999926</v>
      </c>
      <c r="G465" s="6">
        <f t="shared" si="79"/>
        <v>-2.0371616823410908E-2</v>
      </c>
      <c r="H465" s="6" t="str">
        <f t="shared" si="80"/>
        <v>🔴 Under-injection</v>
      </c>
      <c r="I465" s="6">
        <f t="shared" si="81"/>
        <v>0.16494999999999926</v>
      </c>
      <c r="J465" s="3">
        <v>2.4819</v>
      </c>
      <c r="K465" s="6">
        <f t="shared" si="82"/>
        <v>1.2145575</v>
      </c>
      <c r="L465" s="6">
        <f t="shared" si="83"/>
        <v>1.61941</v>
      </c>
      <c r="M465" s="6">
        <f t="shared" si="84"/>
        <v>0.16494999999999926</v>
      </c>
      <c r="N465" s="6">
        <f t="shared" si="85"/>
        <v>0</v>
      </c>
      <c r="O465" s="6">
        <f t="shared" si="86"/>
        <v>0</v>
      </c>
      <c r="P465" s="6">
        <f t="shared" si="87"/>
        <v>107.46471881249953</v>
      </c>
      <c r="Q465" s="3">
        <v>107.46471881250001</v>
      </c>
      <c r="R465" s="6">
        <f t="shared" si="88"/>
        <v>-4.8316906031686813E-13</v>
      </c>
      <c r="S465" s="6" t="str">
        <f t="shared" si="89"/>
        <v>OK</v>
      </c>
    </row>
    <row r="466" spans="1:19" x14ac:dyDescent="0.25">
      <c r="A466" s="3" t="str">
        <f t="shared" si="90"/>
        <v>08.05.2026</v>
      </c>
      <c r="B466" s="5">
        <v>65</v>
      </c>
      <c r="C466" s="5" t="s">
        <v>53</v>
      </c>
      <c r="D466" s="3">
        <v>8.0970499999999994</v>
      </c>
      <c r="E466" s="3">
        <v>7.9321000000000002</v>
      </c>
      <c r="F466" s="6">
        <f t="shared" ref="F466:F529" si="91">E466-D466</f>
        <v>-0.16494999999999926</v>
      </c>
      <c r="G466" s="6">
        <f t="shared" ref="G466:G529" si="92">IF(D466=0,0,F466/D466)</f>
        <v>-2.0371616823410908E-2</v>
      </c>
      <c r="H466" s="6" t="str">
        <f t="shared" ref="H466:H529" si="93">IF(E466&gt;D466,"🟢 Over-injection",IF(E466&lt;D466,"🔴 Under-injection","⚪ Nil"))</f>
        <v>🔴 Under-injection</v>
      </c>
      <c r="I466" s="6">
        <f t="shared" ref="I466:I529" si="94">-F466</f>
        <v>0.16494999999999926</v>
      </c>
      <c r="J466" s="3">
        <v>2.3650000000000002</v>
      </c>
      <c r="K466" s="6">
        <f t="shared" ref="K466:K529" si="95">MIN(ABS(D466)*$B$7,$B$8)</f>
        <v>1.2145575</v>
      </c>
      <c r="L466" s="6">
        <f t="shared" ref="L466:L529" si="96">MIN(ABS(D466)*$B$9,$B$10)</f>
        <v>1.61941</v>
      </c>
      <c r="M466" s="6">
        <f t="shared" ref="M466:M529" si="97">MIN(ABS(F466),K466)</f>
        <v>0.16494999999999926</v>
      </c>
      <c r="N466" s="6">
        <f t="shared" ref="N466:N529" si="98">IF(F466&lt;0,MIN(MAX(ABS(F466)-K466,0),MAX(L466-K466,0)),0)</f>
        <v>0</v>
      </c>
      <c r="O466" s="6">
        <f t="shared" ref="O466:O529" si="99">IF(F466&lt;0,MAX(ABS(F466)-L466,0),0)</f>
        <v>0</v>
      </c>
      <c r="P466" s="6">
        <f t="shared" ref="P466:P529" si="100">IF(F466&gt;0,-M466*$B$11*J466*$B$6*1000,IF(F466&lt;0,(M466*$B$12+N466*$B$13+O466*$B$14)*J466*$B$6*1000,0))</f>
        <v>102.40302187499955</v>
      </c>
      <c r="Q466" s="3">
        <v>102.40302187500002</v>
      </c>
      <c r="R466" s="6">
        <f t="shared" ref="R466:R529" si="101">P466-Q466</f>
        <v>-4.6895820560166612E-13</v>
      </c>
      <c r="S466" s="6" t="str">
        <f t="shared" ref="S466:S529" si="102">IF(ABS(R466)&lt;=0.01,"OK","REVIEW")</f>
        <v>OK</v>
      </c>
    </row>
    <row r="467" spans="1:19" x14ac:dyDescent="0.25">
      <c r="A467" s="3" t="str">
        <f t="shared" si="90"/>
        <v>08.05.2026</v>
      </c>
      <c r="B467" s="5">
        <v>66</v>
      </c>
      <c r="C467" s="5" t="s">
        <v>52</v>
      </c>
      <c r="D467" s="3">
        <v>8.0970499999999994</v>
      </c>
      <c r="E467" s="3">
        <v>7.9321000000000002</v>
      </c>
      <c r="F467" s="6">
        <f t="shared" si="91"/>
        <v>-0.16494999999999926</v>
      </c>
      <c r="G467" s="6">
        <f t="shared" si="92"/>
        <v>-2.0371616823410908E-2</v>
      </c>
      <c r="H467" s="6" t="str">
        <f t="shared" si="93"/>
        <v>🔴 Under-injection</v>
      </c>
      <c r="I467" s="6">
        <f t="shared" si="94"/>
        <v>0.16494999999999926</v>
      </c>
      <c r="J467" s="3">
        <v>2.4833000000000003</v>
      </c>
      <c r="K467" s="6">
        <f t="shared" si="95"/>
        <v>1.2145575</v>
      </c>
      <c r="L467" s="6">
        <f t="shared" si="96"/>
        <v>1.61941</v>
      </c>
      <c r="M467" s="6">
        <f t="shared" si="97"/>
        <v>0.16494999999999926</v>
      </c>
      <c r="N467" s="6">
        <f t="shared" si="98"/>
        <v>0</v>
      </c>
      <c r="O467" s="6">
        <f t="shared" si="99"/>
        <v>0</v>
      </c>
      <c r="P467" s="6">
        <f t="shared" si="100"/>
        <v>107.52533793749953</v>
      </c>
      <c r="Q467" s="3">
        <v>107.52533793750003</v>
      </c>
      <c r="R467" s="6">
        <f t="shared" si="101"/>
        <v>-4.9737991503207013E-13</v>
      </c>
      <c r="S467" s="6" t="str">
        <f t="shared" si="102"/>
        <v>OK</v>
      </c>
    </row>
    <row r="468" spans="1:19" x14ac:dyDescent="0.25">
      <c r="A468" s="3" t="str">
        <f t="shared" ref="A468:A531" si="103">A467</f>
        <v>08.05.2026</v>
      </c>
      <c r="B468" s="5">
        <v>67</v>
      </c>
      <c r="C468" s="5" t="s">
        <v>51</v>
      </c>
      <c r="D468" s="3">
        <v>8.0970499999999994</v>
      </c>
      <c r="E468" s="3">
        <v>7.9321000000000002</v>
      </c>
      <c r="F468" s="6">
        <f t="shared" si="91"/>
        <v>-0.16494999999999926</v>
      </c>
      <c r="G468" s="6">
        <f t="shared" si="92"/>
        <v>-2.0371616823410908E-2</v>
      </c>
      <c r="H468" s="6" t="str">
        <f t="shared" si="93"/>
        <v>🔴 Under-injection</v>
      </c>
      <c r="I468" s="6">
        <f t="shared" si="94"/>
        <v>0.16494999999999926</v>
      </c>
      <c r="J468" s="3">
        <v>2.5742000000000003</v>
      </c>
      <c r="K468" s="6">
        <f t="shared" si="95"/>
        <v>1.2145575</v>
      </c>
      <c r="L468" s="6">
        <f t="shared" si="96"/>
        <v>1.61941</v>
      </c>
      <c r="M468" s="6">
        <f t="shared" si="97"/>
        <v>0.16494999999999926</v>
      </c>
      <c r="N468" s="6">
        <f t="shared" si="98"/>
        <v>0</v>
      </c>
      <c r="O468" s="6">
        <f t="shared" si="99"/>
        <v>0</v>
      </c>
      <c r="P468" s="6">
        <f t="shared" si="100"/>
        <v>111.46125112499951</v>
      </c>
      <c r="Q468" s="3">
        <v>111.46125112500003</v>
      </c>
      <c r="R468" s="6">
        <f t="shared" si="101"/>
        <v>-5.2580162446247414E-13</v>
      </c>
      <c r="S468" s="6" t="str">
        <f t="shared" si="102"/>
        <v>OK</v>
      </c>
    </row>
    <row r="469" spans="1:19" x14ac:dyDescent="0.25">
      <c r="A469" s="3" t="str">
        <f t="shared" si="103"/>
        <v>08.05.2026</v>
      </c>
      <c r="B469" s="5">
        <v>68</v>
      </c>
      <c r="C469" s="5" t="s">
        <v>50</v>
      </c>
      <c r="D469" s="3">
        <v>8.0970499999999994</v>
      </c>
      <c r="E469" s="3">
        <v>7.9321000000000002</v>
      </c>
      <c r="F469" s="6">
        <f t="shared" si="91"/>
        <v>-0.16494999999999926</v>
      </c>
      <c r="G469" s="6">
        <f t="shared" si="92"/>
        <v>-2.0371616823410908E-2</v>
      </c>
      <c r="H469" s="6" t="str">
        <f t="shared" si="93"/>
        <v>🔴 Under-injection</v>
      </c>
      <c r="I469" s="6">
        <f t="shared" si="94"/>
        <v>0.16494999999999926</v>
      </c>
      <c r="J469" s="3">
        <v>2.7694000000000001</v>
      </c>
      <c r="K469" s="6">
        <f t="shared" si="95"/>
        <v>1.2145575</v>
      </c>
      <c r="L469" s="6">
        <f t="shared" si="96"/>
        <v>1.61941</v>
      </c>
      <c r="M469" s="6">
        <f t="shared" si="97"/>
        <v>0.16494999999999926</v>
      </c>
      <c r="N469" s="6">
        <f t="shared" si="98"/>
        <v>0</v>
      </c>
      <c r="O469" s="6">
        <f t="shared" si="99"/>
        <v>0</v>
      </c>
      <c r="P469" s="6">
        <f t="shared" si="100"/>
        <v>119.91328912499948</v>
      </c>
      <c r="Q469" s="3">
        <v>119.91328912500003</v>
      </c>
      <c r="R469" s="6">
        <f t="shared" si="101"/>
        <v>-5.5422333389287814E-13</v>
      </c>
      <c r="S469" s="6" t="str">
        <f t="shared" si="102"/>
        <v>OK</v>
      </c>
    </row>
    <row r="470" spans="1:19" x14ac:dyDescent="0.25">
      <c r="A470" s="3" t="str">
        <f t="shared" si="103"/>
        <v>08.05.2026</v>
      </c>
      <c r="B470" s="5">
        <v>69</v>
      </c>
      <c r="C470" s="5" t="s">
        <v>49</v>
      </c>
      <c r="D470" s="3">
        <v>8.0970499999999994</v>
      </c>
      <c r="E470" s="3">
        <v>7.9321000000000002</v>
      </c>
      <c r="F470" s="6">
        <f t="shared" si="91"/>
        <v>-0.16494999999999926</v>
      </c>
      <c r="G470" s="6">
        <f t="shared" si="92"/>
        <v>-2.0371616823410908E-2</v>
      </c>
      <c r="H470" s="6" t="str">
        <f t="shared" si="93"/>
        <v>🔴 Under-injection</v>
      </c>
      <c r="I470" s="6">
        <f t="shared" si="94"/>
        <v>0.16494999999999926</v>
      </c>
      <c r="J470" s="3">
        <v>2.9754</v>
      </c>
      <c r="K470" s="6">
        <f t="shared" si="95"/>
        <v>1.2145575</v>
      </c>
      <c r="L470" s="6">
        <f t="shared" si="96"/>
        <v>1.61941</v>
      </c>
      <c r="M470" s="6">
        <f t="shared" si="97"/>
        <v>0.16494999999999926</v>
      </c>
      <c r="N470" s="6">
        <f t="shared" si="98"/>
        <v>0</v>
      </c>
      <c r="O470" s="6">
        <f t="shared" si="99"/>
        <v>0</v>
      </c>
      <c r="P470" s="6">
        <f t="shared" si="100"/>
        <v>128.83296037499943</v>
      </c>
      <c r="Q470" s="3">
        <v>128.83296037500003</v>
      </c>
      <c r="R470" s="6">
        <f t="shared" si="101"/>
        <v>-5.9685589803848416E-13</v>
      </c>
      <c r="S470" s="6" t="str">
        <f t="shared" si="102"/>
        <v>OK</v>
      </c>
    </row>
    <row r="471" spans="1:19" x14ac:dyDescent="0.25">
      <c r="A471" s="3" t="str">
        <f t="shared" si="103"/>
        <v>08.05.2026</v>
      </c>
      <c r="B471" s="5">
        <v>70</v>
      </c>
      <c r="C471" s="5" t="s">
        <v>48</v>
      </c>
      <c r="D471" s="3">
        <v>8.0970499999999994</v>
      </c>
      <c r="E471" s="3">
        <v>7.9321000000000002</v>
      </c>
      <c r="F471" s="6">
        <f t="shared" si="91"/>
        <v>-0.16494999999999926</v>
      </c>
      <c r="G471" s="6">
        <f t="shared" si="92"/>
        <v>-2.0371616823410908E-2</v>
      </c>
      <c r="H471" s="6" t="str">
        <f t="shared" si="93"/>
        <v>🔴 Under-injection</v>
      </c>
      <c r="I471" s="6">
        <f t="shared" si="94"/>
        <v>0.16494999999999926</v>
      </c>
      <c r="J471" s="3">
        <v>3.1433999999999997</v>
      </c>
      <c r="K471" s="6">
        <f t="shared" si="95"/>
        <v>1.2145575</v>
      </c>
      <c r="L471" s="6">
        <f t="shared" si="96"/>
        <v>1.61941</v>
      </c>
      <c r="M471" s="6">
        <f t="shared" si="97"/>
        <v>0.16494999999999926</v>
      </c>
      <c r="N471" s="6">
        <f t="shared" si="98"/>
        <v>0</v>
      </c>
      <c r="O471" s="6">
        <f t="shared" si="99"/>
        <v>0</v>
      </c>
      <c r="P471" s="6">
        <f t="shared" si="100"/>
        <v>136.10725537499937</v>
      </c>
      <c r="Q471" s="3">
        <v>136.10725537500002</v>
      </c>
      <c r="R471" s="6">
        <f t="shared" si="101"/>
        <v>-6.5369931689929217E-13</v>
      </c>
      <c r="S471" s="6" t="str">
        <f t="shared" si="102"/>
        <v>OK</v>
      </c>
    </row>
    <row r="472" spans="1:19" x14ac:dyDescent="0.25">
      <c r="A472" s="3" t="str">
        <f t="shared" si="103"/>
        <v>08.05.2026</v>
      </c>
      <c r="B472" s="5">
        <v>71</v>
      </c>
      <c r="C472" s="5" t="s">
        <v>47</v>
      </c>
      <c r="D472" s="3">
        <v>8.0970499999999994</v>
      </c>
      <c r="E472" s="3">
        <v>7.9321000000000002</v>
      </c>
      <c r="F472" s="6">
        <f t="shared" si="91"/>
        <v>-0.16494999999999926</v>
      </c>
      <c r="G472" s="6">
        <f t="shared" si="92"/>
        <v>-2.0371616823410908E-2</v>
      </c>
      <c r="H472" s="6" t="str">
        <f t="shared" si="93"/>
        <v>🔴 Under-injection</v>
      </c>
      <c r="I472" s="6">
        <f t="shared" si="94"/>
        <v>0.16494999999999926</v>
      </c>
      <c r="J472" s="3">
        <v>3.3818999999999999</v>
      </c>
      <c r="K472" s="6">
        <f t="shared" si="95"/>
        <v>1.2145575</v>
      </c>
      <c r="L472" s="6">
        <f t="shared" si="96"/>
        <v>1.61941</v>
      </c>
      <c r="M472" s="6">
        <f t="shared" si="97"/>
        <v>0.16494999999999926</v>
      </c>
      <c r="N472" s="6">
        <f t="shared" si="98"/>
        <v>0</v>
      </c>
      <c r="O472" s="6">
        <f t="shared" si="99"/>
        <v>0</v>
      </c>
      <c r="P472" s="6">
        <f t="shared" si="100"/>
        <v>146.43415631249934</v>
      </c>
      <c r="Q472" s="3">
        <v>146.43415631250002</v>
      </c>
      <c r="R472" s="6">
        <f t="shared" si="101"/>
        <v>-6.8212102632969618E-13</v>
      </c>
      <c r="S472" s="6" t="str">
        <f t="shared" si="102"/>
        <v>OK</v>
      </c>
    </row>
    <row r="473" spans="1:19" x14ac:dyDescent="0.25">
      <c r="A473" s="3" t="str">
        <f t="shared" si="103"/>
        <v>08.05.2026</v>
      </c>
      <c r="B473" s="5">
        <v>72</v>
      </c>
      <c r="C473" s="5" t="s">
        <v>46</v>
      </c>
      <c r="D473" s="3">
        <v>8.0970499999999994</v>
      </c>
      <c r="E473" s="3">
        <v>7.9321000000000002</v>
      </c>
      <c r="F473" s="6">
        <f t="shared" si="91"/>
        <v>-0.16494999999999926</v>
      </c>
      <c r="G473" s="6">
        <f t="shared" si="92"/>
        <v>-2.0371616823410908E-2</v>
      </c>
      <c r="H473" s="6" t="str">
        <f t="shared" si="93"/>
        <v>🔴 Under-injection</v>
      </c>
      <c r="I473" s="6">
        <f t="shared" si="94"/>
        <v>0.16494999999999926</v>
      </c>
      <c r="J473" s="3">
        <v>3.5888</v>
      </c>
      <c r="K473" s="6">
        <f t="shared" si="95"/>
        <v>1.2145575</v>
      </c>
      <c r="L473" s="6">
        <f t="shared" si="96"/>
        <v>1.61941</v>
      </c>
      <c r="M473" s="6">
        <f t="shared" si="97"/>
        <v>0.16494999999999926</v>
      </c>
      <c r="N473" s="6">
        <f t="shared" si="98"/>
        <v>0</v>
      </c>
      <c r="O473" s="6">
        <f t="shared" si="99"/>
        <v>0</v>
      </c>
      <c r="P473" s="6">
        <f t="shared" si="100"/>
        <v>155.39279699999929</v>
      </c>
      <c r="Q473" s="3">
        <v>155.39279700000003</v>
      </c>
      <c r="R473" s="6">
        <f t="shared" si="101"/>
        <v>-7.3896444519050419E-13</v>
      </c>
      <c r="S473" s="6" t="str">
        <f t="shared" si="102"/>
        <v>OK</v>
      </c>
    </row>
    <row r="474" spans="1:19" x14ac:dyDescent="0.25">
      <c r="A474" s="3" t="str">
        <f t="shared" si="103"/>
        <v>08.05.2026</v>
      </c>
      <c r="B474" s="5">
        <v>73</v>
      </c>
      <c r="C474" s="5" t="s">
        <v>45</v>
      </c>
      <c r="D474" s="3">
        <v>8.0970499999999994</v>
      </c>
      <c r="E474" s="3">
        <v>7.9321000000000002</v>
      </c>
      <c r="F474" s="6">
        <f t="shared" si="91"/>
        <v>-0.16494999999999926</v>
      </c>
      <c r="G474" s="6">
        <f t="shared" si="92"/>
        <v>-2.0371616823410908E-2</v>
      </c>
      <c r="H474" s="6" t="str">
        <f t="shared" si="93"/>
        <v>🔴 Under-injection</v>
      </c>
      <c r="I474" s="6">
        <f t="shared" si="94"/>
        <v>0.16494999999999926</v>
      </c>
      <c r="J474" s="3">
        <v>3.8797000000000001</v>
      </c>
      <c r="K474" s="6">
        <f t="shared" si="95"/>
        <v>1.2145575</v>
      </c>
      <c r="L474" s="6">
        <f t="shared" si="96"/>
        <v>1.61941</v>
      </c>
      <c r="M474" s="6">
        <f t="shared" si="97"/>
        <v>0.16494999999999926</v>
      </c>
      <c r="N474" s="6">
        <f t="shared" si="98"/>
        <v>0</v>
      </c>
      <c r="O474" s="6">
        <f t="shared" si="99"/>
        <v>0</v>
      </c>
      <c r="P474" s="6">
        <f t="shared" si="100"/>
        <v>167.98858518749927</v>
      </c>
      <c r="Q474" s="3">
        <v>167.98858518750001</v>
      </c>
      <c r="R474" s="6">
        <f t="shared" si="101"/>
        <v>-7.3896444519050419E-13</v>
      </c>
      <c r="S474" s="6" t="str">
        <f t="shared" si="102"/>
        <v>OK</v>
      </c>
    </row>
    <row r="475" spans="1:19" x14ac:dyDescent="0.25">
      <c r="A475" s="3" t="str">
        <f t="shared" si="103"/>
        <v>08.05.2026</v>
      </c>
      <c r="B475" s="5">
        <v>74</v>
      </c>
      <c r="C475" s="5" t="s">
        <v>44</v>
      </c>
      <c r="D475" s="3">
        <v>8.0970499999999994</v>
      </c>
      <c r="E475" s="3">
        <v>7.9321000000000002</v>
      </c>
      <c r="F475" s="6">
        <f t="shared" si="91"/>
        <v>-0.16494999999999926</v>
      </c>
      <c r="G475" s="6">
        <f t="shared" si="92"/>
        <v>-2.0371616823410908E-2</v>
      </c>
      <c r="H475" s="6" t="str">
        <f t="shared" si="93"/>
        <v>🔴 Under-injection</v>
      </c>
      <c r="I475" s="6">
        <f t="shared" si="94"/>
        <v>0.16494999999999926</v>
      </c>
      <c r="J475" s="3">
        <v>4.7072000000000003</v>
      </c>
      <c r="K475" s="6">
        <f t="shared" si="95"/>
        <v>1.2145575</v>
      </c>
      <c r="L475" s="6">
        <f t="shared" si="96"/>
        <v>1.61941</v>
      </c>
      <c r="M475" s="6">
        <f t="shared" si="97"/>
        <v>0.16494999999999926</v>
      </c>
      <c r="N475" s="6">
        <f t="shared" si="98"/>
        <v>0</v>
      </c>
      <c r="O475" s="6">
        <f t="shared" si="99"/>
        <v>0</v>
      </c>
      <c r="P475" s="6">
        <f t="shared" si="100"/>
        <v>203.81881799999908</v>
      </c>
      <c r="Q475" s="3">
        <v>203.81881800000005</v>
      </c>
      <c r="R475" s="6">
        <f t="shared" si="101"/>
        <v>-9.6633812063373625E-13</v>
      </c>
      <c r="S475" s="6" t="str">
        <f t="shared" si="102"/>
        <v>OK</v>
      </c>
    </row>
    <row r="476" spans="1:19" x14ac:dyDescent="0.25">
      <c r="A476" s="3" t="str">
        <f t="shared" si="103"/>
        <v>08.05.2026</v>
      </c>
      <c r="B476" s="5">
        <v>75</v>
      </c>
      <c r="C476" s="5" t="s">
        <v>43</v>
      </c>
      <c r="D476" s="3">
        <v>8.0970499999999994</v>
      </c>
      <c r="E476" s="3">
        <v>7.92075</v>
      </c>
      <c r="F476" s="6">
        <f t="shared" si="91"/>
        <v>-0.17629999999999946</v>
      </c>
      <c r="G476" s="6">
        <f t="shared" si="92"/>
        <v>-2.17733619034092E-2</v>
      </c>
      <c r="H476" s="6" t="str">
        <f t="shared" si="93"/>
        <v>🔴 Under-injection</v>
      </c>
      <c r="I476" s="6">
        <f t="shared" si="94"/>
        <v>0.17629999999999946</v>
      </c>
      <c r="J476" s="3">
        <v>5.9495000000000005</v>
      </c>
      <c r="K476" s="6">
        <f t="shared" si="95"/>
        <v>1.2145575</v>
      </c>
      <c r="L476" s="6">
        <f t="shared" si="96"/>
        <v>1.61941</v>
      </c>
      <c r="M476" s="6">
        <f t="shared" si="97"/>
        <v>0.17629999999999946</v>
      </c>
      <c r="N476" s="6">
        <f t="shared" si="98"/>
        <v>0</v>
      </c>
      <c r="O476" s="6">
        <f t="shared" si="99"/>
        <v>0</v>
      </c>
      <c r="P476" s="6">
        <f t="shared" si="100"/>
        <v>275.33542312499918</v>
      </c>
      <c r="Q476" s="3">
        <v>275.33542312500003</v>
      </c>
      <c r="R476" s="6">
        <f t="shared" si="101"/>
        <v>-8.5265128291212022E-13</v>
      </c>
      <c r="S476" s="6" t="str">
        <f t="shared" si="102"/>
        <v>OK</v>
      </c>
    </row>
    <row r="477" spans="1:19" x14ac:dyDescent="0.25">
      <c r="A477" s="3" t="str">
        <f t="shared" si="103"/>
        <v>08.05.2026</v>
      </c>
      <c r="B477" s="5">
        <v>76</v>
      </c>
      <c r="C477" s="5" t="s">
        <v>42</v>
      </c>
      <c r="D477" s="3">
        <v>8.1070499999999992</v>
      </c>
      <c r="E477" s="3">
        <v>7.9321000000000002</v>
      </c>
      <c r="F477" s="6">
        <f t="shared" si="91"/>
        <v>-0.17494999999999905</v>
      </c>
      <c r="G477" s="6">
        <f t="shared" si="92"/>
        <v>-2.1579982854429056E-2</v>
      </c>
      <c r="H477" s="6" t="str">
        <f t="shared" si="93"/>
        <v>🔴 Under-injection</v>
      </c>
      <c r="I477" s="6">
        <f t="shared" si="94"/>
        <v>0.17494999999999905</v>
      </c>
      <c r="J477" s="3">
        <v>9.8730999999999991</v>
      </c>
      <c r="K477" s="6">
        <f t="shared" si="95"/>
        <v>1.2160574999999998</v>
      </c>
      <c r="L477" s="6">
        <f t="shared" si="96"/>
        <v>1.62141</v>
      </c>
      <c r="M477" s="6">
        <f t="shared" si="97"/>
        <v>0.17494999999999905</v>
      </c>
      <c r="N477" s="6">
        <f t="shared" si="98"/>
        <v>0</v>
      </c>
      <c r="O477" s="6">
        <f t="shared" si="99"/>
        <v>0</v>
      </c>
      <c r="P477" s="6">
        <f t="shared" si="100"/>
        <v>453.41594681249751</v>
      </c>
      <c r="Q477" s="3">
        <v>453.41594681249995</v>
      </c>
      <c r="R477" s="6">
        <f t="shared" si="101"/>
        <v>-2.4442670110147446E-12</v>
      </c>
      <c r="S477" s="6" t="str">
        <f t="shared" si="102"/>
        <v>OK</v>
      </c>
    </row>
    <row r="478" spans="1:19" x14ac:dyDescent="0.25">
      <c r="A478" s="3" t="str">
        <f t="shared" si="103"/>
        <v>08.05.2026</v>
      </c>
      <c r="B478" s="5">
        <v>77</v>
      </c>
      <c r="C478" s="5" t="s">
        <v>41</v>
      </c>
      <c r="D478" s="3">
        <v>8.1070499999999992</v>
      </c>
      <c r="E478" s="3">
        <v>7.9321000000000002</v>
      </c>
      <c r="F478" s="6">
        <f t="shared" si="91"/>
        <v>-0.17494999999999905</v>
      </c>
      <c r="G478" s="6">
        <f t="shared" si="92"/>
        <v>-2.1579982854429056E-2</v>
      </c>
      <c r="H478" s="6" t="str">
        <f t="shared" si="93"/>
        <v>🔴 Under-injection</v>
      </c>
      <c r="I478" s="6">
        <f t="shared" si="94"/>
        <v>0.17494999999999905</v>
      </c>
      <c r="J478" s="3">
        <v>10</v>
      </c>
      <c r="K478" s="6">
        <f t="shared" si="95"/>
        <v>1.2160574999999998</v>
      </c>
      <c r="L478" s="6">
        <f t="shared" si="96"/>
        <v>1.62141</v>
      </c>
      <c r="M478" s="6">
        <f t="shared" si="97"/>
        <v>0.17494999999999905</v>
      </c>
      <c r="N478" s="6">
        <f t="shared" si="98"/>
        <v>0</v>
      </c>
      <c r="O478" s="6">
        <f t="shared" si="99"/>
        <v>0</v>
      </c>
      <c r="P478" s="6">
        <f t="shared" si="100"/>
        <v>459.24374999999753</v>
      </c>
      <c r="Q478" s="3">
        <v>459.24375000000003</v>
      </c>
      <c r="R478" s="6">
        <f t="shared" si="101"/>
        <v>-2.5011104298755527E-12</v>
      </c>
      <c r="S478" s="6" t="str">
        <f t="shared" si="102"/>
        <v>OK</v>
      </c>
    </row>
    <row r="479" spans="1:19" x14ac:dyDescent="0.25">
      <c r="A479" s="3" t="str">
        <f t="shared" si="103"/>
        <v>08.05.2026</v>
      </c>
      <c r="B479" s="5">
        <v>78</v>
      </c>
      <c r="C479" s="5" t="s">
        <v>40</v>
      </c>
      <c r="D479" s="3">
        <v>8.0870499999999996</v>
      </c>
      <c r="E479" s="3">
        <v>7.9321000000000002</v>
      </c>
      <c r="F479" s="6">
        <f t="shared" si="91"/>
        <v>-0.15494999999999948</v>
      </c>
      <c r="G479" s="6">
        <f t="shared" si="92"/>
        <v>-1.916026239481634E-2</v>
      </c>
      <c r="H479" s="6" t="str">
        <f t="shared" si="93"/>
        <v>🔴 Under-injection</v>
      </c>
      <c r="I479" s="6">
        <f t="shared" si="94"/>
        <v>0.15494999999999948</v>
      </c>
      <c r="J479" s="3">
        <v>10</v>
      </c>
      <c r="K479" s="6">
        <f t="shared" si="95"/>
        <v>1.2130574999999999</v>
      </c>
      <c r="L479" s="6">
        <f t="shared" si="96"/>
        <v>1.61741</v>
      </c>
      <c r="M479" s="6">
        <f t="shared" si="97"/>
        <v>0.15494999999999948</v>
      </c>
      <c r="N479" s="6">
        <f t="shared" si="98"/>
        <v>0</v>
      </c>
      <c r="O479" s="6">
        <f t="shared" si="99"/>
        <v>0</v>
      </c>
      <c r="P479" s="6">
        <f t="shared" si="100"/>
        <v>406.74374999999867</v>
      </c>
      <c r="Q479" s="3">
        <v>406.74375000000003</v>
      </c>
      <c r="R479" s="6">
        <f t="shared" si="101"/>
        <v>-1.3642420526593924E-12</v>
      </c>
      <c r="S479" s="6" t="str">
        <f t="shared" si="102"/>
        <v>OK</v>
      </c>
    </row>
    <row r="480" spans="1:19" x14ac:dyDescent="0.25">
      <c r="A480" s="3" t="str">
        <f t="shared" si="103"/>
        <v>08.05.2026</v>
      </c>
      <c r="B480" s="5">
        <v>79</v>
      </c>
      <c r="C480" s="5" t="s">
        <v>39</v>
      </c>
      <c r="D480" s="3">
        <v>8.0870500000000014</v>
      </c>
      <c r="E480" s="3">
        <v>7.9321000000000002</v>
      </c>
      <c r="F480" s="6">
        <f t="shared" si="91"/>
        <v>-0.15495000000000125</v>
      </c>
      <c r="G480" s="6">
        <f t="shared" si="92"/>
        <v>-1.9160262394816555E-2</v>
      </c>
      <c r="H480" s="6" t="str">
        <f t="shared" si="93"/>
        <v>🔴 Under-injection</v>
      </c>
      <c r="I480" s="6">
        <f t="shared" si="94"/>
        <v>0.15495000000000125</v>
      </c>
      <c r="J480" s="3">
        <v>10</v>
      </c>
      <c r="K480" s="6">
        <f t="shared" si="95"/>
        <v>1.2130575000000001</v>
      </c>
      <c r="L480" s="6">
        <f t="shared" si="96"/>
        <v>1.6174100000000005</v>
      </c>
      <c r="M480" s="6">
        <f t="shared" si="97"/>
        <v>0.15495000000000125</v>
      </c>
      <c r="N480" s="6">
        <f t="shared" si="98"/>
        <v>0</v>
      </c>
      <c r="O480" s="6">
        <f t="shared" si="99"/>
        <v>0</v>
      </c>
      <c r="P480" s="6">
        <f t="shared" si="100"/>
        <v>406.74375000000327</v>
      </c>
      <c r="Q480" s="3">
        <v>406.74375000000003</v>
      </c>
      <c r="R480" s="6">
        <f t="shared" si="101"/>
        <v>3.2400748750660568E-12</v>
      </c>
      <c r="S480" s="6" t="str">
        <f t="shared" si="102"/>
        <v>OK</v>
      </c>
    </row>
    <row r="481" spans="1:19" x14ac:dyDescent="0.25">
      <c r="A481" s="3" t="str">
        <f t="shared" si="103"/>
        <v>08.05.2026</v>
      </c>
      <c r="B481" s="5">
        <v>80</v>
      </c>
      <c r="C481" s="5" t="s">
        <v>38</v>
      </c>
      <c r="D481" s="3">
        <v>8.0470500000000005</v>
      </c>
      <c r="E481" s="3">
        <v>7.9321000000000002</v>
      </c>
      <c r="F481" s="6">
        <f t="shared" si="91"/>
        <v>-0.11495000000000033</v>
      </c>
      <c r="G481" s="6">
        <f t="shared" si="92"/>
        <v>-1.4284737885312048E-2</v>
      </c>
      <c r="H481" s="6" t="str">
        <f t="shared" si="93"/>
        <v>🔴 Under-injection</v>
      </c>
      <c r="I481" s="6">
        <f t="shared" si="94"/>
        <v>0.11495000000000033</v>
      </c>
      <c r="J481" s="3">
        <v>10</v>
      </c>
      <c r="K481" s="6">
        <f t="shared" si="95"/>
        <v>1.2070575000000001</v>
      </c>
      <c r="L481" s="6">
        <f t="shared" si="96"/>
        <v>1.6094100000000002</v>
      </c>
      <c r="M481" s="6">
        <f t="shared" si="97"/>
        <v>0.11495000000000033</v>
      </c>
      <c r="N481" s="6">
        <f t="shared" si="98"/>
        <v>0</v>
      </c>
      <c r="O481" s="6">
        <f t="shared" si="99"/>
        <v>0</v>
      </c>
      <c r="P481" s="6">
        <f t="shared" si="100"/>
        <v>301.74375000000089</v>
      </c>
      <c r="Q481" s="3">
        <v>301.74374999999998</v>
      </c>
      <c r="R481" s="6">
        <f t="shared" si="101"/>
        <v>9.0949470177292824E-13</v>
      </c>
      <c r="S481" s="6" t="str">
        <f t="shared" si="102"/>
        <v>OK</v>
      </c>
    </row>
    <row r="482" spans="1:19" x14ac:dyDescent="0.25">
      <c r="A482" s="3" t="str">
        <f t="shared" si="103"/>
        <v>08.05.2026</v>
      </c>
      <c r="B482" s="5">
        <v>81</v>
      </c>
      <c r="C482" s="5" t="s">
        <v>37</v>
      </c>
      <c r="D482" s="3">
        <v>8.5770499999999998</v>
      </c>
      <c r="E482" s="3">
        <v>8.2725299999999997</v>
      </c>
      <c r="F482" s="6">
        <f t="shared" si="91"/>
        <v>-0.30452000000000012</v>
      </c>
      <c r="G482" s="6">
        <f t="shared" si="92"/>
        <v>-3.5504048594796597E-2</v>
      </c>
      <c r="H482" s="6" t="str">
        <f t="shared" si="93"/>
        <v>🔴 Under-injection</v>
      </c>
      <c r="I482" s="6">
        <f t="shared" si="94"/>
        <v>0.30452000000000012</v>
      </c>
      <c r="J482" s="3">
        <v>10</v>
      </c>
      <c r="K482" s="6">
        <f t="shared" si="95"/>
        <v>1.2865575</v>
      </c>
      <c r="L482" s="6">
        <f t="shared" si="96"/>
        <v>1.7154100000000001</v>
      </c>
      <c r="M482" s="6">
        <f t="shared" si="97"/>
        <v>0.30452000000000012</v>
      </c>
      <c r="N482" s="6">
        <f t="shared" si="98"/>
        <v>0</v>
      </c>
      <c r="O482" s="6">
        <f t="shared" si="99"/>
        <v>0</v>
      </c>
      <c r="P482" s="6">
        <f t="shared" si="100"/>
        <v>799.36500000000035</v>
      </c>
      <c r="Q482" s="3">
        <v>799.36500000000001</v>
      </c>
      <c r="R482" s="6">
        <f t="shared" si="101"/>
        <v>0</v>
      </c>
      <c r="S482" s="6" t="str">
        <f t="shared" si="102"/>
        <v>OK</v>
      </c>
    </row>
    <row r="483" spans="1:19" x14ac:dyDescent="0.25">
      <c r="A483" s="3" t="str">
        <f t="shared" si="103"/>
        <v>08.05.2026</v>
      </c>
      <c r="B483" s="5">
        <v>82</v>
      </c>
      <c r="C483" s="5" t="s">
        <v>36</v>
      </c>
      <c r="D483" s="3">
        <v>8.6270499999999988</v>
      </c>
      <c r="E483" s="3">
        <v>8.4087099999999992</v>
      </c>
      <c r="F483" s="6">
        <f t="shared" si="91"/>
        <v>-0.21833999999999953</v>
      </c>
      <c r="G483" s="6">
        <f t="shared" si="92"/>
        <v>-2.5308767191566012E-2</v>
      </c>
      <c r="H483" s="6" t="str">
        <f t="shared" si="93"/>
        <v>🔴 Under-injection</v>
      </c>
      <c r="I483" s="6">
        <f t="shared" si="94"/>
        <v>0.21833999999999953</v>
      </c>
      <c r="J483" s="3">
        <v>10</v>
      </c>
      <c r="K483" s="6">
        <f t="shared" si="95"/>
        <v>1.2940574999999999</v>
      </c>
      <c r="L483" s="6">
        <f t="shared" si="96"/>
        <v>1.7254099999999999</v>
      </c>
      <c r="M483" s="6">
        <f t="shared" si="97"/>
        <v>0.21833999999999953</v>
      </c>
      <c r="N483" s="6">
        <f t="shared" si="98"/>
        <v>0</v>
      </c>
      <c r="O483" s="6">
        <f t="shared" si="99"/>
        <v>0</v>
      </c>
      <c r="P483" s="6">
        <f t="shared" si="100"/>
        <v>573.14249999999879</v>
      </c>
      <c r="Q483" s="3">
        <v>573.14250000000004</v>
      </c>
      <c r="R483" s="6">
        <f t="shared" si="101"/>
        <v>-1.2505552149377763E-12</v>
      </c>
      <c r="S483" s="6" t="str">
        <f t="shared" si="102"/>
        <v>OK</v>
      </c>
    </row>
    <row r="484" spans="1:19" x14ac:dyDescent="0.25">
      <c r="A484" s="3" t="str">
        <f t="shared" si="103"/>
        <v>08.05.2026</v>
      </c>
      <c r="B484" s="5">
        <v>83</v>
      </c>
      <c r="C484" s="5" t="s">
        <v>35</v>
      </c>
      <c r="D484" s="3">
        <v>8.5270500000000009</v>
      </c>
      <c r="E484" s="3">
        <v>8.4200499999999998</v>
      </c>
      <c r="F484" s="6">
        <f t="shared" si="91"/>
        <v>-0.10700000000000109</v>
      </c>
      <c r="G484" s="6">
        <f t="shared" si="92"/>
        <v>-1.2548302167807283E-2</v>
      </c>
      <c r="H484" s="6" t="str">
        <f t="shared" si="93"/>
        <v>🔴 Under-injection</v>
      </c>
      <c r="I484" s="6">
        <f t="shared" si="94"/>
        <v>0.10700000000000109</v>
      </c>
      <c r="J484" s="3">
        <v>10</v>
      </c>
      <c r="K484" s="6">
        <f t="shared" si="95"/>
        <v>1.2790575000000002</v>
      </c>
      <c r="L484" s="6">
        <f t="shared" si="96"/>
        <v>1.7054100000000003</v>
      </c>
      <c r="M484" s="6">
        <f t="shared" si="97"/>
        <v>0.10700000000000109</v>
      </c>
      <c r="N484" s="6">
        <f t="shared" si="98"/>
        <v>0</v>
      </c>
      <c r="O484" s="6">
        <f t="shared" si="99"/>
        <v>0</v>
      </c>
      <c r="P484" s="6">
        <f t="shared" si="100"/>
        <v>280.8750000000029</v>
      </c>
      <c r="Q484" s="3">
        <v>280.875</v>
      </c>
      <c r="R484" s="6">
        <f t="shared" si="101"/>
        <v>2.8990143619012088E-12</v>
      </c>
      <c r="S484" s="6" t="str">
        <f t="shared" si="102"/>
        <v>OK</v>
      </c>
    </row>
    <row r="485" spans="1:19" x14ac:dyDescent="0.25">
      <c r="A485" s="3" t="str">
        <f t="shared" si="103"/>
        <v>08.05.2026</v>
      </c>
      <c r="B485" s="5">
        <v>84</v>
      </c>
      <c r="C485" s="5" t="s">
        <v>34</v>
      </c>
      <c r="D485" s="3">
        <v>8.6170500000000008</v>
      </c>
      <c r="E485" s="3">
        <v>8.4541000000000004</v>
      </c>
      <c r="F485" s="6">
        <f t="shared" si="91"/>
        <v>-0.16295000000000037</v>
      </c>
      <c r="G485" s="6">
        <f t="shared" si="92"/>
        <v>-1.8910183879634022E-2</v>
      </c>
      <c r="H485" s="6" t="str">
        <f t="shared" si="93"/>
        <v>🔴 Under-injection</v>
      </c>
      <c r="I485" s="6">
        <f t="shared" si="94"/>
        <v>0.16295000000000037</v>
      </c>
      <c r="J485" s="3">
        <v>10</v>
      </c>
      <c r="K485" s="6">
        <f t="shared" si="95"/>
        <v>1.2925575</v>
      </c>
      <c r="L485" s="6">
        <f t="shared" si="96"/>
        <v>1.7234100000000003</v>
      </c>
      <c r="M485" s="6">
        <f t="shared" si="97"/>
        <v>0.16295000000000037</v>
      </c>
      <c r="N485" s="6">
        <f t="shared" si="98"/>
        <v>0</v>
      </c>
      <c r="O485" s="6">
        <f t="shared" si="99"/>
        <v>0</v>
      </c>
      <c r="P485" s="6">
        <f t="shared" si="100"/>
        <v>427.743750000001</v>
      </c>
      <c r="Q485" s="3">
        <v>427.74375000000003</v>
      </c>
      <c r="R485" s="6">
        <f t="shared" si="101"/>
        <v>9.6633812063373625E-13</v>
      </c>
      <c r="S485" s="6" t="str">
        <f t="shared" si="102"/>
        <v>OK</v>
      </c>
    </row>
    <row r="486" spans="1:19" x14ac:dyDescent="0.25">
      <c r="A486" s="3" t="str">
        <f t="shared" si="103"/>
        <v>08.05.2026</v>
      </c>
      <c r="B486" s="5">
        <v>85</v>
      </c>
      <c r="C486" s="5" t="s">
        <v>33</v>
      </c>
      <c r="D486" s="3">
        <v>8.617049999999999</v>
      </c>
      <c r="E486" s="3">
        <v>8.4767899999999994</v>
      </c>
      <c r="F486" s="6">
        <f t="shared" si="91"/>
        <v>-0.14025999999999961</v>
      </c>
      <c r="G486" s="6">
        <f t="shared" si="92"/>
        <v>-1.6277032162979165E-2</v>
      </c>
      <c r="H486" s="6" t="str">
        <f t="shared" si="93"/>
        <v>🔴 Under-injection</v>
      </c>
      <c r="I486" s="6">
        <f t="shared" si="94"/>
        <v>0.14025999999999961</v>
      </c>
      <c r="J486" s="3">
        <v>10</v>
      </c>
      <c r="K486" s="6">
        <f t="shared" si="95"/>
        <v>1.2925574999999998</v>
      </c>
      <c r="L486" s="6">
        <f t="shared" si="96"/>
        <v>1.7234099999999999</v>
      </c>
      <c r="M486" s="6">
        <f t="shared" si="97"/>
        <v>0.14025999999999961</v>
      </c>
      <c r="N486" s="6">
        <f t="shared" si="98"/>
        <v>0</v>
      </c>
      <c r="O486" s="6">
        <f t="shared" si="99"/>
        <v>0</v>
      </c>
      <c r="P486" s="6">
        <f t="shared" si="100"/>
        <v>368.18249999999898</v>
      </c>
      <c r="Q486" s="3">
        <v>368.18249999999995</v>
      </c>
      <c r="R486" s="6">
        <f t="shared" si="101"/>
        <v>-9.6633812063373625E-13</v>
      </c>
      <c r="S486" s="6" t="str">
        <f t="shared" si="102"/>
        <v>OK</v>
      </c>
    </row>
    <row r="487" spans="1:19" x14ac:dyDescent="0.25">
      <c r="A487" s="3" t="str">
        <f t="shared" si="103"/>
        <v>08.05.2026</v>
      </c>
      <c r="B487" s="5">
        <v>86</v>
      </c>
      <c r="C487" s="5" t="s">
        <v>32</v>
      </c>
      <c r="D487" s="3">
        <v>8.5970499999999994</v>
      </c>
      <c r="E487" s="3">
        <v>8.4767899999999994</v>
      </c>
      <c r="F487" s="6">
        <f t="shared" si="91"/>
        <v>-0.12026000000000003</v>
      </c>
      <c r="G487" s="6">
        <f t="shared" si="92"/>
        <v>-1.3988519317672927E-2</v>
      </c>
      <c r="H487" s="6" t="str">
        <f t="shared" si="93"/>
        <v>🔴 Under-injection</v>
      </c>
      <c r="I487" s="6">
        <f t="shared" si="94"/>
        <v>0.12026000000000003</v>
      </c>
      <c r="J487" s="3">
        <v>9.5350000000000001</v>
      </c>
      <c r="K487" s="6">
        <f t="shared" si="95"/>
        <v>1.2895574999999999</v>
      </c>
      <c r="L487" s="6">
        <f t="shared" si="96"/>
        <v>1.7194099999999999</v>
      </c>
      <c r="M487" s="6">
        <f t="shared" si="97"/>
        <v>0.12026000000000003</v>
      </c>
      <c r="N487" s="6">
        <f t="shared" si="98"/>
        <v>0</v>
      </c>
      <c r="O487" s="6">
        <f t="shared" si="99"/>
        <v>0</v>
      </c>
      <c r="P487" s="6">
        <f t="shared" si="100"/>
        <v>301.00326375000014</v>
      </c>
      <c r="Q487" s="3">
        <v>301.00326375000003</v>
      </c>
      <c r="R487" s="6">
        <f t="shared" si="101"/>
        <v>0</v>
      </c>
      <c r="S487" s="6" t="str">
        <f t="shared" si="102"/>
        <v>OK</v>
      </c>
    </row>
    <row r="488" spans="1:19" x14ac:dyDescent="0.25">
      <c r="A488" s="3" t="str">
        <f t="shared" si="103"/>
        <v>08.05.2026</v>
      </c>
      <c r="B488" s="5">
        <v>87</v>
      </c>
      <c r="C488" s="5" t="s">
        <v>31</v>
      </c>
      <c r="D488" s="3">
        <v>8.5970499999999994</v>
      </c>
      <c r="E488" s="3">
        <v>8.4767899999999994</v>
      </c>
      <c r="F488" s="6">
        <f t="shared" si="91"/>
        <v>-0.12026000000000003</v>
      </c>
      <c r="G488" s="6">
        <f t="shared" si="92"/>
        <v>-1.3988519317672927E-2</v>
      </c>
      <c r="H488" s="6" t="str">
        <f t="shared" si="93"/>
        <v>🔴 Under-injection</v>
      </c>
      <c r="I488" s="6">
        <f t="shared" si="94"/>
        <v>0.12026000000000003</v>
      </c>
      <c r="J488" s="3">
        <v>8.5805999999999987</v>
      </c>
      <c r="K488" s="6">
        <f t="shared" si="95"/>
        <v>1.2895574999999999</v>
      </c>
      <c r="L488" s="6">
        <f t="shared" si="96"/>
        <v>1.7194099999999999</v>
      </c>
      <c r="M488" s="6">
        <f t="shared" si="97"/>
        <v>0.12026000000000003</v>
      </c>
      <c r="N488" s="6">
        <f t="shared" si="98"/>
        <v>0</v>
      </c>
      <c r="O488" s="6">
        <f t="shared" si="99"/>
        <v>0</v>
      </c>
      <c r="P488" s="6">
        <f t="shared" si="100"/>
        <v>270.87452595000008</v>
      </c>
      <c r="Q488" s="3">
        <v>270.87452595000002</v>
      </c>
      <c r="R488" s="6">
        <f t="shared" si="101"/>
        <v>0</v>
      </c>
      <c r="S488" s="6" t="str">
        <f t="shared" si="102"/>
        <v>OK</v>
      </c>
    </row>
    <row r="489" spans="1:19" x14ac:dyDescent="0.25">
      <c r="A489" s="3" t="str">
        <f t="shared" si="103"/>
        <v>08.05.2026</v>
      </c>
      <c r="B489" s="5">
        <v>88</v>
      </c>
      <c r="C489" s="5" t="s">
        <v>30</v>
      </c>
      <c r="D489" s="3">
        <v>8.5970499999999994</v>
      </c>
      <c r="E489" s="3">
        <v>8.4767899999999994</v>
      </c>
      <c r="F489" s="6">
        <f t="shared" si="91"/>
        <v>-0.12026000000000003</v>
      </c>
      <c r="G489" s="6">
        <f t="shared" si="92"/>
        <v>-1.3988519317672927E-2</v>
      </c>
      <c r="H489" s="6" t="str">
        <f t="shared" si="93"/>
        <v>🔴 Under-injection</v>
      </c>
      <c r="I489" s="6">
        <f t="shared" si="94"/>
        <v>0.12026000000000003</v>
      </c>
      <c r="J489" s="3">
        <v>9.5309000000000008</v>
      </c>
      <c r="K489" s="6">
        <f t="shared" si="95"/>
        <v>1.2895574999999999</v>
      </c>
      <c r="L489" s="6">
        <f t="shared" si="96"/>
        <v>1.7194099999999999</v>
      </c>
      <c r="M489" s="6">
        <f t="shared" si="97"/>
        <v>0.12026000000000003</v>
      </c>
      <c r="N489" s="6">
        <f t="shared" si="98"/>
        <v>0</v>
      </c>
      <c r="O489" s="6">
        <f t="shared" si="99"/>
        <v>0</v>
      </c>
      <c r="P489" s="6">
        <f t="shared" si="100"/>
        <v>300.87383392500016</v>
      </c>
      <c r="Q489" s="3">
        <v>300.87383392500004</v>
      </c>
      <c r="R489" s="6">
        <f t="shared" si="101"/>
        <v>0</v>
      </c>
      <c r="S489" s="6" t="str">
        <f t="shared" si="102"/>
        <v>OK</v>
      </c>
    </row>
    <row r="490" spans="1:19" x14ac:dyDescent="0.25">
      <c r="A490" s="3" t="str">
        <f t="shared" si="103"/>
        <v>08.05.2026</v>
      </c>
      <c r="B490" s="5">
        <v>89</v>
      </c>
      <c r="C490" s="5" t="s">
        <v>29</v>
      </c>
      <c r="D490" s="3">
        <v>8.8470499999999994</v>
      </c>
      <c r="E490" s="3">
        <v>8.6810500000000008</v>
      </c>
      <c r="F490" s="6">
        <f t="shared" si="91"/>
        <v>-0.16599999999999859</v>
      </c>
      <c r="G490" s="6">
        <f t="shared" si="92"/>
        <v>-1.8763316585754416E-2</v>
      </c>
      <c r="H490" s="6" t="str">
        <f t="shared" si="93"/>
        <v>🔴 Under-injection</v>
      </c>
      <c r="I490" s="6">
        <f t="shared" si="94"/>
        <v>0.16599999999999859</v>
      </c>
      <c r="J490" s="3">
        <v>10</v>
      </c>
      <c r="K490" s="6">
        <f t="shared" si="95"/>
        <v>1.3270574999999998</v>
      </c>
      <c r="L490" s="6">
        <f t="shared" si="96"/>
        <v>1.7694099999999999</v>
      </c>
      <c r="M490" s="6">
        <f t="shared" si="97"/>
        <v>0.16599999999999859</v>
      </c>
      <c r="N490" s="6">
        <f t="shared" si="98"/>
        <v>0</v>
      </c>
      <c r="O490" s="6">
        <f t="shared" si="99"/>
        <v>0</v>
      </c>
      <c r="P490" s="6">
        <f t="shared" si="100"/>
        <v>435.74999999999636</v>
      </c>
      <c r="Q490" s="3">
        <v>435.75</v>
      </c>
      <c r="R490" s="6">
        <f t="shared" si="101"/>
        <v>-3.637978807091713E-12</v>
      </c>
      <c r="S490" s="6" t="str">
        <f t="shared" si="102"/>
        <v>OK</v>
      </c>
    </row>
    <row r="491" spans="1:19" x14ac:dyDescent="0.25">
      <c r="A491" s="3" t="str">
        <f t="shared" si="103"/>
        <v>08.05.2026</v>
      </c>
      <c r="B491" s="5">
        <v>90</v>
      </c>
      <c r="C491" s="5" t="s">
        <v>28</v>
      </c>
      <c r="D491" s="3">
        <v>8.8470499999999994</v>
      </c>
      <c r="E491" s="3">
        <v>8.7150999999999996</v>
      </c>
      <c r="F491" s="6">
        <f t="shared" si="91"/>
        <v>-0.13194999999999979</v>
      </c>
      <c r="G491" s="6">
        <f t="shared" si="92"/>
        <v>-1.4914576045122363E-2</v>
      </c>
      <c r="H491" s="6" t="str">
        <f t="shared" si="93"/>
        <v>🔴 Under-injection</v>
      </c>
      <c r="I491" s="6">
        <f t="shared" si="94"/>
        <v>0.13194999999999979</v>
      </c>
      <c r="J491" s="3">
        <v>10</v>
      </c>
      <c r="K491" s="6">
        <f t="shared" si="95"/>
        <v>1.3270574999999998</v>
      </c>
      <c r="L491" s="6">
        <f t="shared" si="96"/>
        <v>1.7694099999999999</v>
      </c>
      <c r="M491" s="6">
        <f t="shared" si="97"/>
        <v>0.13194999999999979</v>
      </c>
      <c r="N491" s="6">
        <f t="shared" si="98"/>
        <v>0</v>
      </c>
      <c r="O491" s="6">
        <f t="shared" si="99"/>
        <v>0</v>
      </c>
      <c r="P491" s="6">
        <f t="shared" si="100"/>
        <v>346.36874999999952</v>
      </c>
      <c r="Q491" s="3">
        <v>346.36874999999998</v>
      </c>
      <c r="R491" s="6">
        <f t="shared" si="101"/>
        <v>-4.5474735088646412E-13</v>
      </c>
      <c r="S491" s="6" t="str">
        <f t="shared" si="102"/>
        <v>OK</v>
      </c>
    </row>
    <row r="492" spans="1:19" x14ac:dyDescent="0.25">
      <c r="A492" s="3" t="str">
        <f t="shared" si="103"/>
        <v>08.05.2026</v>
      </c>
      <c r="B492" s="5">
        <v>91</v>
      </c>
      <c r="C492" s="5" t="s">
        <v>27</v>
      </c>
      <c r="D492" s="3">
        <v>8.9070499999999981</v>
      </c>
      <c r="E492" s="3">
        <v>8.7150999999999996</v>
      </c>
      <c r="F492" s="6">
        <f t="shared" si="91"/>
        <v>-0.19194999999999851</v>
      </c>
      <c r="G492" s="6">
        <f t="shared" si="92"/>
        <v>-2.1550344951470863E-2</v>
      </c>
      <c r="H492" s="6" t="str">
        <f t="shared" si="93"/>
        <v>🔴 Under-injection</v>
      </c>
      <c r="I492" s="6">
        <f t="shared" si="94"/>
        <v>0.19194999999999851</v>
      </c>
      <c r="J492" s="3">
        <v>10</v>
      </c>
      <c r="K492" s="6">
        <f t="shared" si="95"/>
        <v>1.3360574999999997</v>
      </c>
      <c r="L492" s="6">
        <f t="shared" si="96"/>
        <v>1.7814099999999997</v>
      </c>
      <c r="M492" s="6">
        <f t="shared" si="97"/>
        <v>0.19194999999999851</v>
      </c>
      <c r="N492" s="6">
        <f t="shared" si="98"/>
        <v>0</v>
      </c>
      <c r="O492" s="6">
        <f t="shared" si="99"/>
        <v>0</v>
      </c>
      <c r="P492" s="6">
        <f t="shared" si="100"/>
        <v>503.86874999999611</v>
      </c>
      <c r="Q492" s="3">
        <v>503.86874999999998</v>
      </c>
      <c r="R492" s="6">
        <f t="shared" si="101"/>
        <v>-3.865352482534945E-12</v>
      </c>
      <c r="S492" s="6" t="str">
        <f t="shared" si="102"/>
        <v>OK</v>
      </c>
    </row>
    <row r="493" spans="1:19" x14ac:dyDescent="0.25">
      <c r="A493" s="3" t="str">
        <f t="shared" si="103"/>
        <v>08.05.2026</v>
      </c>
      <c r="B493" s="5">
        <v>92</v>
      </c>
      <c r="C493" s="5" t="s">
        <v>26</v>
      </c>
      <c r="D493" s="3">
        <v>8.8470499999999994</v>
      </c>
      <c r="E493" s="3">
        <v>8.7037399999999998</v>
      </c>
      <c r="F493" s="6">
        <f t="shared" si="91"/>
        <v>-0.1433099999999996</v>
      </c>
      <c r="G493" s="6">
        <f t="shared" si="92"/>
        <v>-1.6198619878942656E-2</v>
      </c>
      <c r="H493" s="6" t="str">
        <f t="shared" si="93"/>
        <v>🔴 Under-injection</v>
      </c>
      <c r="I493" s="6">
        <f t="shared" si="94"/>
        <v>0.1433099999999996</v>
      </c>
      <c r="J493" s="3">
        <v>10</v>
      </c>
      <c r="K493" s="6">
        <f t="shared" si="95"/>
        <v>1.3270574999999998</v>
      </c>
      <c r="L493" s="6">
        <f t="shared" si="96"/>
        <v>1.7694099999999999</v>
      </c>
      <c r="M493" s="6">
        <f t="shared" si="97"/>
        <v>0.1433099999999996</v>
      </c>
      <c r="N493" s="6">
        <f t="shared" si="98"/>
        <v>0</v>
      </c>
      <c r="O493" s="6">
        <f t="shared" si="99"/>
        <v>0</v>
      </c>
      <c r="P493" s="6">
        <f t="shared" si="100"/>
        <v>376.18874999999895</v>
      </c>
      <c r="Q493" s="3">
        <v>376.18874999999997</v>
      </c>
      <c r="R493" s="6">
        <f t="shared" si="101"/>
        <v>-1.0231815394945443E-12</v>
      </c>
      <c r="S493" s="6" t="str">
        <f t="shared" si="102"/>
        <v>OK</v>
      </c>
    </row>
    <row r="494" spans="1:19" x14ac:dyDescent="0.25">
      <c r="A494" s="3" t="str">
        <f t="shared" si="103"/>
        <v>08.05.2026</v>
      </c>
      <c r="B494" s="5">
        <v>93</v>
      </c>
      <c r="C494" s="5" t="s">
        <v>25</v>
      </c>
      <c r="D494" s="3">
        <v>8.8370499999999996</v>
      </c>
      <c r="E494" s="3">
        <v>8.7150999999999996</v>
      </c>
      <c r="F494" s="6">
        <f t="shared" si="91"/>
        <v>-0.12195</v>
      </c>
      <c r="G494" s="6">
        <f t="shared" si="92"/>
        <v>-1.3799854023684376E-2</v>
      </c>
      <c r="H494" s="6" t="str">
        <f t="shared" si="93"/>
        <v>🔴 Under-injection</v>
      </c>
      <c r="I494" s="6">
        <f t="shared" si="94"/>
        <v>0.12195</v>
      </c>
      <c r="J494" s="3">
        <v>10</v>
      </c>
      <c r="K494" s="6">
        <f t="shared" si="95"/>
        <v>1.3255574999999999</v>
      </c>
      <c r="L494" s="6">
        <f t="shared" si="96"/>
        <v>1.7674099999999999</v>
      </c>
      <c r="M494" s="6">
        <f t="shared" si="97"/>
        <v>0.12195</v>
      </c>
      <c r="N494" s="6">
        <f t="shared" si="98"/>
        <v>0</v>
      </c>
      <c r="O494" s="6">
        <f t="shared" si="99"/>
        <v>0</v>
      </c>
      <c r="P494" s="6">
        <f t="shared" si="100"/>
        <v>320.11875000000003</v>
      </c>
      <c r="Q494" s="3">
        <v>320.11875000000003</v>
      </c>
      <c r="R494" s="6">
        <f t="shared" si="101"/>
        <v>0</v>
      </c>
      <c r="S494" s="6" t="str">
        <f t="shared" si="102"/>
        <v>OK</v>
      </c>
    </row>
    <row r="495" spans="1:19" x14ac:dyDescent="0.25">
      <c r="A495" s="3" t="str">
        <f t="shared" si="103"/>
        <v>08.05.2026</v>
      </c>
      <c r="B495" s="5">
        <v>94</v>
      </c>
      <c r="C495" s="5" t="s">
        <v>24</v>
      </c>
      <c r="D495" s="3">
        <v>8.8370499999999979</v>
      </c>
      <c r="E495" s="3">
        <v>8.7037399999999998</v>
      </c>
      <c r="F495" s="6">
        <f t="shared" si="91"/>
        <v>-0.13330999999999804</v>
      </c>
      <c r="G495" s="6">
        <f t="shared" si="92"/>
        <v>-1.5085350880666972E-2</v>
      </c>
      <c r="H495" s="6" t="str">
        <f t="shared" si="93"/>
        <v>🔴 Under-injection</v>
      </c>
      <c r="I495" s="6">
        <f t="shared" si="94"/>
        <v>0.13330999999999804</v>
      </c>
      <c r="J495" s="3">
        <v>10</v>
      </c>
      <c r="K495" s="6">
        <f t="shared" si="95"/>
        <v>1.3255574999999997</v>
      </c>
      <c r="L495" s="6">
        <f t="shared" si="96"/>
        <v>1.7674099999999997</v>
      </c>
      <c r="M495" s="6">
        <f t="shared" si="97"/>
        <v>0.13330999999999804</v>
      </c>
      <c r="N495" s="6">
        <f t="shared" si="98"/>
        <v>0</v>
      </c>
      <c r="O495" s="6">
        <f t="shared" si="99"/>
        <v>0</v>
      </c>
      <c r="P495" s="6">
        <f t="shared" si="100"/>
        <v>349.93874999999485</v>
      </c>
      <c r="Q495" s="3">
        <v>349.93875000000003</v>
      </c>
      <c r="R495" s="6">
        <f t="shared" si="101"/>
        <v>-5.1727511163335294E-12</v>
      </c>
      <c r="S495" s="6" t="str">
        <f t="shared" si="102"/>
        <v>OK</v>
      </c>
    </row>
    <row r="496" spans="1:19" x14ac:dyDescent="0.25">
      <c r="A496" s="3" t="str">
        <f t="shared" si="103"/>
        <v>08.05.2026</v>
      </c>
      <c r="B496" s="5">
        <v>95</v>
      </c>
      <c r="C496" s="5" t="s">
        <v>23</v>
      </c>
      <c r="D496" s="3">
        <v>8.8370499999999996</v>
      </c>
      <c r="E496" s="3">
        <v>8.7037399999999998</v>
      </c>
      <c r="F496" s="6">
        <f t="shared" si="91"/>
        <v>-0.13330999999999982</v>
      </c>
      <c r="G496" s="6">
        <f t="shared" si="92"/>
        <v>-1.508535088066717E-2</v>
      </c>
      <c r="H496" s="6" t="str">
        <f t="shared" si="93"/>
        <v>🔴 Under-injection</v>
      </c>
      <c r="I496" s="6">
        <f t="shared" si="94"/>
        <v>0.13330999999999982</v>
      </c>
      <c r="J496" s="3">
        <v>10</v>
      </c>
      <c r="K496" s="6">
        <f t="shared" si="95"/>
        <v>1.3255574999999999</v>
      </c>
      <c r="L496" s="6">
        <f t="shared" si="96"/>
        <v>1.7674099999999999</v>
      </c>
      <c r="M496" s="6">
        <f t="shared" si="97"/>
        <v>0.13330999999999982</v>
      </c>
      <c r="N496" s="6">
        <f t="shared" si="98"/>
        <v>0</v>
      </c>
      <c r="O496" s="6">
        <f t="shared" si="99"/>
        <v>0</v>
      </c>
      <c r="P496" s="6">
        <f t="shared" si="100"/>
        <v>349.93874999999952</v>
      </c>
      <c r="Q496" s="3">
        <v>349.93875000000003</v>
      </c>
      <c r="R496" s="6">
        <f t="shared" si="101"/>
        <v>-5.1159076974727213E-13</v>
      </c>
      <c r="S496" s="6" t="str">
        <f t="shared" si="102"/>
        <v>OK</v>
      </c>
    </row>
    <row r="497" spans="1:19" x14ac:dyDescent="0.25">
      <c r="A497" s="3" t="str">
        <f t="shared" si="103"/>
        <v>08.05.2026</v>
      </c>
      <c r="B497" s="5">
        <v>96</v>
      </c>
      <c r="C497" s="5" t="s">
        <v>22</v>
      </c>
      <c r="D497" s="3">
        <v>8.8470499999999994</v>
      </c>
      <c r="E497" s="3">
        <v>8.7037399999999998</v>
      </c>
      <c r="F497" s="6">
        <f t="shared" si="91"/>
        <v>-0.1433099999999996</v>
      </c>
      <c r="G497" s="6">
        <f t="shared" si="92"/>
        <v>-1.6198619878942656E-2</v>
      </c>
      <c r="H497" s="6" t="str">
        <f t="shared" si="93"/>
        <v>🔴 Under-injection</v>
      </c>
      <c r="I497" s="6">
        <f t="shared" si="94"/>
        <v>0.1433099999999996</v>
      </c>
      <c r="J497" s="3">
        <v>10</v>
      </c>
      <c r="K497" s="6">
        <f t="shared" si="95"/>
        <v>1.3270574999999998</v>
      </c>
      <c r="L497" s="6">
        <f t="shared" si="96"/>
        <v>1.7694099999999999</v>
      </c>
      <c r="M497" s="6">
        <f t="shared" si="97"/>
        <v>0.1433099999999996</v>
      </c>
      <c r="N497" s="6">
        <f t="shared" si="98"/>
        <v>0</v>
      </c>
      <c r="O497" s="6">
        <f t="shared" si="99"/>
        <v>0</v>
      </c>
      <c r="P497" s="6">
        <f t="shared" si="100"/>
        <v>376.18874999999895</v>
      </c>
      <c r="Q497" s="3">
        <v>376.18874999999997</v>
      </c>
      <c r="R497" s="6">
        <f t="shared" si="101"/>
        <v>-1.0231815394945443E-12</v>
      </c>
      <c r="S497" s="6" t="str">
        <f t="shared" si="102"/>
        <v>OK</v>
      </c>
    </row>
    <row r="498" spans="1:19" x14ac:dyDescent="0.25">
      <c r="A498" s="3" t="s">
        <v>173</v>
      </c>
      <c r="B498" s="5">
        <v>1</v>
      </c>
      <c r="C498" s="5" t="s">
        <v>117</v>
      </c>
      <c r="D498" s="3">
        <v>8.7670499999999993</v>
      </c>
      <c r="E498" s="3">
        <v>8.5335300000000007</v>
      </c>
      <c r="F498" s="6">
        <f t="shared" si="91"/>
        <v>-0.23351999999999862</v>
      </c>
      <c r="G498" s="6">
        <f t="shared" si="92"/>
        <v>-2.6636097661128729E-2</v>
      </c>
      <c r="H498" s="6" t="str">
        <f t="shared" si="93"/>
        <v>🔴 Under-injection</v>
      </c>
      <c r="I498" s="6">
        <f t="shared" si="94"/>
        <v>0.23351999999999862</v>
      </c>
      <c r="J498" s="3">
        <v>5.9603999999999999</v>
      </c>
      <c r="K498" s="6">
        <f t="shared" si="95"/>
        <v>1.3150574999999998</v>
      </c>
      <c r="L498" s="6">
        <f t="shared" si="96"/>
        <v>1.7534099999999999</v>
      </c>
      <c r="M498" s="6">
        <f t="shared" si="97"/>
        <v>0.23351999999999862</v>
      </c>
      <c r="N498" s="6">
        <f t="shared" si="98"/>
        <v>0</v>
      </c>
      <c r="O498" s="6">
        <f t="shared" si="99"/>
        <v>0</v>
      </c>
      <c r="P498" s="6">
        <f t="shared" si="100"/>
        <v>365.36655959999786</v>
      </c>
      <c r="Q498" s="3">
        <v>365.36655960000002</v>
      </c>
      <c r="R498" s="6">
        <f t="shared" si="101"/>
        <v>-2.1600499167107046E-12</v>
      </c>
      <c r="S498" s="6" t="str">
        <f t="shared" si="102"/>
        <v>OK</v>
      </c>
    </row>
    <row r="499" spans="1:19" x14ac:dyDescent="0.25">
      <c r="A499" s="3" t="str">
        <f t="shared" si="103"/>
        <v>09.05.2026</v>
      </c>
      <c r="B499" s="5">
        <v>2</v>
      </c>
      <c r="C499" s="5" t="s">
        <v>116</v>
      </c>
      <c r="D499" s="3">
        <v>8.7670499999999993</v>
      </c>
      <c r="E499" s="3">
        <v>8.4767899999999994</v>
      </c>
      <c r="F499" s="6">
        <f t="shared" si="91"/>
        <v>-0.29025999999999996</v>
      </c>
      <c r="G499" s="6">
        <f t="shared" si="92"/>
        <v>-3.3108058012672449E-2</v>
      </c>
      <c r="H499" s="6" t="str">
        <f t="shared" si="93"/>
        <v>🔴 Under-injection</v>
      </c>
      <c r="I499" s="6">
        <f t="shared" si="94"/>
        <v>0.29025999999999996</v>
      </c>
      <c r="J499" s="3">
        <v>5.9574999999999996</v>
      </c>
      <c r="K499" s="6">
        <f t="shared" si="95"/>
        <v>1.3150574999999998</v>
      </c>
      <c r="L499" s="6">
        <f t="shared" si="96"/>
        <v>1.7534099999999999</v>
      </c>
      <c r="M499" s="6">
        <f t="shared" si="97"/>
        <v>0.29025999999999996</v>
      </c>
      <c r="N499" s="6">
        <f t="shared" si="98"/>
        <v>0</v>
      </c>
      <c r="O499" s="6">
        <f t="shared" si="99"/>
        <v>0</v>
      </c>
      <c r="P499" s="6">
        <f t="shared" si="100"/>
        <v>453.92128687499991</v>
      </c>
      <c r="Q499" s="3">
        <v>453.92128687500002</v>
      </c>
      <c r="R499" s="6">
        <f t="shared" si="101"/>
        <v>0</v>
      </c>
      <c r="S499" s="6" t="str">
        <f t="shared" si="102"/>
        <v>OK</v>
      </c>
    </row>
    <row r="500" spans="1:19" x14ac:dyDescent="0.25">
      <c r="A500" s="3" t="str">
        <f t="shared" si="103"/>
        <v>09.05.2026</v>
      </c>
      <c r="B500" s="5">
        <v>3</v>
      </c>
      <c r="C500" s="5" t="s">
        <v>115</v>
      </c>
      <c r="D500" s="3">
        <v>8.7670499999999993</v>
      </c>
      <c r="E500" s="3">
        <v>8.4767899999999994</v>
      </c>
      <c r="F500" s="6">
        <f t="shared" si="91"/>
        <v>-0.29025999999999996</v>
      </c>
      <c r="G500" s="6">
        <f t="shared" si="92"/>
        <v>-3.3108058012672449E-2</v>
      </c>
      <c r="H500" s="6" t="str">
        <f t="shared" si="93"/>
        <v>🔴 Under-injection</v>
      </c>
      <c r="I500" s="6">
        <f t="shared" si="94"/>
        <v>0.29025999999999996</v>
      </c>
      <c r="J500" s="3">
        <v>5.8657000000000004</v>
      </c>
      <c r="K500" s="6">
        <f t="shared" si="95"/>
        <v>1.3150574999999998</v>
      </c>
      <c r="L500" s="6">
        <f t="shared" si="96"/>
        <v>1.7534099999999999</v>
      </c>
      <c r="M500" s="6">
        <f t="shared" si="97"/>
        <v>0.29025999999999996</v>
      </c>
      <c r="N500" s="6">
        <f t="shared" si="98"/>
        <v>0</v>
      </c>
      <c r="O500" s="6">
        <f t="shared" si="99"/>
        <v>0</v>
      </c>
      <c r="P500" s="6">
        <f t="shared" si="100"/>
        <v>446.926746525</v>
      </c>
      <c r="Q500" s="3">
        <v>446.92674652500006</v>
      </c>
      <c r="R500" s="6">
        <f t="shared" si="101"/>
        <v>0</v>
      </c>
      <c r="S500" s="6" t="str">
        <f t="shared" si="102"/>
        <v>OK</v>
      </c>
    </row>
    <row r="501" spans="1:19" x14ac:dyDescent="0.25">
      <c r="A501" s="3" t="str">
        <f t="shared" si="103"/>
        <v>09.05.2026</v>
      </c>
      <c r="B501" s="5">
        <v>4</v>
      </c>
      <c r="C501" s="5" t="s">
        <v>114</v>
      </c>
      <c r="D501" s="3">
        <v>8.7670499999999993</v>
      </c>
      <c r="E501" s="3">
        <v>8.4767899999999994</v>
      </c>
      <c r="F501" s="6">
        <f t="shared" si="91"/>
        <v>-0.29025999999999996</v>
      </c>
      <c r="G501" s="6">
        <f t="shared" si="92"/>
        <v>-3.3108058012672449E-2</v>
      </c>
      <c r="H501" s="6" t="str">
        <f t="shared" si="93"/>
        <v>🔴 Under-injection</v>
      </c>
      <c r="I501" s="6">
        <f t="shared" si="94"/>
        <v>0.29025999999999996</v>
      </c>
      <c r="J501" s="3">
        <v>5.8685999999999998</v>
      </c>
      <c r="K501" s="6">
        <f t="shared" si="95"/>
        <v>1.3150574999999998</v>
      </c>
      <c r="L501" s="6">
        <f t="shared" si="96"/>
        <v>1.7534099999999999</v>
      </c>
      <c r="M501" s="6">
        <f t="shared" si="97"/>
        <v>0.29025999999999996</v>
      </c>
      <c r="N501" s="6">
        <f t="shared" si="98"/>
        <v>0</v>
      </c>
      <c r="O501" s="6">
        <f t="shared" si="99"/>
        <v>0</v>
      </c>
      <c r="P501" s="6">
        <f t="shared" si="100"/>
        <v>447.14770694999993</v>
      </c>
      <c r="Q501" s="3">
        <v>447.14770694999999</v>
      </c>
      <c r="R501" s="6">
        <f t="shared" si="101"/>
        <v>0</v>
      </c>
      <c r="S501" s="6" t="str">
        <f t="shared" si="102"/>
        <v>OK</v>
      </c>
    </row>
    <row r="502" spans="1:19" x14ac:dyDescent="0.25">
      <c r="A502" s="3" t="str">
        <f t="shared" si="103"/>
        <v>09.05.2026</v>
      </c>
      <c r="B502" s="5">
        <v>5</v>
      </c>
      <c r="C502" s="5" t="s">
        <v>113</v>
      </c>
      <c r="D502" s="3">
        <v>8.7670499999999993</v>
      </c>
      <c r="E502" s="3">
        <v>8.4767899999999994</v>
      </c>
      <c r="F502" s="6">
        <f t="shared" si="91"/>
        <v>-0.29025999999999996</v>
      </c>
      <c r="G502" s="6">
        <f t="shared" si="92"/>
        <v>-3.3108058012672449E-2</v>
      </c>
      <c r="H502" s="6" t="str">
        <f t="shared" si="93"/>
        <v>🔴 Under-injection</v>
      </c>
      <c r="I502" s="6">
        <f t="shared" si="94"/>
        <v>0.29025999999999996</v>
      </c>
      <c r="J502" s="3">
        <v>5.2358000000000002</v>
      </c>
      <c r="K502" s="6">
        <f t="shared" si="95"/>
        <v>1.3150574999999998</v>
      </c>
      <c r="L502" s="6">
        <f t="shared" si="96"/>
        <v>1.7534099999999999</v>
      </c>
      <c r="M502" s="6">
        <f t="shared" si="97"/>
        <v>0.29025999999999996</v>
      </c>
      <c r="N502" s="6">
        <f t="shared" si="98"/>
        <v>0</v>
      </c>
      <c r="O502" s="6">
        <f t="shared" si="99"/>
        <v>0</v>
      </c>
      <c r="P502" s="6">
        <f t="shared" si="100"/>
        <v>398.93261834999998</v>
      </c>
      <c r="Q502" s="3">
        <v>398.93261835000004</v>
      </c>
      <c r="R502" s="6">
        <f t="shared" si="101"/>
        <v>0</v>
      </c>
      <c r="S502" s="6" t="str">
        <f t="shared" si="102"/>
        <v>OK</v>
      </c>
    </row>
    <row r="503" spans="1:19" x14ac:dyDescent="0.25">
      <c r="A503" s="3" t="str">
        <f t="shared" si="103"/>
        <v>09.05.2026</v>
      </c>
      <c r="B503" s="5">
        <v>6</v>
      </c>
      <c r="C503" s="5" t="s">
        <v>112</v>
      </c>
      <c r="D503" s="3">
        <v>8.7670499999999993</v>
      </c>
      <c r="E503" s="3">
        <v>8.4767899999999994</v>
      </c>
      <c r="F503" s="6">
        <f t="shared" si="91"/>
        <v>-0.29025999999999996</v>
      </c>
      <c r="G503" s="6">
        <f t="shared" si="92"/>
        <v>-3.3108058012672449E-2</v>
      </c>
      <c r="H503" s="6" t="str">
        <f t="shared" si="93"/>
        <v>🔴 Under-injection</v>
      </c>
      <c r="I503" s="6">
        <f t="shared" si="94"/>
        <v>0.29025999999999996</v>
      </c>
      <c r="J503" s="3">
        <v>5.0388999999999999</v>
      </c>
      <c r="K503" s="6">
        <f t="shared" si="95"/>
        <v>1.3150574999999998</v>
      </c>
      <c r="L503" s="6">
        <f t="shared" si="96"/>
        <v>1.7534099999999999</v>
      </c>
      <c r="M503" s="6">
        <f t="shared" si="97"/>
        <v>0.29025999999999996</v>
      </c>
      <c r="N503" s="6">
        <f t="shared" si="98"/>
        <v>0</v>
      </c>
      <c r="O503" s="6">
        <f t="shared" si="99"/>
        <v>0</v>
      </c>
      <c r="P503" s="6">
        <f t="shared" si="100"/>
        <v>383.93016742499998</v>
      </c>
      <c r="Q503" s="3">
        <v>383.93016742500004</v>
      </c>
      <c r="R503" s="6">
        <f t="shared" si="101"/>
        <v>0</v>
      </c>
      <c r="S503" s="6" t="str">
        <f t="shared" si="102"/>
        <v>OK</v>
      </c>
    </row>
    <row r="504" spans="1:19" x14ac:dyDescent="0.25">
      <c r="A504" s="3" t="str">
        <f t="shared" si="103"/>
        <v>09.05.2026</v>
      </c>
      <c r="B504" s="5">
        <v>7</v>
      </c>
      <c r="C504" s="5" t="s">
        <v>111</v>
      </c>
      <c r="D504" s="3">
        <v>8.7670499999999993</v>
      </c>
      <c r="E504" s="3">
        <v>8.4767899999999994</v>
      </c>
      <c r="F504" s="6">
        <f t="shared" si="91"/>
        <v>-0.29025999999999996</v>
      </c>
      <c r="G504" s="6">
        <f t="shared" si="92"/>
        <v>-3.3108058012672449E-2</v>
      </c>
      <c r="H504" s="6" t="str">
        <f t="shared" si="93"/>
        <v>🔴 Under-injection</v>
      </c>
      <c r="I504" s="6">
        <f t="shared" si="94"/>
        <v>0.29025999999999996</v>
      </c>
      <c r="J504" s="3">
        <v>4.9633000000000003</v>
      </c>
      <c r="K504" s="6">
        <f t="shared" si="95"/>
        <v>1.3150574999999998</v>
      </c>
      <c r="L504" s="6">
        <f t="shared" si="96"/>
        <v>1.7534099999999999</v>
      </c>
      <c r="M504" s="6">
        <f t="shared" si="97"/>
        <v>0.29025999999999996</v>
      </c>
      <c r="N504" s="6">
        <f t="shared" si="98"/>
        <v>0</v>
      </c>
      <c r="O504" s="6">
        <f t="shared" si="99"/>
        <v>0</v>
      </c>
      <c r="P504" s="6">
        <f t="shared" si="100"/>
        <v>378.16995772499996</v>
      </c>
      <c r="Q504" s="3">
        <v>378.16995772500007</v>
      </c>
      <c r="R504" s="6">
        <f t="shared" si="101"/>
        <v>0</v>
      </c>
      <c r="S504" s="6" t="str">
        <f t="shared" si="102"/>
        <v>OK</v>
      </c>
    </row>
    <row r="505" spans="1:19" x14ac:dyDescent="0.25">
      <c r="A505" s="3" t="str">
        <f t="shared" si="103"/>
        <v>09.05.2026</v>
      </c>
      <c r="B505" s="5">
        <v>8</v>
      </c>
      <c r="C505" s="5" t="s">
        <v>110</v>
      </c>
      <c r="D505" s="3">
        <v>8.7670499999999993</v>
      </c>
      <c r="E505" s="3">
        <v>8.4767899999999994</v>
      </c>
      <c r="F505" s="6">
        <f t="shared" si="91"/>
        <v>-0.29025999999999996</v>
      </c>
      <c r="G505" s="6">
        <f t="shared" si="92"/>
        <v>-3.3108058012672449E-2</v>
      </c>
      <c r="H505" s="6" t="str">
        <f t="shared" si="93"/>
        <v>🔴 Under-injection</v>
      </c>
      <c r="I505" s="6">
        <f t="shared" si="94"/>
        <v>0.29025999999999996</v>
      </c>
      <c r="J505" s="3">
        <v>4.8397000000000006</v>
      </c>
      <c r="K505" s="6">
        <f t="shared" si="95"/>
        <v>1.3150574999999998</v>
      </c>
      <c r="L505" s="6">
        <f t="shared" si="96"/>
        <v>1.7534099999999999</v>
      </c>
      <c r="M505" s="6">
        <f t="shared" si="97"/>
        <v>0.29025999999999996</v>
      </c>
      <c r="N505" s="6">
        <f t="shared" si="98"/>
        <v>0</v>
      </c>
      <c r="O505" s="6">
        <f t="shared" si="99"/>
        <v>0</v>
      </c>
      <c r="P505" s="6">
        <f t="shared" si="100"/>
        <v>368.75247202499997</v>
      </c>
      <c r="Q505" s="3">
        <v>368.75247202500009</v>
      </c>
      <c r="R505" s="6">
        <f t="shared" si="101"/>
        <v>0</v>
      </c>
      <c r="S505" s="6" t="str">
        <f t="shared" si="102"/>
        <v>OK</v>
      </c>
    </row>
    <row r="506" spans="1:19" x14ac:dyDescent="0.25">
      <c r="A506" s="3" t="str">
        <f t="shared" si="103"/>
        <v>09.05.2026</v>
      </c>
      <c r="B506" s="5">
        <v>9</v>
      </c>
      <c r="C506" s="5" t="s">
        <v>109</v>
      </c>
      <c r="D506" s="3">
        <v>8.7670499999999993</v>
      </c>
      <c r="E506" s="3">
        <v>8.4767899999999994</v>
      </c>
      <c r="F506" s="6">
        <f t="shared" si="91"/>
        <v>-0.29025999999999996</v>
      </c>
      <c r="G506" s="6">
        <f t="shared" si="92"/>
        <v>-3.3108058012672449E-2</v>
      </c>
      <c r="H506" s="6" t="str">
        <f t="shared" si="93"/>
        <v>🔴 Under-injection</v>
      </c>
      <c r="I506" s="6">
        <f t="shared" si="94"/>
        <v>0.29025999999999996</v>
      </c>
      <c r="J506" s="3">
        <v>4.5533999999999999</v>
      </c>
      <c r="K506" s="6">
        <f t="shared" si="95"/>
        <v>1.3150574999999998</v>
      </c>
      <c r="L506" s="6">
        <f t="shared" si="96"/>
        <v>1.7534099999999999</v>
      </c>
      <c r="M506" s="6">
        <f t="shared" si="97"/>
        <v>0.29025999999999996</v>
      </c>
      <c r="N506" s="6">
        <f t="shared" si="98"/>
        <v>0</v>
      </c>
      <c r="O506" s="6">
        <f t="shared" si="99"/>
        <v>0</v>
      </c>
      <c r="P506" s="6">
        <f t="shared" si="100"/>
        <v>346.93834454999995</v>
      </c>
      <c r="Q506" s="3">
        <v>346.93834455000001</v>
      </c>
      <c r="R506" s="6">
        <f t="shared" si="101"/>
        <v>0</v>
      </c>
      <c r="S506" s="6" t="str">
        <f t="shared" si="102"/>
        <v>OK</v>
      </c>
    </row>
    <row r="507" spans="1:19" x14ac:dyDescent="0.25">
      <c r="A507" s="3" t="str">
        <f t="shared" si="103"/>
        <v>09.05.2026</v>
      </c>
      <c r="B507" s="5">
        <v>10</v>
      </c>
      <c r="C507" s="5" t="s">
        <v>108</v>
      </c>
      <c r="D507" s="3">
        <v>8.7670499999999993</v>
      </c>
      <c r="E507" s="3">
        <v>8.4767899999999994</v>
      </c>
      <c r="F507" s="6">
        <f t="shared" si="91"/>
        <v>-0.29025999999999996</v>
      </c>
      <c r="G507" s="6">
        <f t="shared" si="92"/>
        <v>-3.3108058012672449E-2</v>
      </c>
      <c r="H507" s="6" t="str">
        <f t="shared" si="93"/>
        <v>🔴 Under-injection</v>
      </c>
      <c r="I507" s="6">
        <f t="shared" si="94"/>
        <v>0.29025999999999996</v>
      </c>
      <c r="J507" s="3">
        <v>4.4674000000000005</v>
      </c>
      <c r="K507" s="6">
        <f t="shared" si="95"/>
        <v>1.3150574999999998</v>
      </c>
      <c r="L507" s="6">
        <f t="shared" si="96"/>
        <v>1.7534099999999999</v>
      </c>
      <c r="M507" s="6">
        <f t="shared" si="97"/>
        <v>0.29025999999999996</v>
      </c>
      <c r="N507" s="6">
        <f t="shared" si="98"/>
        <v>0</v>
      </c>
      <c r="O507" s="6">
        <f t="shared" si="99"/>
        <v>0</v>
      </c>
      <c r="P507" s="6">
        <f t="shared" si="100"/>
        <v>340.38572504999996</v>
      </c>
      <c r="Q507" s="3">
        <v>340.38572505000008</v>
      </c>
      <c r="R507" s="6">
        <f t="shared" si="101"/>
        <v>0</v>
      </c>
      <c r="S507" s="6" t="str">
        <f t="shared" si="102"/>
        <v>OK</v>
      </c>
    </row>
    <row r="508" spans="1:19" x14ac:dyDescent="0.25">
      <c r="A508" s="3" t="str">
        <f t="shared" si="103"/>
        <v>09.05.2026</v>
      </c>
      <c r="B508" s="5">
        <v>11</v>
      </c>
      <c r="C508" s="5" t="s">
        <v>107</v>
      </c>
      <c r="D508" s="3">
        <v>8.7670499999999993</v>
      </c>
      <c r="E508" s="3">
        <v>8.4767899999999994</v>
      </c>
      <c r="F508" s="6">
        <f t="shared" si="91"/>
        <v>-0.29025999999999996</v>
      </c>
      <c r="G508" s="6">
        <f t="shared" si="92"/>
        <v>-3.3108058012672449E-2</v>
      </c>
      <c r="H508" s="6" t="str">
        <f t="shared" si="93"/>
        <v>🔴 Under-injection</v>
      </c>
      <c r="I508" s="6">
        <f t="shared" si="94"/>
        <v>0.29025999999999996</v>
      </c>
      <c r="J508" s="3">
        <v>4.3642000000000003</v>
      </c>
      <c r="K508" s="6">
        <f t="shared" si="95"/>
        <v>1.3150574999999998</v>
      </c>
      <c r="L508" s="6">
        <f t="shared" si="96"/>
        <v>1.7534099999999999</v>
      </c>
      <c r="M508" s="6">
        <f t="shared" si="97"/>
        <v>0.29025999999999996</v>
      </c>
      <c r="N508" s="6">
        <f t="shared" si="98"/>
        <v>0</v>
      </c>
      <c r="O508" s="6">
        <f t="shared" si="99"/>
        <v>0</v>
      </c>
      <c r="P508" s="6">
        <f t="shared" si="100"/>
        <v>332.52258165000001</v>
      </c>
      <c r="Q508" s="3">
        <v>332.52258165000006</v>
      </c>
      <c r="R508" s="6">
        <f t="shared" si="101"/>
        <v>0</v>
      </c>
      <c r="S508" s="6" t="str">
        <f t="shared" si="102"/>
        <v>OK</v>
      </c>
    </row>
    <row r="509" spans="1:19" x14ac:dyDescent="0.25">
      <c r="A509" s="3" t="str">
        <f t="shared" si="103"/>
        <v>09.05.2026</v>
      </c>
      <c r="B509" s="5">
        <v>12</v>
      </c>
      <c r="C509" s="5" t="s">
        <v>106</v>
      </c>
      <c r="D509" s="3">
        <v>8.7670499999999993</v>
      </c>
      <c r="E509" s="3">
        <v>8.4767899999999994</v>
      </c>
      <c r="F509" s="6">
        <f t="shared" si="91"/>
        <v>-0.29025999999999996</v>
      </c>
      <c r="G509" s="6">
        <f t="shared" si="92"/>
        <v>-3.3108058012672449E-2</v>
      </c>
      <c r="H509" s="6" t="str">
        <f t="shared" si="93"/>
        <v>🔴 Under-injection</v>
      </c>
      <c r="I509" s="6">
        <f t="shared" si="94"/>
        <v>0.29025999999999996</v>
      </c>
      <c r="J509" s="3">
        <v>4.3924000000000003</v>
      </c>
      <c r="K509" s="6">
        <f t="shared" si="95"/>
        <v>1.3150574999999998</v>
      </c>
      <c r="L509" s="6">
        <f t="shared" si="96"/>
        <v>1.7534099999999999</v>
      </c>
      <c r="M509" s="6">
        <f t="shared" si="97"/>
        <v>0.29025999999999996</v>
      </c>
      <c r="N509" s="6">
        <f t="shared" si="98"/>
        <v>0</v>
      </c>
      <c r="O509" s="6">
        <f t="shared" si="99"/>
        <v>0</v>
      </c>
      <c r="P509" s="6">
        <f t="shared" si="100"/>
        <v>334.67123129999999</v>
      </c>
      <c r="Q509" s="3">
        <v>334.67123130000004</v>
      </c>
      <c r="R509" s="6">
        <f t="shared" si="101"/>
        <v>0</v>
      </c>
      <c r="S509" s="6" t="str">
        <f t="shared" si="102"/>
        <v>OK</v>
      </c>
    </row>
    <row r="510" spans="1:19" x14ac:dyDescent="0.25">
      <c r="A510" s="3" t="str">
        <f t="shared" si="103"/>
        <v>09.05.2026</v>
      </c>
      <c r="B510" s="5">
        <v>13</v>
      </c>
      <c r="C510" s="5" t="s">
        <v>105</v>
      </c>
      <c r="D510" s="3">
        <v>8.7670499999999993</v>
      </c>
      <c r="E510" s="3">
        <v>8.4767899999999994</v>
      </c>
      <c r="F510" s="6">
        <f t="shared" si="91"/>
        <v>-0.29025999999999996</v>
      </c>
      <c r="G510" s="6">
        <f t="shared" si="92"/>
        <v>-3.3108058012672449E-2</v>
      </c>
      <c r="H510" s="6" t="str">
        <f t="shared" si="93"/>
        <v>🔴 Under-injection</v>
      </c>
      <c r="I510" s="6">
        <f t="shared" si="94"/>
        <v>0.29025999999999996</v>
      </c>
      <c r="J510" s="3">
        <v>4.1658999999999997</v>
      </c>
      <c r="K510" s="6">
        <f t="shared" si="95"/>
        <v>1.3150574999999998</v>
      </c>
      <c r="L510" s="6">
        <f t="shared" si="96"/>
        <v>1.7534099999999999</v>
      </c>
      <c r="M510" s="6">
        <f t="shared" si="97"/>
        <v>0.29025999999999996</v>
      </c>
      <c r="N510" s="6">
        <f t="shared" si="98"/>
        <v>0</v>
      </c>
      <c r="O510" s="6">
        <f t="shared" si="99"/>
        <v>0</v>
      </c>
      <c r="P510" s="6">
        <f t="shared" si="100"/>
        <v>317.41346017499995</v>
      </c>
      <c r="Q510" s="3">
        <v>317.41346017500007</v>
      </c>
      <c r="R510" s="6">
        <f t="shared" si="101"/>
        <v>0</v>
      </c>
      <c r="S510" s="6" t="str">
        <f t="shared" si="102"/>
        <v>OK</v>
      </c>
    </row>
    <row r="511" spans="1:19" x14ac:dyDescent="0.25">
      <c r="A511" s="3" t="str">
        <f t="shared" si="103"/>
        <v>09.05.2026</v>
      </c>
      <c r="B511" s="5">
        <v>14</v>
      </c>
      <c r="C511" s="5" t="s">
        <v>104</v>
      </c>
      <c r="D511" s="3">
        <v>8.7670499999999993</v>
      </c>
      <c r="E511" s="3">
        <v>8.4767899999999994</v>
      </c>
      <c r="F511" s="6">
        <f t="shared" si="91"/>
        <v>-0.29025999999999996</v>
      </c>
      <c r="G511" s="6">
        <f t="shared" si="92"/>
        <v>-3.3108058012672449E-2</v>
      </c>
      <c r="H511" s="6" t="str">
        <f t="shared" si="93"/>
        <v>🔴 Under-injection</v>
      </c>
      <c r="I511" s="6">
        <f t="shared" si="94"/>
        <v>0.29025999999999996</v>
      </c>
      <c r="J511" s="3">
        <v>4.1657999999999999</v>
      </c>
      <c r="K511" s="6">
        <f t="shared" si="95"/>
        <v>1.3150574999999998</v>
      </c>
      <c r="L511" s="6">
        <f t="shared" si="96"/>
        <v>1.7534099999999999</v>
      </c>
      <c r="M511" s="6">
        <f t="shared" si="97"/>
        <v>0.29025999999999996</v>
      </c>
      <c r="N511" s="6">
        <f t="shared" si="98"/>
        <v>0</v>
      </c>
      <c r="O511" s="6">
        <f t="shared" si="99"/>
        <v>0</v>
      </c>
      <c r="P511" s="6">
        <f t="shared" si="100"/>
        <v>317.40584084999995</v>
      </c>
      <c r="Q511" s="3">
        <v>317.40584085</v>
      </c>
      <c r="R511" s="6">
        <f t="shared" si="101"/>
        <v>0</v>
      </c>
      <c r="S511" s="6" t="str">
        <f t="shared" si="102"/>
        <v>OK</v>
      </c>
    </row>
    <row r="512" spans="1:19" x14ac:dyDescent="0.25">
      <c r="A512" s="3" t="str">
        <f t="shared" si="103"/>
        <v>09.05.2026</v>
      </c>
      <c r="B512" s="5">
        <v>15</v>
      </c>
      <c r="C512" s="5" t="s">
        <v>103</v>
      </c>
      <c r="D512" s="3">
        <v>8.7670499999999993</v>
      </c>
      <c r="E512" s="3">
        <v>8.4767899999999994</v>
      </c>
      <c r="F512" s="6">
        <f t="shared" si="91"/>
        <v>-0.29025999999999996</v>
      </c>
      <c r="G512" s="6">
        <f t="shared" si="92"/>
        <v>-3.3108058012672449E-2</v>
      </c>
      <c r="H512" s="6" t="str">
        <f t="shared" si="93"/>
        <v>🔴 Under-injection</v>
      </c>
      <c r="I512" s="6">
        <f t="shared" si="94"/>
        <v>0.29025999999999996</v>
      </c>
      <c r="J512" s="3">
        <v>4.1419999999999995</v>
      </c>
      <c r="K512" s="6">
        <f t="shared" si="95"/>
        <v>1.3150574999999998</v>
      </c>
      <c r="L512" s="6">
        <f t="shared" si="96"/>
        <v>1.7534099999999999</v>
      </c>
      <c r="M512" s="6">
        <f t="shared" si="97"/>
        <v>0.29025999999999996</v>
      </c>
      <c r="N512" s="6">
        <f t="shared" si="98"/>
        <v>0</v>
      </c>
      <c r="O512" s="6">
        <f t="shared" si="99"/>
        <v>0</v>
      </c>
      <c r="P512" s="6">
        <f t="shared" si="100"/>
        <v>315.59244149999995</v>
      </c>
      <c r="Q512" s="3">
        <v>315.59244150000006</v>
      </c>
      <c r="R512" s="6">
        <f t="shared" si="101"/>
        <v>0</v>
      </c>
      <c r="S512" s="6" t="str">
        <f t="shared" si="102"/>
        <v>OK</v>
      </c>
    </row>
    <row r="513" spans="1:19" x14ac:dyDescent="0.25">
      <c r="A513" s="3" t="str">
        <f t="shared" si="103"/>
        <v>09.05.2026</v>
      </c>
      <c r="B513" s="5">
        <v>16</v>
      </c>
      <c r="C513" s="5" t="s">
        <v>102</v>
      </c>
      <c r="D513" s="3">
        <v>8.7670499999999993</v>
      </c>
      <c r="E513" s="3">
        <v>8.4767899999999994</v>
      </c>
      <c r="F513" s="6">
        <f t="shared" si="91"/>
        <v>-0.29025999999999996</v>
      </c>
      <c r="G513" s="6">
        <f t="shared" si="92"/>
        <v>-3.3108058012672449E-2</v>
      </c>
      <c r="H513" s="6" t="str">
        <f t="shared" si="93"/>
        <v>🔴 Under-injection</v>
      </c>
      <c r="I513" s="6">
        <f t="shared" si="94"/>
        <v>0.29025999999999996</v>
      </c>
      <c r="J513" s="3">
        <v>4.1021000000000001</v>
      </c>
      <c r="K513" s="6">
        <f t="shared" si="95"/>
        <v>1.3150574999999998</v>
      </c>
      <c r="L513" s="6">
        <f t="shared" si="96"/>
        <v>1.7534099999999999</v>
      </c>
      <c r="M513" s="6">
        <f t="shared" si="97"/>
        <v>0.29025999999999996</v>
      </c>
      <c r="N513" s="6">
        <f t="shared" si="98"/>
        <v>0</v>
      </c>
      <c r="O513" s="6">
        <f t="shared" si="99"/>
        <v>0</v>
      </c>
      <c r="P513" s="6">
        <f t="shared" si="100"/>
        <v>312.55233082499996</v>
      </c>
      <c r="Q513" s="3">
        <v>312.55233082500007</v>
      </c>
      <c r="R513" s="6">
        <f t="shared" si="101"/>
        <v>0</v>
      </c>
      <c r="S513" s="6" t="str">
        <f t="shared" si="102"/>
        <v>OK</v>
      </c>
    </row>
    <row r="514" spans="1:19" x14ac:dyDescent="0.25">
      <c r="A514" s="3" t="str">
        <f t="shared" si="103"/>
        <v>09.05.2026</v>
      </c>
      <c r="B514" s="5">
        <v>17</v>
      </c>
      <c r="C514" s="5" t="s">
        <v>101</v>
      </c>
      <c r="D514" s="3">
        <v>8.7670499999999993</v>
      </c>
      <c r="E514" s="3">
        <v>8.4767899999999994</v>
      </c>
      <c r="F514" s="6">
        <f t="shared" si="91"/>
        <v>-0.29025999999999996</v>
      </c>
      <c r="G514" s="6">
        <f t="shared" si="92"/>
        <v>-3.3108058012672449E-2</v>
      </c>
      <c r="H514" s="6" t="str">
        <f t="shared" si="93"/>
        <v>🔴 Under-injection</v>
      </c>
      <c r="I514" s="6">
        <f t="shared" si="94"/>
        <v>0.29025999999999996</v>
      </c>
      <c r="J514" s="3">
        <v>4.0891999999999999</v>
      </c>
      <c r="K514" s="6">
        <f t="shared" si="95"/>
        <v>1.3150574999999998</v>
      </c>
      <c r="L514" s="6">
        <f t="shared" si="96"/>
        <v>1.7534099999999999</v>
      </c>
      <c r="M514" s="6">
        <f t="shared" si="97"/>
        <v>0.29025999999999996</v>
      </c>
      <c r="N514" s="6">
        <f t="shared" si="98"/>
        <v>0</v>
      </c>
      <c r="O514" s="6">
        <f t="shared" si="99"/>
        <v>0</v>
      </c>
      <c r="P514" s="6">
        <f t="shared" si="100"/>
        <v>311.56943789999997</v>
      </c>
      <c r="Q514" s="3">
        <v>311.56943790000003</v>
      </c>
      <c r="R514" s="6">
        <f t="shared" si="101"/>
        <v>0</v>
      </c>
      <c r="S514" s="6" t="str">
        <f t="shared" si="102"/>
        <v>OK</v>
      </c>
    </row>
    <row r="515" spans="1:19" x14ac:dyDescent="0.25">
      <c r="A515" s="3" t="str">
        <f t="shared" si="103"/>
        <v>09.05.2026</v>
      </c>
      <c r="B515" s="5">
        <v>18</v>
      </c>
      <c r="C515" s="5" t="s">
        <v>100</v>
      </c>
      <c r="D515" s="3">
        <v>8.7670499999999993</v>
      </c>
      <c r="E515" s="3">
        <v>8.4767899999999994</v>
      </c>
      <c r="F515" s="6">
        <f t="shared" si="91"/>
        <v>-0.29025999999999996</v>
      </c>
      <c r="G515" s="6">
        <f t="shared" si="92"/>
        <v>-3.3108058012672449E-2</v>
      </c>
      <c r="H515" s="6" t="str">
        <f t="shared" si="93"/>
        <v>🔴 Under-injection</v>
      </c>
      <c r="I515" s="6">
        <f t="shared" si="94"/>
        <v>0.29025999999999996</v>
      </c>
      <c r="J515" s="3">
        <v>4.1379999999999999</v>
      </c>
      <c r="K515" s="6">
        <f t="shared" si="95"/>
        <v>1.3150574999999998</v>
      </c>
      <c r="L515" s="6">
        <f t="shared" si="96"/>
        <v>1.7534099999999999</v>
      </c>
      <c r="M515" s="6">
        <f t="shared" si="97"/>
        <v>0.29025999999999996</v>
      </c>
      <c r="N515" s="6">
        <f t="shared" si="98"/>
        <v>0</v>
      </c>
      <c r="O515" s="6">
        <f t="shared" si="99"/>
        <v>0</v>
      </c>
      <c r="P515" s="6">
        <f t="shared" si="100"/>
        <v>315.28766849999994</v>
      </c>
      <c r="Q515" s="3">
        <v>315.2876685</v>
      </c>
      <c r="R515" s="6">
        <f t="shared" si="101"/>
        <v>0</v>
      </c>
      <c r="S515" s="6" t="str">
        <f t="shared" si="102"/>
        <v>OK</v>
      </c>
    </row>
    <row r="516" spans="1:19" x14ac:dyDescent="0.25">
      <c r="A516" s="3" t="str">
        <f t="shared" si="103"/>
        <v>09.05.2026</v>
      </c>
      <c r="B516" s="5">
        <v>19</v>
      </c>
      <c r="C516" s="5" t="s">
        <v>99</v>
      </c>
      <c r="D516" s="3">
        <v>8.7670499999999993</v>
      </c>
      <c r="E516" s="3">
        <v>8.4767899999999994</v>
      </c>
      <c r="F516" s="6">
        <f t="shared" si="91"/>
        <v>-0.29025999999999996</v>
      </c>
      <c r="G516" s="6">
        <f t="shared" si="92"/>
        <v>-3.3108058012672449E-2</v>
      </c>
      <c r="H516" s="6" t="str">
        <f t="shared" si="93"/>
        <v>🔴 Under-injection</v>
      </c>
      <c r="I516" s="6">
        <f t="shared" si="94"/>
        <v>0.29025999999999996</v>
      </c>
      <c r="J516" s="3">
        <v>4.1377999999999995</v>
      </c>
      <c r="K516" s="6">
        <f t="shared" si="95"/>
        <v>1.3150574999999998</v>
      </c>
      <c r="L516" s="6">
        <f t="shared" si="96"/>
        <v>1.7534099999999999</v>
      </c>
      <c r="M516" s="6">
        <f t="shared" si="97"/>
        <v>0.29025999999999996</v>
      </c>
      <c r="N516" s="6">
        <f t="shared" si="98"/>
        <v>0</v>
      </c>
      <c r="O516" s="6">
        <f t="shared" si="99"/>
        <v>0</v>
      </c>
      <c r="P516" s="6">
        <f t="shared" si="100"/>
        <v>315.27242984999992</v>
      </c>
      <c r="Q516" s="3">
        <v>315.27242985000004</v>
      </c>
      <c r="R516" s="6">
        <f t="shared" si="101"/>
        <v>0</v>
      </c>
      <c r="S516" s="6" t="str">
        <f t="shared" si="102"/>
        <v>OK</v>
      </c>
    </row>
    <row r="517" spans="1:19" x14ac:dyDescent="0.25">
      <c r="A517" s="3" t="str">
        <f t="shared" si="103"/>
        <v>09.05.2026</v>
      </c>
      <c r="B517" s="5">
        <v>20</v>
      </c>
      <c r="C517" s="5" t="s">
        <v>98</v>
      </c>
      <c r="D517" s="3">
        <v>8.7670499999999993</v>
      </c>
      <c r="E517" s="3">
        <v>8.4654399999999992</v>
      </c>
      <c r="F517" s="6">
        <f t="shared" si="91"/>
        <v>-0.30161000000000016</v>
      </c>
      <c r="G517" s="6">
        <f t="shared" si="92"/>
        <v>-3.4402678209888182E-2</v>
      </c>
      <c r="H517" s="6" t="str">
        <f t="shared" si="93"/>
        <v>🔴 Under-injection</v>
      </c>
      <c r="I517" s="6">
        <f t="shared" si="94"/>
        <v>0.30161000000000016</v>
      </c>
      <c r="J517" s="3">
        <v>4.1387</v>
      </c>
      <c r="K517" s="6">
        <f t="shared" si="95"/>
        <v>1.3150574999999998</v>
      </c>
      <c r="L517" s="6">
        <f t="shared" si="96"/>
        <v>1.7534099999999999</v>
      </c>
      <c r="M517" s="6">
        <f t="shared" si="97"/>
        <v>0.30161000000000016</v>
      </c>
      <c r="N517" s="6">
        <f t="shared" si="98"/>
        <v>0</v>
      </c>
      <c r="O517" s="6">
        <f t="shared" si="99"/>
        <v>0</v>
      </c>
      <c r="P517" s="6">
        <f t="shared" si="100"/>
        <v>327.67174308750015</v>
      </c>
      <c r="Q517" s="3">
        <v>327.67174308750003</v>
      </c>
      <c r="R517" s="6">
        <f t="shared" si="101"/>
        <v>0</v>
      </c>
      <c r="S517" s="6" t="str">
        <f t="shared" si="102"/>
        <v>OK</v>
      </c>
    </row>
    <row r="518" spans="1:19" x14ac:dyDescent="0.25">
      <c r="A518" s="3" t="str">
        <f t="shared" si="103"/>
        <v>09.05.2026</v>
      </c>
      <c r="B518" s="5">
        <v>21</v>
      </c>
      <c r="C518" s="5" t="s">
        <v>97</v>
      </c>
      <c r="D518" s="3">
        <v>8.7670499999999993</v>
      </c>
      <c r="E518" s="3">
        <v>8.4654399999999992</v>
      </c>
      <c r="F518" s="6">
        <f t="shared" si="91"/>
        <v>-0.30161000000000016</v>
      </c>
      <c r="G518" s="6">
        <f t="shared" si="92"/>
        <v>-3.4402678209888182E-2</v>
      </c>
      <c r="H518" s="6" t="str">
        <f t="shared" si="93"/>
        <v>🔴 Under-injection</v>
      </c>
      <c r="I518" s="6">
        <f t="shared" si="94"/>
        <v>0.30161000000000016</v>
      </c>
      <c r="J518" s="3">
        <v>4.2282999999999999</v>
      </c>
      <c r="K518" s="6">
        <f t="shared" si="95"/>
        <v>1.3150574999999998</v>
      </c>
      <c r="L518" s="6">
        <f t="shared" si="96"/>
        <v>1.7534099999999999</v>
      </c>
      <c r="M518" s="6">
        <f t="shared" si="97"/>
        <v>0.30161000000000016</v>
      </c>
      <c r="N518" s="6">
        <f t="shared" si="98"/>
        <v>0</v>
      </c>
      <c r="O518" s="6">
        <f t="shared" si="99"/>
        <v>0</v>
      </c>
      <c r="P518" s="6">
        <f t="shared" si="100"/>
        <v>334.76561028750018</v>
      </c>
      <c r="Q518" s="3">
        <v>334.76561028750001</v>
      </c>
      <c r="R518" s="6">
        <f t="shared" si="101"/>
        <v>0</v>
      </c>
      <c r="S518" s="6" t="str">
        <f t="shared" si="102"/>
        <v>OK</v>
      </c>
    </row>
    <row r="519" spans="1:19" x14ac:dyDescent="0.25">
      <c r="A519" s="3" t="str">
        <f t="shared" si="103"/>
        <v>09.05.2026</v>
      </c>
      <c r="B519" s="5">
        <v>22</v>
      </c>
      <c r="C519" s="5" t="s">
        <v>96</v>
      </c>
      <c r="D519" s="3">
        <v>8.7670499999999993</v>
      </c>
      <c r="E519" s="3">
        <v>8.4654399999999992</v>
      </c>
      <c r="F519" s="6">
        <f t="shared" si="91"/>
        <v>-0.30161000000000016</v>
      </c>
      <c r="G519" s="6">
        <f t="shared" si="92"/>
        <v>-3.4402678209888182E-2</v>
      </c>
      <c r="H519" s="6" t="str">
        <f t="shared" si="93"/>
        <v>🔴 Under-injection</v>
      </c>
      <c r="I519" s="6">
        <f t="shared" si="94"/>
        <v>0.30161000000000016</v>
      </c>
      <c r="J519" s="3">
        <v>4.2960000000000003</v>
      </c>
      <c r="K519" s="6">
        <f t="shared" si="95"/>
        <v>1.3150574999999998</v>
      </c>
      <c r="L519" s="6">
        <f t="shared" si="96"/>
        <v>1.7534099999999999</v>
      </c>
      <c r="M519" s="6">
        <f t="shared" si="97"/>
        <v>0.30161000000000016</v>
      </c>
      <c r="N519" s="6">
        <f t="shared" si="98"/>
        <v>0</v>
      </c>
      <c r="O519" s="6">
        <f t="shared" si="99"/>
        <v>0</v>
      </c>
      <c r="P519" s="6">
        <f t="shared" si="100"/>
        <v>340.12559700000014</v>
      </c>
      <c r="Q519" s="3">
        <v>340.12559700000008</v>
      </c>
      <c r="R519" s="6">
        <f t="shared" si="101"/>
        <v>0</v>
      </c>
      <c r="S519" s="6" t="str">
        <f t="shared" si="102"/>
        <v>OK</v>
      </c>
    </row>
    <row r="520" spans="1:19" x14ac:dyDescent="0.25">
      <c r="A520" s="3" t="str">
        <f t="shared" si="103"/>
        <v>09.05.2026</v>
      </c>
      <c r="B520" s="5">
        <v>23</v>
      </c>
      <c r="C520" s="5" t="s">
        <v>95</v>
      </c>
      <c r="D520" s="3">
        <v>8.7670499999999993</v>
      </c>
      <c r="E520" s="3">
        <v>8.4654399999999992</v>
      </c>
      <c r="F520" s="6">
        <f t="shared" si="91"/>
        <v>-0.30161000000000016</v>
      </c>
      <c r="G520" s="6">
        <f t="shared" si="92"/>
        <v>-3.4402678209888182E-2</v>
      </c>
      <c r="H520" s="6" t="str">
        <f t="shared" si="93"/>
        <v>🔴 Under-injection</v>
      </c>
      <c r="I520" s="6">
        <f t="shared" si="94"/>
        <v>0.30161000000000016</v>
      </c>
      <c r="J520" s="3">
        <v>4.2283999999999997</v>
      </c>
      <c r="K520" s="6">
        <f t="shared" si="95"/>
        <v>1.3150574999999998</v>
      </c>
      <c r="L520" s="6">
        <f t="shared" si="96"/>
        <v>1.7534099999999999</v>
      </c>
      <c r="M520" s="6">
        <f t="shared" si="97"/>
        <v>0.30161000000000016</v>
      </c>
      <c r="N520" s="6">
        <f t="shared" si="98"/>
        <v>0</v>
      </c>
      <c r="O520" s="6">
        <f t="shared" si="99"/>
        <v>0</v>
      </c>
      <c r="P520" s="6">
        <f t="shared" si="100"/>
        <v>334.7735275500001</v>
      </c>
      <c r="Q520" s="3">
        <v>334.77352754999998</v>
      </c>
      <c r="R520" s="6">
        <f t="shared" si="101"/>
        <v>0</v>
      </c>
      <c r="S520" s="6" t="str">
        <f t="shared" si="102"/>
        <v>OK</v>
      </c>
    </row>
    <row r="521" spans="1:19" x14ac:dyDescent="0.25">
      <c r="A521" s="3" t="str">
        <f t="shared" si="103"/>
        <v>09.05.2026</v>
      </c>
      <c r="B521" s="5">
        <v>24</v>
      </c>
      <c r="C521" s="5" t="s">
        <v>94</v>
      </c>
      <c r="D521" s="3">
        <v>8.7670499999999993</v>
      </c>
      <c r="E521" s="3">
        <v>8.4654399999999992</v>
      </c>
      <c r="F521" s="6">
        <f t="shared" si="91"/>
        <v>-0.30161000000000016</v>
      </c>
      <c r="G521" s="6">
        <f t="shared" si="92"/>
        <v>-3.4402678209888182E-2</v>
      </c>
      <c r="H521" s="6" t="str">
        <f t="shared" si="93"/>
        <v>🔴 Under-injection</v>
      </c>
      <c r="I521" s="6">
        <f t="shared" si="94"/>
        <v>0.30161000000000016</v>
      </c>
      <c r="J521" s="3">
        <v>3.9089999999999998</v>
      </c>
      <c r="K521" s="6">
        <f t="shared" si="95"/>
        <v>1.3150574999999998</v>
      </c>
      <c r="L521" s="6">
        <f t="shared" si="96"/>
        <v>1.7534099999999999</v>
      </c>
      <c r="M521" s="6">
        <f t="shared" si="97"/>
        <v>0.30161000000000016</v>
      </c>
      <c r="N521" s="6">
        <f t="shared" si="98"/>
        <v>0</v>
      </c>
      <c r="O521" s="6">
        <f t="shared" si="99"/>
        <v>0</v>
      </c>
      <c r="P521" s="6">
        <f t="shared" si="100"/>
        <v>309.48579112500011</v>
      </c>
      <c r="Q521" s="3">
        <v>309.48579112499999</v>
      </c>
      <c r="R521" s="6">
        <f t="shared" si="101"/>
        <v>0</v>
      </c>
      <c r="S521" s="6" t="str">
        <f t="shared" si="102"/>
        <v>OK</v>
      </c>
    </row>
    <row r="522" spans="1:19" x14ac:dyDescent="0.25">
      <c r="A522" s="3" t="str">
        <f t="shared" si="103"/>
        <v>09.05.2026</v>
      </c>
      <c r="B522" s="5">
        <v>25</v>
      </c>
      <c r="C522" s="5" t="s">
        <v>93</v>
      </c>
      <c r="D522" s="3">
        <v>8.7670499999999993</v>
      </c>
      <c r="E522" s="3">
        <v>8.4654399999999992</v>
      </c>
      <c r="F522" s="6">
        <f t="shared" si="91"/>
        <v>-0.30161000000000016</v>
      </c>
      <c r="G522" s="6">
        <f t="shared" si="92"/>
        <v>-3.4402678209888182E-2</v>
      </c>
      <c r="H522" s="6" t="str">
        <f t="shared" si="93"/>
        <v>🔴 Under-injection</v>
      </c>
      <c r="I522" s="6">
        <f t="shared" si="94"/>
        <v>0.30161000000000016</v>
      </c>
      <c r="J522" s="3">
        <v>3.9582999999999999</v>
      </c>
      <c r="K522" s="6">
        <f t="shared" si="95"/>
        <v>1.3150574999999998</v>
      </c>
      <c r="L522" s="6">
        <f t="shared" si="96"/>
        <v>1.7534099999999999</v>
      </c>
      <c r="M522" s="6">
        <f t="shared" si="97"/>
        <v>0.30161000000000016</v>
      </c>
      <c r="N522" s="6">
        <f t="shared" si="98"/>
        <v>0</v>
      </c>
      <c r="O522" s="6">
        <f t="shared" si="99"/>
        <v>0</v>
      </c>
      <c r="P522" s="6">
        <f t="shared" si="100"/>
        <v>313.38900153750018</v>
      </c>
      <c r="Q522" s="3">
        <v>313.38900153750006</v>
      </c>
      <c r="R522" s="6">
        <f t="shared" si="101"/>
        <v>0</v>
      </c>
      <c r="S522" s="6" t="str">
        <f t="shared" si="102"/>
        <v>OK</v>
      </c>
    </row>
    <row r="523" spans="1:19" x14ac:dyDescent="0.25">
      <c r="A523" s="3" t="str">
        <f t="shared" si="103"/>
        <v>09.05.2026</v>
      </c>
      <c r="B523" s="5">
        <v>26</v>
      </c>
      <c r="C523" s="5" t="s">
        <v>92</v>
      </c>
      <c r="D523" s="3">
        <v>8.7670499999999993</v>
      </c>
      <c r="E523" s="3">
        <v>8.4654399999999992</v>
      </c>
      <c r="F523" s="6">
        <f t="shared" si="91"/>
        <v>-0.30161000000000016</v>
      </c>
      <c r="G523" s="6">
        <f t="shared" si="92"/>
        <v>-3.4402678209888182E-2</v>
      </c>
      <c r="H523" s="6" t="str">
        <f t="shared" si="93"/>
        <v>🔴 Under-injection</v>
      </c>
      <c r="I523" s="6">
        <f t="shared" si="94"/>
        <v>0.30161000000000016</v>
      </c>
      <c r="J523" s="3">
        <v>3.6548000000000003</v>
      </c>
      <c r="K523" s="6">
        <f t="shared" si="95"/>
        <v>1.3150574999999998</v>
      </c>
      <c r="L523" s="6">
        <f t="shared" si="96"/>
        <v>1.7534099999999999</v>
      </c>
      <c r="M523" s="6">
        <f t="shared" si="97"/>
        <v>0.30161000000000016</v>
      </c>
      <c r="N523" s="6">
        <f t="shared" si="98"/>
        <v>0</v>
      </c>
      <c r="O523" s="6">
        <f t="shared" si="99"/>
        <v>0</v>
      </c>
      <c r="P523" s="6">
        <f t="shared" si="100"/>
        <v>289.36010985000019</v>
      </c>
      <c r="Q523" s="3">
        <v>289.36010985000007</v>
      </c>
      <c r="R523" s="6">
        <f t="shared" si="101"/>
        <v>0</v>
      </c>
      <c r="S523" s="6" t="str">
        <f t="shared" si="102"/>
        <v>OK</v>
      </c>
    </row>
    <row r="524" spans="1:19" x14ac:dyDescent="0.25">
      <c r="A524" s="3" t="str">
        <f t="shared" si="103"/>
        <v>09.05.2026</v>
      </c>
      <c r="B524" s="5">
        <v>27</v>
      </c>
      <c r="C524" s="5" t="s">
        <v>91</v>
      </c>
      <c r="D524" s="3">
        <v>8.7670499999999993</v>
      </c>
      <c r="E524" s="3">
        <v>8.4654399999999992</v>
      </c>
      <c r="F524" s="6">
        <f t="shared" si="91"/>
        <v>-0.30161000000000016</v>
      </c>
      <c r="G524" s="6">
        <f t="shared" si="92"/>
        <v>-3.4402678209888182E-2</v>
      </c>
      <c r="H524" s="6" t="str">
        <f t="shared" si="93"/>
        <v>🔴 Under-injection</v>
      </c>
      <c r="I524" s="6">
        <f t="shared" si="94"/>
        <v>0.30161000000000016</v>
      </c>
      <c r="J524" s="3">
        <v>3.5249000000000001</v>
      </c>
      <c r="K524" s="6">
        <f t="shared" si="95"/>
        <v>1.3150574999999998</v>
      </c>
      <c r="L524" s="6">
        <f t="shared" si="96"/>
        <v>1.7534099999999999</v>
      </c>
      <c r="M524" s="6">
        <f t="shared" si="97"/>
        <v>0.30161000000000016</v>
      </c>
      <c r="N524" s="6">
        <f t="shared" si="98"/>
        <v>0</v>
      </c>
      <c r="O524" s="6">
        <f t="shared" si="99"/>
        <v>0</v>
      </c>
      <c r="P524" s="6">
        <f t="shared" si="100"/>
        <v>279.07558586250013</v>
      </c>
      <c r="Q524" s="3">
        <v>279.07558586250002</v>
      </c>
      <c r="R524" s="6">
        <f t="shared" si="101"/>
        <v>0</v>
      </c>
      <c r="S524" s="6" t="str">
        <f t="shared" si="102"/>
        <v>OK</v>
      </c>
    </row>
    <row r="525" spans="1:19" x14ac:dyDescent="0.25">
      <c r="A525" s="3" t="str">
        <f t="shared" si="103"/>
        <v>09.05.2026</v>
      </c>
      <c r="B525" s="5">
        <v>28</v>
      </c>
      <c r="C525" s="5" t="s">
        <v>90</v>
      </c>
      <c r="D525" s="3">
        <v>8.7670499999999993</v>
      </c>
      <c r="E525" s="3">
        <v>8.4654399999999992</v>
      </c>
      <c r="F525" s="6">
        <f t="shared" si="91"/>
        <v>-0.30161000000000016</v>
      </c>
      <c r="G525" s="6">
        <f t="shared" si="92"/>
        <v>-3.4402678209888182E-2</v>
      </c>
      <c r="H525" s="6" t="str">
        <f t="shared" si="93"/>
        <v>🔴 Under-injection</v>
      </c>
      <c r="I525" s="6">
        <f t="shared" si="94"/>
        <v>0.30161000000000016</v>
      </c>
      <c r="J525" s="3">
        <v>3.3525</v>
      </c>
      <c r="K525" s="6">
        <f t="shared" si="95"/>
        <v>1.3150574999999998</v>
      </c>
      <c r="L525" s="6">
        <f t="shared" si="96"/>
        <v>1.7534099999999999</v>
      </c>
      <c r="M525" s="6">
        <f t="shared" si="97"/>
        <v>0.30161000000000016</v>
      </c>
      <c r="N525" s="6">
        <f t="shared" si="98"/>
        <v>0</v>
      </c>
      <c r="O525" s="6">
        <f t="shared" si="99"/>
        <v>0</v>
      </c>
      <c r="P525" s="6">
        <f t="shared" si="100"/>
        <v>265.42622531250015</v>
      </c>
      <c r="Q525" s="3">
        <v>265.42622531249998</v>
      </c>
      <c r="R525" s="6">
        <f t="shared" si="101"/>
        <v>0</v>
      </c>
      <c r="S525" s="6" t="str">
        <f t="shared" si="102"/>
        <v>OK</v>
      </c>
    </row>
    <row r="526" spans="1:19" x14ac:dyDescent="0.25">
      <c r="A526" s="3" t="str">
        <f t="shared" si="103"/>
        <v>09.05.2026</v>
      </c>
      <c r="B526" s="5">
        <v>29</v>
      </c>
      <c r="C526" s="5" t="s">
        <v>89</v>
      </c>
      <c r="D526" s="3">
        <v>8.7670499999999993</v>
      </c>
      <c r="E526" s="3">
        <v>8.4654399999999992</v>
      </c>
      <c r="F526" s="6">
        <f t="shared" si="91"/>
        <v>-0.30161000000000016</v>
      </c>
      <c r="G526" s="6">
        <f t="shared" si="92"/>
        <v>-3.4402678209888182E-2</v>
      </c>
      <c r="H526" s="6" t="str">
        <f t="shared" si="93"/>
        <v>🔴 Under-injection</v>
      </c>
      <c r="I526" s="6">
        <f t="shared" si="94"/>
        <v>0.30161000000000016</v>
      </c>
      <c r="J526" s="3">
        <v>3.2064999999999997</v>
      </c>
      <c r="K526" s="6">
        <f t="shared" si="95"/>
        <v>1.3150574999999998</v>
      </c>
      <c r="L526" s="6">
        <f t="shared" si="96"/>
        <v>1.7534099999999999</v>
      </c>
      <c r="M526" s="6">
        <f t="shared" si="97"/>
        <v>0.30161000000000016</v>
      </c>
      <c r="N526" s="6">
        <f t="shared" si="98"/>
        <v>0</v>
      </c>
      <c r="O526" s="6">
        <f t="shared" si="99"/>
        <v>0</v>
      </c>
      <c r="P526" s="6">
        <f t="shared" si="100"/>
        <v>253.86702206250013</v>
      </c>
      <c r="Q526" s="3">
        <v>253.86702206250001</v>
      </c>
      <c r="R526" s="6">
        <f t="shared" si="101"/>
        <v>0</v>
      </c>
      <c r="S526" s="6" t="str">
        <f t="shared" si="102"/>
        <v>OK</v>
      </c>
    </row>
    <row r="527" spans="1:19" x14ac:dyDescent="0.25">
      <c r="A527" s="3" t="str">
        <f t="shared" si="103"/>
        <v>09.05.2026</v>
      </c>
      <c r="B527" s="5">
        <v>30</v>
      </c>
      <c r="C527" s="5" t="s">
        <v>88</v>
      </c>
      <c r="D527" s="3">
        <v>8.7670499999999993</v>
      </c>
      <c r="E527" s="3">
        <v>8.4654399999999992</v>
      </c>
      <c r="F527" s="6">
        <f t="shared" si="91"/>
        <v>-0.30161000000000016</v>
      </c>
      <c r="G527" s="6">
        <f t="shared" si="92"/>
        <v>-3.4402678209888182E-2</v>
      </c>
      <c r="H527" s="6" t="str">
        <f t="shared" si="93"/>
        <v>🔴 Under-injection</v>
      </c>
      <c r="I527" s="6">
        <f t="shared" si="94"/>
        <v>0.30161000000000016</v>
      </c>
      <c r="J527" s="3">
        <v>2.8593000000000002</v>
      </c>
      <c r="K527" s="6">
        <f t="shared" si="95"/>
        <v>1.3150574999999998</v>
      </c>
      <c r="L527" s="6">
        <f t="shared" si="96"/>
        <v>1.7534099999999999</v>
      </c>
      <c r="M527" s="6">
        <f t="shared" si="97"/>
        <v>0.30161000000000016</v>
      </c>
      <c r="N527" s="6">
        <f t="shared" si="98"/>
        <v>0</v>
      </c>
      <c r="O527" s="6">
        <f t="shared" si="99"/>
        <v>0</v>
      </c>
      <c r="P527" s="6">
        <f t="shared" si="100"/>
        <v>226.37828666250013</v>
      </c>
      <c r="Q527" s="3">
        <v>226.37828666250002</v>
      </c>
      <c r="R527" s="6">
        <f t="shared" si="101"/>
        <v>0</v>
      </c>
      <c r="S527" s="6" t="str">
        <f t="shared" si="102"/>
        <v>OK</v>
      </c>
    </row>
    <row r="528" spans="1:19" x14ac:dyDescent="0.25">
      <c r="A528" s="3" t="str">
        <f t="shared" si="103"/>
        <v>09.05.2026</v>
      </c>
      <c r="B528" s="5">
        <v>31</v>
      </c>
      <c r="C528" s="5" t="s">
        <v>87</v>
      </c>
      <c r="D528" s="3">
        <v>8.7670499999999993</v>
      </c>
      <c r="E528" s="3">
        <v>8.4541000000000004</v>
      </c>
      <c r="F528" s="6">
        <f t="shared" si="91"/>
        <v>-0.31294999999999895</v>
      </c>
      <c r="G528" s="6">
        <f t="shared" si="92"/>
        <v>-3.5696157772568765E-2</v>
      </c>
      <c r="H528" s="6" t="str">
        <f t="shared" si="93"/>
        <v>🔴 Under-injection</v>
      </c>
      <c r="I528" s="6">
        <f t="shared" si="94"/>
        <v>0.31294999999999895</v>
      </c>
      <c r="J528" s="3">
        <v>2.1122999999999998</v>
      </c>
      <c r="K528" s="6">
        <f t="shared" si="95"/>
        <v>1.3150574999999998</v>
      </c>
      <c r="L528" s="6">
        <f t="shared" si="96"/>
        <v>1.7534099999999999</v>
      </c>
      <c r="M528" s="6">
        <f t="shared" si="97"/>
        <v>0.31294999999999895</v>
      </c>
      <c r="N528" s="6">
        <f t="shared" si="98"/>
        <v>0</v>
      </c>
      <c r="O528" s="6">
        <f t="shared" si="99"/>
        <v>0</v>
      </c>
      <c r="P528" s="6">
        <f t="shared" si="100"/>
        <v>173.52412481249942</v>
      </c>
      <c r="Q528" s="3">
        <v>173.52412481250002</v>
      </c>
      <c r="R528" s="6">
        <f t="shared" si="101"/>
        <v>-5.9685589803848416E-13</v>
      </c>
      <c r="S528" s="6" t="str">
        <f t="shared" si="102"/>
        <v>OK</v>
      </c>
    </row>
    <row r="529" spans="1:19" x14ac:dyDescent="0.25">
      <c r="A529" s="3" t="str">
        <f t="shared" si="103"/>
        <v>09.05.2026</v>
      </c>
      <c r="B529" s="5">
        <v>32</v>
      </c>
      <c r="C529" s="5" t="s">
        <v>86</v>
      </c>
      <c r="D529" s="3">
        <v>8.7670499999999993</v>
      </c>
      <c r="E529" s="3">
        <v>8.4541000000000004</v>
      </c>
      <c r="F529" s="6">
        <f t="shared" si="91"/>
        <v>-0.31294999999999895</v>
      </c>
      <c r="G529" s="6">
        <f t="shared" si="92"/>
        <v>-3.5696157772568765E-2</v>
      </c>
      <c r="H529" s="6" t="str">
        <f t="shared" si="93"/>
        <v>🔴 Under-injection</v>
      </c>
      <c r="I529" s="6">
        <f t="shared" si="94"/>
        <v>0.31294999999999895</v>
      </c>
      <c r="J529" s="3">
        <v>1.9762</v>
      </c>
      <c r="K529" s="6">
        <f t="shared" si="95"/>
        <v>1.3150574999999998</v>
      </c>
      <c r="L529" s="6">
        <f t="shared" si="96"/>
        <v>1.7534099999999999</v>
      </c>
      <c r="M529" s="6">
        <f t="shared" si="97"/>
        <v>0.31294999999999895</v>
      </c>
      <c r="N529" s="6">
        <f t="shared" si="98"/>
        <v>0</v>
      </c>
      <c r="O529" s="6">
        <f t="shared" si="99"/>
        <v>0</v>
      </c>
      <c r="P529" s="6">
        <f t="shared" si="100"/>
        <v>162.34359487499947</v>
      </c>
      <c r="Q529" s="3">
        <v>162.34359487500004</v>
      </c>
      <c r="R529" s="6">
        <f t="shared" si="101"/>
        <v>-5.6843418860808015E-13</v>
      </c>
      <c r="S529" s="6" t="str">
        <f t="shared" si="102"/>
        <v>OK</v>
      </c>
    </row>
    <row r="530" spans="1:19" x14ac:dyDescent="0.25">
      <c r="A530" s="3" t="str">
        <f t="shared" si="103"/>
        <v>09.05.2026</v>
      </c>
      <c r="B530" s="5">
        <v>33</v>
      </c>
      <c r="C530" s="5" t="s">
        <v>85</v>
      </c>
      <c r="D530" s="3">
        <v>8.7670499999999993</v>
      </c>
      <c r="E530" s="3">
        <v>8.4541000000000004</v>
      </c>
      <c r="F530" s="6">
        <f t="shared" ref="F530:F593" si="104">E530-D530</f>
        <v>-0.31294999999999895</v>
      </c>
      <c r="G530" s="6">
        <f t="shared" ref="G530:G593" si="105">IF(D530=0,0,F530/D530)</f>
        <v>-3.5696157772568765E-2</v>
      </c>
      <c r="H530" s="6" t="str">
        <f t="shared" ref="H530:H593" si="106">IF(E530&gt;D530,"🟢 Over-injection",IF(E530&lt;D530,"🔴 Under-injection","⚪ Nil"))</f>
        <v>🔴 Under-injection</v>
      </c>
      <c r="I530" s="6">
        <f t="shared" ref="I530:I593" si="107">-F530</f>
        <v>0.31294999999999895</v>
      </c>
      <c r="J530" s="3">
        <v>1.4924999999999999</v>
      </c>
      <c r="K530" s="6">
        <f t="shared" ref="K530:K593" si="108">MIN(ABS(D530)*$B$7,$B$8)</f>
        <v>1.3150574999999998</v>
      </c>
      <c r="L530" s="6">
        <f t="shared" ref="L530:L593" si="109">MIN(ABS(D530)*$B$9,$B$10)</f>
        <v>1.7534099999999999</v>
      </c>
      <c r="M530" s="6">
        <f t="shared" ref="M530:M593" si="110">MIN(ABS(F530),K530)</f>
        <v>0.31294999999999895</v>
      </c>
      <c r="N530" s="6">
        <f t="shared" ref="N530:N593" si="111">IF(F530&lt;0,MIN(MAX(ABS(F530)-K530,0),MAX(L530-K530,0)),0)</f>
        <v>0</v>
      </c>
      <c r="O530" s="6">
        <f t="shared" ref="O530:O593" si="112">IF(F530&lt;0,MAX(ABS(F530)-L530,0),0)</f>
        <v>0</v>
      </c>
      <c r="P530" s="6">
        <f t="shared" ref="P530:P593" si="113">IF(F530&gt;0,-M530*$B$11*J530*$B$6*1000,IF(F530&lt;0,(M530*$B$12+N530*$B$13+O530*$B$14)*J530*$B$6*1000,0))</f>
        <v>122.6079421874996</v>
      </c>
      <c r="Q530" s="3">
        <v>122.60794218750002</v>
      </c>
      <c r="R530" s="6">
        <f t="shared" ref="R530:R593" si="114">P530-Q530</f>
        <v>-4.1211478674085811E-13</v>
      </c>
      <c r="S530" s="6" t="str">
        <f t="shared" ref="S530:S593" si="115">IF(ABS(R530)&lt;=0.01,"OK","REVIEW")</f>
        <v>OK</v>
      </c>
    </row>
    <row r="531" spans="1:19" x14ac:dyDescent="0.25">
      <c r="A531" s="3" t="str">
        <f t="shared" si="103"/>
        <v>09.05.2026</v>
      </c>
      <c r="B531" s="5">
        <v>34</v>
      </c>
      <c r="C531" s="5" t="s">
        <v>84</v>
      </c>
      <c r="D531" s="3">
        <v>8.7670499999999993</v>
      </c>
      <c r="E531" s="3">
        <v>8.4541000000000004</v>
      </c>
      <c r="F531" s="6">
        <f t="shared" si="104"/>
        <v>-0.31294999999999895</v>
      </c>
      <c r="G531" s="6">
        <f t="shared" si="105"/>
        <v>-3.5696157772568765E-2</v>
      </c>
      <c r="H531" s="6" t="str">
        <f t="shared" si="106"/>
        <v>🔴 Under-injection</v>
      </c>
      <c r="I531" s="6">
        <f t="shared" si="107"/>
        <v>0.31294999999999895</v>
      </c>
      <c r="J531" s="3">
        <v>1.6068</v>
      </c>
      <c r="K531" s="6">
        <f t="shared" si="108"/>
        <v>1.3150574999999998</v>
      </c>
      <c r="L531" s="6">
        <f t="shared" si="109"/>
        <v>1.7534099999999999</v>
      </c>
      <c r="M531" s="6">
        <f t="shared" si="110"/>
        <v>0.31294999999999895</v>
      </c>
      <c r="N531" s="6">
        <f t="shared" si="111"/>
        <v>0</v>
      </c>
      <c r="O531" s="6">
        <f t="shared" si="112"/>
        <v>0</v>
      </c>
      <c r="P531" s="6">
        <f t="shared" si="113"/>
        <v>131.99761574999957</v>
      </c>
      <c r="Q531" s="3">
        <v>131.99761575000002</v>
      </c>
      <c r="R531" s="6">
        <f t="shared" si="114"/>
        <v>-4.5474735088646412E-13</v>
      </c>
      <c r="S531" s="6" t="str">
        <f t="shared" si="115"/>
        <v>OK</v>
      </c>
    </row>
    <row r="532" spans="1:19" x14ac:dyDescent="0.25">
      <c r="A532" s="3" t="str">
        <f t="shared" ref="A532:A595" si="116">A531</f>
        <v>09.05.2026</v>
      </c>
      <c r="B532" s="5">
        <v>35</v>
      </c>
      <c r="C532" s="5" t="s">
        <v>83</v>
      </c>
      <c r="D532" s="3">
        <v>8.7670499999999993</v>
      </c>
      <c r="E532" s="3">
        <v>8.4541000000000004</v>
      </c>
      <c r="F532" s="6">
        <f t="shared" si="104"/>
        <v>-0.31294999999999895</v>
      </c>
      <c r="G532" s="6">
        <f t="shared" si="105"/>
        <v>-3.5696157772568765E-2</v>
      </c>
      <c r="H532" s="6" t="str">
        <f t="shared" si="106"/>
        <v>🔴 Under-injection</v>
      </c>
      <c r="I532" s="6">
        <f t="shared" si="107"/>
        <v>0.31294999999999895</v>
      </c>
      <c r="J532" s="3">
        <v>1.4587000000000001</v>
      </c>
      <c r="K532" s="6">
        <f t="shared" si="108"/>
        <v>1.3150574999999998</v>
      </c>
      <c r="L532" s="6">
        <f t="shared" si="109"/>
        <v>1.7534099999999999</v>
      </c>
      <c r="M532" s="6">
        <f t="shared" si="110"/>
        <v>0.31294999999999895</v>
      </c>
      <c r="N532" s="6">
        <f t="shared" si="111"/>
        <v>0</v>
      </c>
      <c r="O532" s="6">
        <f t="shared" si="112"/>
        <v>0</v>
      </c>
      <c r="P532" s="6">
        <f t="shared" si="113"/>
        <v>119.83129331249961</v>
      </c>
      <c r="Q532" s="3">
        <v>119.83129331250001</v>
      </c>
      <c r="R532" s="6">
        <f t="shared" si="114"/>
        <v>-3.979039320256561E-13</v>
      </c>
      <c r="S532" s="6" t="str">
        <f t="shared" si="115"/>
        <v>OK</v>
      </c>
    </row>
    <row r="533" spans="1:19" x14ac:dyDescent="0.25">
      <c r="A533" s="3" t="str">
        <f t="shared" si="116"/>
        <v>09.05.2026</v>
      </c>
      <c r="B533" s="5">
        <v>36</v>
      </c>
      <c r="C533" s="5" t="s">
        <v>82</v>
      </c>
      <c r="D533" s="3">
        <v>8.7670499999999993</v>
      </c>
      <c r="E533" s="3">
        <v>8.4541000000000004</v>
      </c>
      <c r="F533" s="6">
        <f t="shared" si="104"/>
        <v>-0.31294999999999895</v>
      </c>
      <c r="G533" s="6">
        <f t="shared" si="105"/>
        <v>-3.5696157772568765E-2</v>
      </c>
      <c r="H533" s="6" t="str">
        <f t="shared" si="106"/>
        <v>🔴 Under-injection</v>
      </c>
      <c r="I533" s="6">
        <f t="shared" si="107"/>
        <v>0.31294999999999895</v>
      </c>
      <c r="J533" s="3">
        <v>1.4398</v>
      </c>
      <c r="K533" s="6">
        <f t="shared" si="108"/>
        <v>1.3150574999999998</v>
      </c>
      <c r="L533" s="6">
        <f t="shared" si="109"/>
        <v>1.7534099999999999</v>
      </c>
      <c r="M533" s="6">
        <f t="shared" si="110"/>
        <v>0.31294999999999895</v>
      </c>
      <c r="N533" s="6">
        <f t="shared" si="111"/>
        <v>0</v>
      </c>
      <c r="O533" s="6">
        <f t="shared" si="112"/>
        <v>0</v>
      </c>
      <c r="P533" s="6">
        <f t="shared" si="113"/>
        <v>118.27867012499961</v>
      </c>
      <c r="Q533" s="3">
        <v>118.278670125</v>
      </c>
      <c r="R533" s="6">
        <f t="shared" si="114"/>
        <v>-3.979039320256561E-13</v>
      </c>
      <c r="S533" s="6" t="str">
        <f t="shared" si="115"/>
        <v>OK</v>
      </c>
    </row>
    <row r="534" spans="1:19" x14ac:dyDescent="0.25">
      <c r="A534" s="3" t="str">
        <f t="shared" si="116"/>
        <v>09.05.2026</v>
      </c>
      <c r="B534" s="5">
        <v>37</v>
      </c>
      <c r="C534" s="5" t="s">
        <v>81</v>
      </c>
      <c r="D534" s="3">
        <v>8.7670499999999993</v>
      </c>
      <c r="E534" s="3">
        <v>8.14771</v>
      </c>
      <c r="F534" s="6">
        <f t="shared" si="104"/>
        <v>-0.61933999999999934</v>
      </c>
      <c r="G534" s="6">
        <f t="shared" si="105"/>
        <v>-7.0644059290183053E-2</v>
      </c>
      <c r="H534" s="6" t="str">
        <f t="shared" si="106"/>
        <v>🔴 Under-injection</v>
      </c>
      <c r="I534" s="6">
        <f t="shared" si="107"/>
        <v>0.61933999999999934</v>
      </c>
      <c r="J534" s="3">
        <v>1.2919999999999998</v>
      </c>
      <c r="K534" s="6">
        <f t="shared" si="108"/>
        <v>1.3150574999999998</v>
      </c>
      <c r="L534" s="6">
        <f t="shared" si="109"/>
        <v>1.7534099999999999</v>
      </c>
      <c r="M534" s="6">
        <f t="shared" si="110"/>
        <v>0.61933999999999934</v>
      </c>
      <c r="N534" s="6">
        <f t="shared" si="111"/>
        <v>0</v>
      </c>
      <c r="O534" s="6">
        <f t="shared" si="112"/>
        <v>0</v>
      </c>
      <c r="P534" s="6">
        <f t="shared" si="113"/>
        <v>210.04916099999974</v>
      </c>
      <c r="Q534" s="3">
        <v>210.049161</v>
      </c>
      <c r="R534" s="6">
        <f t="shared" si="114"/>
        <v>-2.5579538487363607E-13</v>
      </c>
      <c r="S534" s="6" t="str">
        <f t="shared" si="115"/>
        <v>OK</v>
      </c>
    </row>
    <row r="535" spans="1:19" x14ac:dyDescent="0.25">
      <c r="A535" s="3" t="str">
        <f t="shared" si="116"/>
        <v>09.05.2026</v>
      </c>
      <c r="B535" s="5">
        <v>38</v>
      </c>
      <c r="C535" s="5" t="s">
        <v>80</v>
      </c>
      <c r="D535" s="3">
        <v>8.7670499999999993</v>
      </c>
      <c r="E535" s="3">
        <v>8.1023099999999992</v>
      </c>
      <c r="F535" s="6">
        <f t="shared" si="104"/>
        <v>-0.66474000000000011</v>
      </c>
      <c r="G535" s="6">
        <f t="shared" si="105"/>
        <v>-7.5822540079045986E-2</v>
      </c>
      <c r="H535" s="6" t="str">
        <f t="shared" si="106"/>
        <v>🔴 Under-injection</v>
      </c>
      <c r="I535" s="6">
        <f t="shared" si="107"/>
        <v>0.66474000000000011</v>
      </c>
      <c r="J535" s="3">
        <v>1.2118</v>
      </c>
      <c r="K535" s="6">
        <f t="shared" si="108"/>
        <v>1.3150574999999998</v>
      </c>
      <c r="L535" s="6">
        <f t="shared" si="109"/>
        <v>1.7534099999999999</v>
      </c>
      <c r="M535" s="6">
        <f t="shared" si="110"/>
        <v>0.66474000000000011</v>
      </c>
      <c r="N535" s="6">
        <f t="shared" si="111"/>
        <v>0</v>
      </c>
      <c r="O535" s="6">
        <f t="shared" si="112"/>
        <v>0</v>
      </c>
      <c r="P535" s="6">
        <f t="shared" si="113"/>
        <v>211.45213215000007</v>
      </c>
      <c r="Q535" s="3">
        <v>211.45213215000004</v>
      </c>
      <c r="R535" s="6">
        <f t="shared" si="114"/>
        <v>0</v>
      </c>
      <c r="S535" s="6" t="str">
        <f t="shared" si="115"/>
        <v>OK</v>
      </c>
    </row>
    <row r="536" spans="1:19" x14ac:dyDescent="0.25">
      <c r="A536" s="3" t="str">
        <f t="shared" si="116"/>
        <v>09.05.2026</v>
      </c>
      <c r="B536" s="5">
        <v>39</v>
      </c>
      <c r="C536" s="5" t="s">
        <v>79</v>
      </c>
      <c r="D536" s="3">
        <v>8.2870499999999989</v>
      </c>
      <c r="E536" s="3">
        <v>8.1023099999999992</v>
      </c>
      <c r="F536" s="6">
        <f t="shared" si="104"/>
        <v>-0.18473999999999968</v>
      </c>
      <c r="G536" s="6">
        <f t="shared" si="105"/>
        <v>-2.2292613173565949E-2</v>
      </c>
      <c r="H536" s="6" t="str">
        <f t="shared" si="106"/>
        <v>🔴 Under-injection</v>
      </c>
      <c r="I536" s="6">
        <f t="shared" si="107"/>
        <v>0.18473999999999968</v>
      </c>
      <c r="J536" s="3">
        <v>1.3089</v>
      </c>
      <c r="K536" s="6">
        <f t="shared" si="108"/>
        <v>1.2430574999999997</v>
      </c>
      <c r="L536" s="6">
        <f t="shared" si="109"/>
        <v>1.6574099999999998</v>
      </c>
      <c r="M536" s="6">
        <f t="shared" si="110"/>
        <v>0.18473999999999968</v>
      </c>
      <c r="N536" s="6">
        <f t="shared" si="111"/>
        <v>0</v>
      </c>
      <c r="O536" s="6">
        <f t="shared" si="112"/>
        <v>0</v>
      </c>
      <c r="P536" s="6">
        <f t="shared" si="113"/>
        <v>63.474123824999893</v>
      </c>
      <c r="Q536" s="3">
        <v>63.474123824999992</v>
      </c>
      <c r="R536" s="6">
        <f t="shared" si="114"/>
        <v>-9.9475983006414026E-14</v>
      </c>
      <c r="S536" s="6" t="str">
        <f t="shared" si="115"/>
        <v>OK</v>
      </c>
    </row>
    <row r="537" spans="1:19" x14ac:dyDescent="0.25">
      <c r="A537" s="3" t="str">
        <f t="shared" si="116"/>
        <v>09.05.2026</v>
      </c>
      <c r="B537" s="5">
        <v>40</v>
      </c>
      <c r="C537" s="5" t="s">
        <v>78</v>
      </c>
      <c r="D537" s="3">
        <v>8.2870499999999989</v>
      </c>
      <c r="E537" s="3">
        <v>8.1023099999999992</v>
      </c>
      <c r="F537" s="6">
        <f t="shared" si="104"/>
        <v>-0.18473999999999968</v>
      </c>
      <c r="G537" s="6">
        <f t="shared" si="105"/>
        <v>-2.2292613173565949E-2</v>
      </c>
      <c r="H537" s="6" t="str">
        <f t="shared" si="106"/>
        <v>🔴 Under-injection</v>
      </c>
      <c r="I537" s="6">
        <f t="shared" si="107"/>
        <v>0.18473999999999968</v>
      </c>
      <c r="J537" s="3">
        <v>1.5088999999999999</v>
      </c>
      <c r="K537" s="6">
        <f t="shared" si="108"/>
        <v>1.2430574999999997</v>
      </c>
      <c r="L537" s="6">
        <f t="shared" si="109"/>
        <v>1.6574099999999998</v>
      </c>
      <c r="M537" s="6">
        <f t="shared" si="110"/>
        <v>0.18473999999999968</v>
      </c>
      <c r="N537" s="6">
        <f t="shared" si="111"/>
        <v>0</v>
      </c>
      <c r="O537" s="6">
        <f t="shared" si="112"/>
        <v>0</v>
      </c>
      <c r="P537" s="6">
        <f t="shared" si="113"/>
        <v>73.172973824999872</v>
      </c>
      <c r="Q537" s="3">
        <v>73.172973824999985</v>
      </c>
      <c r="R537" s="6">
        <f t="shared" si="114"/>
        <v>-1.1368683772161603E-13</v>
      </c>
      <c r="S537" s="6" t="str">
        <f t="shared" si="115"/>
        <v>OK</v>
      </c>
    </row>
    <row r="538" spans="1:19" x14ac:dyDescent="0.25">
      <c r="A538" s="3" t="str">
        <f t="shared" si="116"/>
        <v>09.05.2026</v>
      </c>
      <c r="B538" s="5">
        <v>41</v>
      </c>
      <c r="C538" s="5" t="s">
        <v>77</v>
      </c>
      <c r="D538" s="3">
        <v>8.2870499999999989</v>
      </c>
      <c r="E538" s="3">
        <v>8.1023099999999992</v>
      </c>
      <c r="F538" s="6">
        <f t="shared" si="104"/>
        <v>-0.18473999999999968</v>
      </c>
      <c r="G538" s="6">
        <f t="shared" si="105"/>
        <v>-2.2292613173565949E-2</v>
      </c>
      <c r="H538" s="6" t="str">
        <f t="shared" si="106"/>
        <v>🔴 Under-injection</v>
      </c>
      <c r="I538" s="6">
        <f t="shared" si="107"/>
        <v>0.18473999999999968</v>
      </c>
      <c r="J538" s="3">
        <v>1.7668999999999999</v>
      </c>
      <c r="K538" s="6">
        <f t="shared" si="108"/>
        <v>1.2430574999999997</v>
      </c>
      <c r="L538" s="6">
        <f t="shared" si="109"/>
        <v>1.6574099999999998</v>
      </c>
      <c r="M538" s="6">
        <f t="shared" si="110"/>
        <v>0.18473999999999968</v>
      </c>
      <c r="N538" s="6">
        <f t="shared" si="111"/>
        <v>0</v>
      </c>
      <c r="O538" s="6">
        <f t="shared" si="112"/>
        <v>0</v>
      </c>
      <c r="P538" s="6">
        <f t="shared" si="113"/>
        <v>85.684490324999842</v>
      </c>
      <c r="Q538" s="3">
        <v>85.684490324999999</v>
      </c>
      <c r="R538" s="6">
        <f t="shared" si="114"/>
        <v>-1.5631940186722204E-13</v>
      </c>
      <c r="S538" s="6" t="str">
        <f t="shared" si="115"/>
        <v>OK</v>
      </c>
    </row>
    <row r="539" spans="1:19" x14ac:dyDescent="0.25">
      <c r="A539" s="3" t="str">
        <f t="shared" si="116"/>
        <v>09.05.2026</v>
      </c>
      <c r="B539" s="5">
        <v>42</v>
      </c>
      <c r="C539" s="5" t="s">
        <v>76</v>
      </c>
      <c r="D539" s="3">
        <v>8.2870499999999989</v>
      </c>
      <c r="E539" s="3">
        <v>8.1023099999999992</v>
      </c>
      <c r="F539" s="6">
        <f t="shared" si="104"/>
        <v>-0.18473999999999968</v>
      </c>
      <c r="G539" s="6">
        <f t="shared" si="105"/>
        <v>-2.2292613173565949E-2</v>
      </c>
      <c r="H539" s="6" t="str">
        <f t="shared" si="106"/>
        <v>🔴 Under-injection</v>
      </c>
      <c r="I539" s="6">
        <f t="shared" si="107"/>
        <v>0.18473999999999968</v>
      </c>
      <c r="J539" s="3">
        <v>1.91</v>
      </c>
      <c r="K539" s="6">
        <f t="shared" si="108"/>
        <v>1.2430574999999997</v>
      </c>
      <c r="L539" s="6">
        <f t="shared" si="109"/>
        <v>1.6574099999999998</v>
      </c>
      <c r="M539" s="6">
        <f t="shared" si="110"/>
        <v>0.18473999999999968</v>
      </c>
      <c r="N539" s="6">
        <f t="shared" si="111"/>
        <v>0</v>
      </c>
      <c r="O539" s="6">
        <f t="shared" si="112"/>
        <v>0</v>
      </c>
      <c r="P539" s="6">
        <f t="shared" si="113"/>
        <v>92.624017499999837</v>
      </c>
      <c r="Q539" s="3">
        <v>92.624017500000008</v>
      </c>
      <c r="R539" s="6">
        <f t="shared" si="114"/>
        <v>-1.7053025658242404E-13</v>
      </c>
      <c r="S539" s="6" t="str">
        <f t="shared" si="115"/>
        <v>OK</v>
      </c>
    </row>
    <row r="540" spans="1:19" x14ac:dyDescent="0.25">
      <c r="A540" s="3" t="str">
        <f t="shared" si="116"/>
        <v>09.05.2026</v>
      </c>
      <c r="B540" s="5">
        <v>43</v>
      </c>
      <c r="C540" s="5" t="s">
        <v>75</v>
      </c>
      <c r="D540" s="3">
        <v>8.2870499999999989</v>
      </c>
      <c r="E540" s="3">
        <v>8.1023099999999992</v>
      </c>
      <c r="F540" s="6">
        <f t="shared" si="104"/>
        <v>-0.18473999999999968</v>
      </c>
      <c r="G540" s="6">
        <f t="shared" si="105"/>
        <v>-2.2292613173565949E-2</v>
      </c>
      <c r="H540" s="6" t="str">
        <f t="shared" si="106"/>
        <v>🔴 Under-injection</v>
      </c>
      <c r="I540" s="6">
        <f t="shared" si="107"/>
        <v>0.18473999999999968</v>
      </c>
      <c r="J540" s="3">
        <v>1.3331</v>
      </c>
      <c r="K540" s="6">
        <f t="shared" si="108"/>
        <v>1.2430574999999997</v>
      </c>
      <c r="L540" s="6">
        <f t="shared" si="109"/>
        <v>1.6574099999999998</v>
      </c>
      <c r="M540" s="6">
        <f t="shared" si="110"/>
        <v>0.18473999999999968</v>
      </c>
      <c r="N540" s="6">
        <f t="shared" si="111"/>
        <v>0</v>
      </c>
      <c r="O540" s="6">
        <f t="shared" si="112"/>
        <v>0</v>
      </c>
      <c r="P540" s="6">
        <f t="shared" si="113"/>
        <v>64.64768467499988</v>
      </c>
      <c r="Q540" s="3">
        <v>64.647684674999994</v>
      </c>
      <c r="R540" s="6">
        <f t="shared" si="114"/>
        <v>-1.1368683772161603E-13</v>
      </c>
      <c r="S540" s="6" t="str">
        <f t="shared" si="115"/>
        <v>OK</v>
      </c>
    </row>
    <row r="541" spans="1:19" x14ac:dyDescent="0.25">
      <c r="A541" s="3" t="str">
        <f t="shared" si="116"/>
        <v>09.05.2026</v>
      </c>
      <c r="B541" s="5">
        <v>44</v>
      </c>
      <c r="C541" s="5" t="s">
        <v>74</v>
      </c>
      <c r="D541" s="3">
        <v>8.2870499999999989</v>
      </c>
      <c r="E541" s="3">
        <v>8.1023099999999992</v>
      </c>
      <c r="F541" s="6">
        <f t="shared" si="104"/>
        <v>-0.18473999999999968</v>
      </c>
      <c r="G541" s="6">
        <f t="shared" si="105"/>
        <v>-2.2292613173565949E-2</v>
      </c>
      <c r="H541" s="6" t="str">
        <f t="shared" si="106"/>
        <v>🔴 Under-injection</v>
      </c>
      <c r="I541" s="6">
        <f t="shared" si="107"/>
        <v>0.18473999999999968</v>
      </c>
      <c r="J541" s="3">
        <v>1.3329</v>
      </c>
      <c r="K541" s="6">
        <f t="shared" si="108"/>
        <v>1.2430574999999997</v>
      </c>
      <c r="L541" s="6">
        <f t="shared" si="109"/>
        <v>1.6574099999999998</v>
      </c>
      <c r="M541" s="6">
        <f t="shared" si="110"/>
        <v>0.18473999999999968</v>
      </c>
      <c r="N541" s="6">
        <f t="shared" si="111"/>
        <v>0</v>
      </c>
      <c r="O541" s="6">
        <f t="shared" si="112"/>
        <v>0</v>
      </c>
      <c r="P541" s="6">
        <f t="shared" si="113"/>
        <v>64.637985824999902</v>
      </c>
      <c r="Q541" s="3">
        <v>64.637985824999987</v>
      </c>
      <c r="R541" s="6">
        <f t="shared" si="114"/>
        <v>0</v>
      </c>
      <c r="S541" s="6" t="str">
        <f t="shared" si="115"/>
        <v>OK</v>
      </c>
    </row>
    <row r="542" spans="1:19" x14ac:dyDescent="0.25">
      <c r="A542" s="3" t="str">
        <f t="shared" si="116"/>
        <v>09.05.2026</v>
      </c>
      <c r="B542" s="5">
        <v>45</v>
      </c>
      <c r="C542" s="5" t="s">
        <v>73</v>
      </c>
      <c r="D542" s="3">
        <v>8.2870499999999989</v>
      </c>
      <c r="E542" s="3">
        <v>8.1023099999999992</v>
      </c>
      <c r="F542" s="6">
        <f t="shared" si="104"/>
        <v>-0.18473999999999968</v>
      </c>
      <c r="G542" s="6">
        <f t="shared" si="105"/>
        <v>-2.2292613173565949E-2</v>
      </c>
      <c r="H542" s="6" t="str">
        <f t="shared" si="106"/>
        <v>🔴 Under-injection</v>
      </c>
      <c r="I542" s="6">
        <f t="shared" si="107"/>
        <v>0.18473999999999968</v>
      </c>
      <c r="J542" s="3">
        <v>1.0576999999999999</v>
      </c>
      <c r="K542" s="6">
        <f t="shared" si="108"/>
        <v>1.2430574999999997</v>
      </c>
      <c r="L542" s="6">
        <f t="shared" si="109"/>
        <v>1.6574099999999998</v>
      </c>
      <c r="M542" s="6">
        <f t="shared" si="110"/>
        <v>0.18473999999999968</v>
      </c>
      <c r="N542" s="6">
        <f t="shared" si="111"/>
        <v>0</v>
      </c>
      <c r="O542" s="6">
        <f t="shared" si="112"/>
        <v>0</v>
      </c>
      <c r="P542" s="6">
        <f t="shared" si="113"/>
        <v>51.292368224999905</v>
      </c>
      <c r="Q542" s="3">
        <v>51.292368224999997</v>
      </c>
      <c r="R542" s="6">
        <f t="shared" si="114"/>
        <v>-9.2370555648813024E-14</v>
      </c>
      <c r="S542" s="6" t="str">
        <f t="shared" si="115"/>
        <v>OK</v>
      </c>
    </row>
    <row r="543" spans="1:19" x14ac:dyDescent="0.25">
      <c r="A543" s="3" t="str">
        <f t="shared" si="116"/>
        <v>09.05.2026</v>
      </c>
      <c r="B543" s="5">
        <v>46</v>
      </c>
      <c r="C543" s="5" t="s">
        <v>72</v>
      </c>
      <c r="D543" s="3">
        <v>8.2870499999999989</v>
      </c>
      <c r="E543" s="3">
        <v>8.1023099999999992</v>
      </c>
      <c r="F543" s="6">
        <f t="shared" si="104"/>
        <v>-0.18473999999999968</v>
      </c>
      <c r="G543" s="6">
        <f t="shared" si="105"/>
        <v>-2.2292613173565949E-2</v>
      </c>
      <c r="H543" s="6" t="str">
        <f t="shared" si="106"/>
        <v>🔴 Under-injection</v>
      </c>
      <c r="I543" s="6">
        <f t="shared" si="107"/>
        <v>0.18473999999999968</v>
      </c>
      <c r="J543" s="3">
        <v>1.0591999999999999</v>
      </c>
      <c r="K543" s="6">
        <f t="shared" si="108"/>
        <v>1.2430574999999997</v>
      </c>
      <c r="L543" s="6">
        <f t="shared" si="109"/>
        <v>1.6574099999999998</v>
      </c>
      <c r="M543" s="6">
        <f t="shared" si="110"/>
        <v>0.18473999999999968</v>
      </c>
      <c r="N543" s="6">
        <f t="shared" si="111"/>
        <v>0</v>
      </c>
      <c r="O543" s="6">
        <f t="shared" si="112"/>
        <v>0</v>
      </c>
      <c r="P543" s="6">
        <f t="shared" si="113"/>
        <v>51.365109599999911</v>
      </c>
      <c r="Q543" s="3">
        <v>51.365109599999997</v>
      </c>
      <c r="R543" s="6">
        <f t="shared" si="114"/>
        <v>-8.5265128291212022E-14</v>
      </c>
      <c r="S543" s="6" t="str">
        <f t="shared" si="115"/>
        <v>OK</v>
      </c>
    </row>
    <row r="544" spans="1:19" x14ac:dyDescent="0.25">
      <c r="A544" s="3" t="str">
        <f t="shared" si="116"/>
        <v>09.05.2026</v>
      </c>
      <c r="B544" s="5">
        <v>47</v>
      </c>
      <c r="C544" s="5" t="s">
        <v>71</v>
      </c>
      <c r="D544" s="3">
        <v>8.2870499999999989</v>
      </c>
      <c r="E544" s="3">
        <v>8.1023099999999992</v>
      </c>
      <c r="F544" s="6">
        <f t="shared" si="104"/>
        <v>-0.18473999999999968</v>
      </c>
      <c r="G544" s="6">
        <f t="shared" si="105"/>
        <v>-2.2292613173565949E-2</v>
      </c>
      <c r="H544" s="6" t="str">
        <f t="shared" si="106"/>
        <v>🔴 Under-injection</v>
      </c>
      <c r="I544" s="6">
        <f t="shared" si="107"/>
        <v>0.18473999999999968</v>
      </c>
      <c r="J544" s="3">
        <v>1.0593000000000001</v>
      </c>
      <c r="K544" s="6">
        <f t="shared" si="108"/>
        <v>1.2430574999999997</v>
      </c>
      <c r="L544" s="6">
        <f t="shared" si="109"/>
        <v>1.6574099999999998</v>
      </c>
      <c r="M544" s="6">
        <f t="shared" si="110"/>
        <v>0.18473999999999968</v>
      </c>
      <c r="N544" s="6">
        <f t="shared" si="111"/>
        <v>0</v>
      </c>
      <c r="O544" s="6">
        <f t="shared" si="112"/>
        <v>0</v>
      </c>
      <c r="P544" s="6">
        <f t="shared" si="113"/>
        <v>51.369959024999922</v>
      </c>
      <c r="Q544" s="3">
        <v>51.369959025000007</v>
      </c>
      <c r="R544" s="6">
        <f t="shared" si="114"/>
        <v>-8.5265128291212022E-14</v>
      </c>
      <c r="S544" s="6" t="str">
        <f t="shared" si="115"/>
        <v>OK</v>
      </c>
    </row>
    <row r="545" spans="1:19" x14ac:dyDescent="0.25">
      <c r="A545" s="3" t="str">
        <f t="shared" si="116"/>
        <v>09.05.2026</v>
      </c>
      <c r="B545" s="5">
        <v>48</v>
      </c>
      <c r="C545" s="5" t="s">
        <v>70</v>
      </c>
      <c r="D545" s="3">
        <v>8.2870499999999989</v>
      </c>
      <c r="E545" s="3">
        <v>8.1023099999999992</v>
      </c>
      <c r="F545" s="6">
        <f t="shared" si="104"/>
        <v>-0.18473999999999968</v>
      </c>
      <c r="G545" s="6">
        <f t="shared" si="105"/>
        <v>-2.2292613173565949E-2</v>
      </c>
      <c r="H545" s="6" t="str">
        <f t="shared" si="106"/>
        <v>🔴 Under-injection</v>
      </c>
      <c r="I545" s="6">
        <f t="shared" si="107"/>
        <v>0.18473999999999968</v>
      </c>
      <c r="J545" s="3">
        <v>1.0567</v>
      </c>
      <c r="K545" s="6">
        <f t="shared" si="108"/>
        <v>1.2430574999999997</v>
      </c>
      <c r="L545" s="6">
        <f t="shared" si="109"/>
        <v>1.6574099999999998</v>
      </c>
      <c r="M545" s="6">
        <f t="shared" si="110"/>
        <v>0.18473999999999968</v>
      </c>
      <c r="N545" s="6">
        <f t="shared" si="111"/>
        <v>0</v>
      </c>
      <c r="O545" s="6">
        <f t="shared" si="112"/>
        <v>0</v>
      </c>
      <c r="P545" s="6">
        <f t="shared" si="113"/>
        <v>51.243873974999914</v>
      </c>
      <c r="Q545" s="3">
        <v>51.243873974999993</v>
      </c>
      <c r="R545" s="6">
        <f t="shared" si="114"/>
        <v>-7.815970093361102E-14</v>
      </c>
      <c r="S545" s="6" t="str">
        <f t="shared" si="115"/>
        <v>OK</v>
      </c>
    </row>
    <row r="546" spans="1:19" x14ac:dyDescent="0.25">
      <c r="A546" s="3" t="str">
        <f t="shared" si="116"/>
        <v>09.05.2026</v>
      </c>
      <c r="B546" s="5">
        <v>49</v>
      </c>
      <c r="C546" s="5" t="s">
        <v>69</v>
      </c>
      <c r="D546" s="3">
        <v>8.2870499999999989</v>
      </c>
      <c r="E546" s="3">
        <v>8.1023099999999992</v>
      </c>
      <c r="F546" s="6">
        <f t="shared" si="104"/>
        <v>-0.18473999999999968</v>
      </c>
      <c r="G546" s="6">
        <f t="shared" si="105"/>
        <v>-2.2292613173565949E-2</v>
      </c>
      <c r="H546" s="6" t="str">
        <f t="shared" si="106"/>
        <v>🔴 Under-injection</v>
      </c>
      <c r="I546" s="6">
        <f t="shared" si="107"/>
        <v>0.18473999999999968</v>
      </c>
      <c r="J546" s="3">
        <v>1.3503999999999998</v>
      </c>
      <c r="K546" s="6">
        <f t="shared" si="108"/>
        <v>1.2430574999999997</v>
      </c>
      <c r="L546" s="6">
        <f t="shared" si="109"/>
        <v>1.6574099999999998</v>
      </c>
      <c r="M546" s="6">
        <f t="shared" si="110"/>
        <v>0.18473999999999968</v>
      </c>
      <c r="N546" s="6">
        <f t="shared" si="111"/>
        <v>0</v>
      </c>
      <c r="O546" s="6">
        <f t="shared" si="112"/>
        <v>0</v>
      </c>
      <c r="P546" s="6">
        <f t="shared" si="113"/>
        <v>65.486635199999881</v>
      </c>
      <c r="Q546" s="3">
        <v>65.486635199999995</v>
      </c>
      <c r="R546" s="6">
        <f t="shared" si="114"/>
        <v>-1.1368683772161603E-13</v>
      </c>
      <c r="S546" s="6" t="str">
        <f t="shared" si="115"/>
        <v>OK</v>
      </c>
    </row>
    <row r="547" spans="1:19" x14ac:dyDescent="0.25">
      <c r="A547" s="3" t="str">
        <f t="shared" si="116"/>
        <v>09.05.2026</v>
      </c>
      <c r="B547" s="5">
        <v>50</v>
      </c>
      <c r="C547" s="5" t="s">
        <v>68</v>
      </c>
      <c r="D547" s="3">
        <v>8.2870499999999989</v>
      </c>
      <c r="E547" s="3">
        <v>8.1023099999999992</v>
      </c>
      <c r="F547" s="6">
        <f t="shared" si="104"/>
        <v>-0.18473999999999968</v>
      </c>
      <c r="G547" s="6">
        <f t="shared" si="105"/>
        <v>-2.2292613173565949E-2</v>
      </c>
      <c r="H547" s="6" t="str">
        <f t="shared" si="106"/>
        <v>🔴 Under-injection</v>
      </c>
      <c r="I547" s="6">
        <f t="shared" si="107"/>
        <v>0.18473999999999968</v>
      </c>
      <c r="J547" s="3">
        <v>1.3903999999999999</v>
      </c>
      <c r="K547" s="6">
        <f t="shared" si="108"/>
        <v>1.2430574999999997</v>
      </c>
      <c r="L547" s="6">
        <f t="shared" si="109"/>
        <v>1.6574099999999998</v>
      </c>
      <c r="M547" s="6">
        <f t="shared" si="110"/>
        <v>0.18473999999999968</v>
      </c>
      <c r="N547" s="6">
        <f t="shared" si="111"/>
        <v>0</v>
      </c>
      <c r="O547" s="6">
        <f t="shared" si="112"/>
        <v>0</v>
      </c>
      <c r="P547" s="6">
        <f t="shared" si="113"/>
        <v>67.426405199999891</v>
      </c>
      <c r="Q547" s="3">
        <v>67.426405199999977</v>
      </c>
      <c r="R547" s="6">
        <f t="shared" si="114"/>
        <v>0</v>
      </c>
      <c r="S547" s="6" t="str">
        <f t="shared" si="115"/>
        <v>OK</v>
      </c>
    </row>
    <row r="548" spans="1:19" x14ac:dyDescent="0.25">
      <c r="A548" s="3" t="str">
        <f t="shared" si="116"/>
        <v>09.05.2026</v>
      </c>
      <c r="B548" s="5">
        <v>51</v>
      </c>
      <c r="C548" s="5" t="s">
        <v>67</v>
      </c>
      <c r="D548" s="3">
        <v>8.2870499999999989</v>
      </c>
      <c r="E548" s="3">
        <v>8.1023099999999992</v>
      </c>
      <c r="F548" s="6">
        <f t="shared" si="104"/>
        <v>-0.18473999999999968</v>
      </c>
      <c r="G548" s="6">
        <f t="shared" si="105"/>
        <v>-2.2292613173565949E-2</v>
      </c>
      <c r="H548" s="6" t="str">
        <f t="shared" si="106"/>
        <v>🔴 Under-injection</v>
      </c>
      <c r="I548" s="6">
        <f t="shared" si="107"/>
        <v>0.18473999999999968</v>
      </c>
      <c r="J548" s="3">
        <v>1.3493000000000002</v>
      </c>
      <c r="K548" s="6">
        <f t="shared" si="108"/>
        <v>1.2430574999999997</v>
      </c>
      <c r="L548" s="6">
        <f t="shared" si="109"/>
        <v>1.6574099999999998</v>
      </c>
      <c r="M548" s="6">
        <f t="shared" si="110"/>
        <v>0.18473999999999968</v>
      </c>
      <c r="N548" s="6">
        <f t="shared" si="111"/>
        <v>0</v>
      </c>
      <c r="O548" s="6">
        <f t="shared" si="112"/>
        <v>0</v>
      </c>
      <c r="P548" s="6">
        <f t="shared" si="113"/>
        <v>65.433291524999902</v>
      </c>
      <c r="Q548" s="3">
        <v>65.433291525000001</v>
      </c>
      <c r="R548" s="6">
        <f t="shared" si="114"/>
        <v>0</v>
      </c>
      <c r="S548" s="6" t="str">
        <f t="shared" si="115"/>
        <v>OK</v>
      </c>
    </row>
    <row r="549" spans="1:19" x14ac:dyDescent="0.25">
      <c r="A549" s="3" t="str">
        <f t="shared" si="116"/>
        <v>09.05.2026</v>
      </c>
      <c r="B549" s="5">
        <v>52</v>
      </c>
      <c r="C549" s="5" t="s">
        <v>66</v>
      </c>
      <c r="D549" s="3">
        <v>8.2870499999999989</v>
      </c>
      <c r="E549" s="3">
        <v>8.1023099999999992</v>
      </c>
      <c r="F549" s="6">
        <f t="shared" si="104"/>
        <v>-0.18473999999999968</v>
      </c>
      <c r="G549" s="6">
        <f t="shared" si="105"/>
        <v>-2.2292613173565949E-2</v>
      </c>
      <c r="H549" s="6" t="str">
        <f t="shared" si="106"/>
        <v>🔴 Under-injection</v>
      </c>
      <c r="I549" s="6">
        <f t="shared" si="107"/>
        <v>0.18473999999999968</v>
      </c>
      <c r="J549" s="3">
        <v>1.3493000000000002</v>
      </c>
      <c r="K549" s="6">
        <f t="shared" si="108"/>
        <v>1.2430574999999997</v>
      </c>
      <c r="L549" s="6">
        <f t="shared" si="109"/>
        <v>1.6574099999999998</v>
      </c>
      <c r="M549" s="6">
        <f t="shared" si="110"/>
        <v>0.18473999999999968</v>
      </c>
      <c r="N549" s="6">
        <f t="shared" si="111"/>
        <v>0</v>
      </c>
      <c r="O549" s="6">
        <f t="shared" si="112"/>
        <v>0</v>
      </c>
      <c r="P549" s="6">
        <f t="shared" si="113"/>
        <v>65.433291524999902</v>
      </c>
      <c r="Q549" s="3">
        <v>65.433291525000001</v>
      </c>
      <c r="R549" s="6">
        <f t="shared" si="114"/>
        <v>0</v>
      </c>
      <c r="S549" s="6" t="str">
        <f t="shared" si="115"/>
        <v>OK</v>
      </c>
    </row>
    <row r="550" spans="1:19" x14ac:dyDescent="0.25">
      <c r="A550" s="3" t="str">
        <f t="shared" si="116"/>
        <v>09.05.2026</v>
      </c>
      <c r="B550" s="5">
        <v>53</v>
      </c>
      <c r="C550" s="5" t="s">
        <v>65</v>
      </c>
      <c r="D550" s="3">
        <v>8.2870499999999989</v>
      </c>
      <c r="E550" s="3">
        <v>8.1023099999999992</v>
      </c>
      <c r="F550" s="6">
        <f t="shared" si="104"/>
        <v>-0.18473999999999968</v>
      </c>
      <c r="G550" s="6">
        <f t="shared" si="105"/>
        <v>-2.2292613173565949E-2</v>
      </c>
      <c r="H550" s="6" t="str">
        <f t="shared" si="106"/>
        <v>🔴 Under-injection</v>
      </c>
      <c r="I550" s="6">
        <f t="shared" si="107"/>
        <v>0.18473999999999968</v>
      </c>
      <c r="J550" s="3">
        <v>1.0011000000000001</v>
      </c>
      <c r="K550" s="6">
        <f t="shared" si="108"/>
        <v>1.2430574999999997</v>
      </c>
      <c r="L550" s="6">
        <f t="shared" si="109"/>
        <v>1.6574099999999998</v>
      </c>
      <c r="M550" s="6">
        <f t="shared" si="110"/>
        <v>0.18473999999999968</v>
      </c>
      <c r="N550" s="6">
        <f t="shared" si="111"/>
        <v>0</v>
      </c>
      <c r="O550" s="6">
        <f t="shared" si="112"/>
        <v>0</v>
      </c>
      <c r="P550" s="6">
        <f t="shared" si="113"/>
        <v>48.547593674999924</v>
      </c>
      <c r="Q550" s="3">
        <v>48.547593675000002</v>
      </c>
      <c r="R550" s="6">
        <f t="shared" si="114"/>
        <v>-7.815970093361102E-14</v>
      </c>
      <c r="S550" s="6" t="str">
        <f t="shared" si="115"/>
        <v>OK</v>
      </c>
    </row>
    <row r="551" spans="1:19" x14ac:dyDescent="0.25">
      <c r="A551" s="3" t="str">
        <f t="shared" si="116"/>
        <v>09.05.2026</v>
      </c>
      <c r="B551" s="5">
        <v>54</v>
      </c>
      <c r="C551" s="5" t="s">
        <v>64</v>
      </c>
      <c r="D551" s="3">
        <v>8.2870499999999989</v>
      </c>
      <c r="E551" s="3">
        <v>8.1023099999999992</v>
      </c>
      <c r="F551" s="6">
        <f t="shared" si="104"/>
        <v>-0.18473999999999968</v>
      </c>
      <c r="G551" s="6">
        <f t="shared" si="105"/>
        <v>-2.2292613173565949E-2</v>
      </c>
      <c r="H551" s="6" t="str">
        <f t="shared" si="106"/>
        <v>🔴 Under-injection</v>
      </c>
      <c r="I551" s="6">
        <f t="shared" si="107"/>
        <v>0.18473999999999968</v>
      </c>
      <c r="J551" s="3">
        <v>1.0011000000000001</v>
      </c>
      <c r="K551" s="6">
        <f t="shared" si="108"/>
        <v>1.2430574999999997</v>
      </c>
      <c r="L551" s="6">
        <f t="shared" si="109"/>
        <v>1.6574099999999998</v>
      </c>
      <c r="M551" s="6">
        <f t="shared" si="110"/>
        <v>0.18473999999999968</v>
      </c>
      <c r="N551" s="6">
        <f t="shared" si="111"/>
        <v>0</v>
      </c>
      <c r="O551" s="6">
        <f t="shared" si="112"/>
        <v>0</v>
      </c>
      <c r="P551" s="6">
        <f t="shared" si="113"/>
        <v>48.547593674999924</v>
      </c>
      <c r="Q551" s="3">
        <v>48.547593675000002</v>
      </c>
      <c r="R551" s="6">
        <f t="shared" si="114"/>
        <v>-7.815970093361102E-14</v>
      </c>
      <c r="S551" s="6" t="str">
        <f t="shared" si="115"/>
        <v>OK</v>
      </c>
    </row>
    <row r="552" spans="1:19" x14ac:dyDescent="0.25">
      <c r="A552" s="3" t="str">
        <f t="shared" si="116"/>
        <v>09.05.2026</v>
      </c>
      <c r="B552" s="5">
        <v>55</v>
      </c>
      <c r="C552" s="5" t="s">
        <v>63</v>
      </c>
      <c r="D552" s="3">
        <v>8.2870499999999989</v>
      </c>
      <c r="E552" s="3">
        <v>8.1023099999999992</v>
      </c>
      <c r="F552" s="6">
        <f t="shared" si="104"/>
        <v>-0.18473999999999968</v>
      </c>
      <c r="G552" s="6">
        <f t="shared" si="105"/>
        <v>-2.2292613173565949E-2</v>
      </c>
      <c r="H552" s="6" t="str">
        <f t="shared" si="106"/>
        <v>🔴 Under-injection</v>
      </c>
      <c r="I552" s="6">
        <f t="shared" si="107"/>
        <v>0.18473999999999968</v>
      </c>
      <c r="J552" s="3">
        <v>1.0590999999999999</v>
      </c>
      <c r="K552" s="6">
        <f t="shared" si="108"/>
        <v>1.2430574999999997</v>
      </c>
      <c r="L552" s="6">
        <f t="shared" si="109"/>
        <v>1.6574099999999998</v>
      </c>
      <c r="M552" s="6">
        <f t="shared" si="110"/>
        <v>0.18473999999999968</v>
      </c>
      <c r="N552" s="6">
        <f t="shared" si="111"/>
        <v>0</v>
      </c>
      <c r="O552" s="6">
        <f t="shared" si="112"/>
        <v>0</v>
      </c>
      <c r="P552" s="6">
        <f t="shared" si="113"/>
        <v>51.360260174999908</v>
      </c>
      <c r="Q552" s="3">
        <v>51.360260175000001</v>
      </c>
      <c r="R552" s="6">
        <f t="shared" si="114"/>
        <v>-9.2370555648813024E-14</v>
      </c>
      <c r="S552" s="6" t="str">
        <f t="shared" si="115"/>
        <v>OK</v>
      </c>
    </row>
    <row r="553" spans="1:19" x14ac:dyDescent="0.25">
      <c r="A553" s="3" t="str">
        <f t="shared" si="116"/>
        <v>09.05.2026</v>
      </c>
      <c r="B553" s="5">
        <v>56</v>
      </c>
      <c r="C553" s="5" t="s">
        <v>62</v>
      </c>
      <c r="D553" s="3">
        <v>8.2870499999999989</v>
      </c>
      <c r="E553" s="3">
        <v>8.1136599999999994</v>
      </c>
      <c r="F553" s="6">
        <f t="shared" si="104"/>
        <v>-0.17338999999999949</v>
      </c>
      <c r="G553" s="6">
        <f t="shared" si="105"/>
        <v>-2.0923006377420134E-2</v>
      </c>
      <c r="H553" s="6" t="str">
        <f t="shared" si="106"/>
        <v>🔴 Under-injection</v>
      </c>
      <c r="I553" s="6">
        <f t="shared" si="107"/>
        <v>0.17338999999999949</v>
      </c>
      <c r="J553" s="3">
        <v>1.1157999999999999</v>
      </c>
      <c r="K553" s="6">
        <f t="shared" si="108"/>
        <v>1.2430574999999997</v>
      </c>
      <c r="L553" s="6">
        <f t="shared" si="109"/>
        <v>1.6574099999999998</v>
      </c>
      <c r="M553" s="6">
        <f t="shared" si="110"/>
        <v>0.17338999999999949</v>
      </c>
      <c r="N553" s="6">
        <f t="shared" si="111"/>
        <v>0</v>
      </c>
      <c r="O553" s="6">
        <f t="shared" si="112"/>
        <v>0</v>
      </c>
      <c r="P553" s="6">
        <f t="shared" si="113"/>
        <v>50.78549752499984</v>
      </c>
      <c r="Q553" s="3">
        <v>50.785497524999997</v>
      </c>
      <c r="R553" s="6">
        <f t="shared" si="114"/>
        <v>-1.5631940186722204E-13</v>
      </c>
      <c r="S553" s="6" t="str">
        <f t="shared" si="115"/>
        <v>OK</v>
      </c>
    </row>
    <row r="554" spans="1:19" x14ac:dyDescent="0.25">
      <c r="A554" s="3" t="str">
        <f t="shared" si="116"/>
        <v>09.05.2026</v>
      </c>
      <c r="B554" s="5">
        <v>57</v>
      </c>
      <c r="C554" s="5" t="s">
        <v>61</v>
      </c>
      <c r="D554" s="3">
        <v>8.2870499999999989</v>
      </c>
      <c r="E554" s="3">
        <v>8.1023099999999992</v>
      </c>
      <c r="F554" s="6">
        <f t="shared" si="104"/>
        <v>-0.18473999999999968</v>
      </c>
      <c r="G554" s="6">
        <f t="shared" si="105"/>
        <v>-2.2292613173565949E-2</v>
      </c>
      <c r="H554" s="6" t="str">
        <f t="shared" si="106"/>
        <v>🔴 Under-injection</v>
      </c>
      <c r="I554" s="6">
        <f t="shared" si="107"/>
        <v>0.18473999999999968</v>
      </c>
      <c r="J554" s="3">
        <v>1.4831999999999999</v>
      </c>
      <c r="K554" s="6">
        <f t="shared" si="108"/>
        <v>1.2430574999999997</v>
      </c>
      <c r="L554" s="6">
        <f t="shared" si="109"/>
        <v>1.6574099999999998</v>
      </c>
      <c r="M554" s="6">
        <f t="shared" si="110"/>
        <v>0.18473999999999968</v>
      </c>
      <c r="N554" s="6">
        <f t="shared" si="111"/>
        <v>0</v>
      </c>
      <c r="O554" s="6">
        <f t="shared" si="112"/>
        <v>0</v>
      </c>
      <c r="P554" s="6">
        <f t="shared" si="113"/>
        <v>71.926671599999864</v>
      </c>
      <c r="Q554" s="3">
        <v>71.926671599999992</v>
      </c>
      <c r="R554" s="6">
        <f t="shared" si="114"/>
        <v>-1.2789769243681803E-13</v>
      </c>
      <c r="S554" s="6" t="str">
        <f t="shared" si="115"/>
        <v>OK</v>
      </c>
    </row>
    <row r="555" spans="1:19" x14ac:dyDescent="0.25">
      <c r="A555" s="3" t="str">
        <f t="shared" si="116"/>
        <v>09.05.2026</v>
      </c>
      <c r="B555" s="5">
        <v>58</v>
      </c>
      <c r="C555" s="5" t="s">
        <v>60</v>
      </c>
      <c r="D555" s="3">
        <v>8.2870499999999989</v>
      </c>
      <c r="E555" s="3">
        <v>6.0483700000000002</v>
      </c>
      <c r="F555" s="6">
        <f t="shared" si="104"/>
        <v>-2.2386799999999987</v>
      </c>
      <c r="G555" s="6">
        <f t="shared" si="105"/>
        <v>-0.27014196849301003</v>
      </c>
      <c r="H555" s="6" t="str">
        <f t="shared" si="106"/>
        <v>🔴 Under-injection</v>
      </c>
      <c r="I555" s="6">
        <f t="shared" si="107"/>
        <v>2.2386799999999987</v>
      </c>
      <c r="J555" s="3">
        <v>2.2040000000000002</v>
      </c>
      <c r="K555" s="6">
        <f t="shared" si="108"/>
        <v>1.2430574999999997</v>
      </c>
      <c r="L555" s="6">
        <f t="shared" si="109"/>
        <v>1.6574099999999998</v>
      </c>
      <c r="M555" s="6">
        <f t="shared" si="110"/>
        <v>1.2430574999999997</v>
      </c>
      <c r="N555" s="6">
        <f t="shared" si="111"/>
        <v>0.41435250000000012</v>
      </c>
      <c r="O555" s="6">
        <f t="shared" si="112"/>
        <v>0.58126999999999884</v>
      </c>
      <c r="P555" s="6">
        <f t="shared" si="113"/>
        <v>1354.6456908749992</v>
      </c>
      <c r="Q555" s="3">
        <v>1354.6456908750001</v>
      </c>
      <c r="R555" s="6">
        <f t="shared" si="114"/>
        <v>0</v>
      </c>
      <c r="S555" s="6" t="str">
        <f t="shared" si="115"/>
        <v>OK</v>
      </c>
    </row>
    <row r="556" spans="1:19" x14ac:dyDescent="0.25">
      <c r="A556" s="3" t="str">
        <f t="shared" si="116"/>
        <v>09.05.2026</v>
      </c>
      <c r="B556" s="5">
        <v>59</v>
      </c>
      <c r="C556" s="5" t="s">
        <v>59</v>
      </c>
      <c r="D556" s="3">
        <v>8.2870499999999989</v>
      </c>
      <c r="E556" s="3">
        <v>5.5490700000000004</v>
      </c>
      <c r="F556" s="6">
        <f t="shared" si="104"/>
        <v>-2.7379799999999985</v>
      </c>
      <c r="G556" s="6">
        <f t="shared" si="105"/>
        <v>-0.33039260050319463</v>
      </c>
      <c r="H556" s="6" t="str">
        <f t="shared" si="106"/>
        <v>🔴 Under-injection</v>
      </c>
      <c r="I556" s="6">
        <f t="shared" si="107"/>
        <v>2.7379799999999985</v>
      </c>
      <c r="J556" s="3">
        <v>2.3736000000000002</v>
      </c>
      <c r="K556" s="6">
        <f t="shared" si="108"/>
        <v>1.2430574999999997</v>
      </c>
      <c r="L556" s="6">
        <f t="shared" si="109"/>
        <v>1.6574099999999998</v>
      </c>
      <c r="M556" s="6">
        <f t="shared" si="110"/>
        <v>1.2430574999999997</v>
      </c>
      <c r="N556" s="6">
        <f t="shared" si="111"/>
        <v>0.41435250000000012</v>
      </c>
      <c r="O556" s="6">
        <f t="shared" si="112"/>
        <v>1.0805699999999987</v>
      </c>
      <c r="P556" s="6">
        <f t="shared" si="113"/>
        <v>1814.4285729749993</v>
      </c>
      <c r="Q556" s="3">
        <v>1814.4285729749997</v>
      </c>
      <c r="R556" s="6">
        <f t="shared" si="114"/>
        <v>0</v>
      </c>
      <c r="S556" s="6" t="str">
        <f t="shared" si="115"/>
        <v>OK</v>
      </c>
    </row>
    <row r="557" spans="1:19" x14ac:dyDescent="0.25">
      <c r="A557" s="3" t="str">
        <f t="shared" si="116"/>
        <v>09.05.2026</v>
      </c>
      <c r="B557" s="5">
        <v>60</v>
      </c>
      <c r="C557" s="5" t="s">
        <v>58</v>
      </c>
      <c r="D557" s="3">
        <v>8.2870499999999989</v>
      </c>
      <c r="E557" s="3">
        <v>8.0455699999999997</v>
      </c>
      <c r="F557" s="6">
        <f t="shared" si="104"/>
        <v>-0.24147999999999925</v>
      </c>
      <c r="G557" s="6">
        <f t="shared" si="105"/>
        <v>-2.913944045227183E-2</v>
      </c>
      <c r="H557" s="6" t="str">
        <f t="shared" si="106"/>
        <v>🔴 Under-injection</v>
      </c>
      <c r="I557" s="6">
        <f t="shared" si="107"/>
        <v>0.24147999999999925</v>
      </c>
      <c r="J557" s="3">
        <v>2.3734000000000002</v>
      </c>
      <c r="K557" s="6">
        <f t="shared" si="108"/>
        <v>1.2430574999999997</v>
      </c>
      <c r="L557" s="6">
        <f t="shared" si="109"/>
        <v>1.6574099999999998</v>
      </c>
      <c r="M557" s="6">
        <f t="shared" si="110"/>
        <v>0.24147999999999925</v>
      </c>
      <c r="N557" s="6">
        <f t="shared" si="111"/>
        <v>0</v>
      </c>
      <c r="O557" s="6">
        <f t="shared" si="112"/>
        <v>0</v>
      </c>
      <c r="P557" s="6">
        <f t="shared" si="113"/>
        <v>150.44626589999953</v>
      </c>
      <c r="Q557" s="3">
        <v>150.44626590000001</v>
      </c>
      <c r="R557" s="6">
        <f t="shared" si="114"/>
        <v>-4.8316906031686813E-13</v>
      </c>
      <c r="S557" s="6" t="str">
        <f t="shared" si="115"/>
        <v>OK</v>
      </c>
    </row>
    <row r="558" spans="1:19" x14ac:dyDescent="0.25">
      <c r="A558" s="3" t="str">
        <f t="shared" si="116"/>
        <v>09.05.2026</v>
      </c>
      <c r="B558" s="5">
        <v>61</v>
      </c>
      <c r="C558" s="5" t="s">
        <v>57</v>
      </c>
      <c r="D558" s="3">
        <v>8.2870499999999989</v>
      </c>
      <c r="E558" s="3">
        <v>8.0455699999999997</v>
      </c>
      <c r="F558" s="6">
        <f t="shared" si="104"/>
        <v>-0.24147999999999925</v>
      </c>
      <c r="G558" s="6">
        <f t="shared" si="105"/>
        <v>-2.913944045227183E-2</v>
      </c>
      <c r="H558" s="6" t="str">
        <f t="shared" si="106"/>
        <v>🔴 Under-injection</v>
      </c>
      <c r="I558" s="6">
        <f t="shared" si="107"/>
        <v>0.24147999999999925</v>
      </c>
      <c r="J558" s="3">
        <v>2.1680999999999999</v>
      </c>
      <c r="K558" s="6">
        <f t="shared" si="108"/>
        <v>1.2430574999999997</v>
      </c>
      <c r="L558" s="6">
        <f t="shared" si="109"/>
        <v>1.6574099999999998</v>
      </c>
      <c r="M558" s="6">
        <f t="shared" si="110"/>
        <v>0.24147999999999925</v>
      </c>
      <c r="N558" s="6">
        <f t="shared" si="111"/>
        <v>0</v>
      </c>
      <c r="O558" s="6">
        <f t="shared" si="112"/>
        <v>0</v>
      </c>
      <c r="P558" s="6">
        <f t="shared" si="113"/>
        <v>137.43260684999959</v>
      </c>
      <c r="Q558" s="3">
        <v>137.43260685000001</v>
      </c>
      <c r="R558" s="6">
        <f t="shared" si="114"/>
        <v>-4.2632564145606011E-13</v>
      </c>
      <c r="S558" s="6" t="str">
        <f t="shared" si="115"/>
        <v>OK</v>
      </c>
    </row>
    <row r="559" spans="1:19" x14ac:dyDescent="0.25">
      <c r="A559" s="3" t="str">
        <f t="shared" si="116"/>
        <v>09.05.2026</v>
      </c>
      <c r="B559" s="5">
        <v>62</v>
      </c>
      <c r="C559" s="5" t="s">
        <v>56</v>
      </c>
      <c r="D559" s="3">
        <v>8.2870499999999989</v>
      </c>
      <c r="E559" s="3">
        <v>8.0342300000000009</v>
      </c>
      <c r="F559" s="6">
        <f t="shared" si="104"/>
        <v>-0.25281999999999805</v>
      </c>
      <c r="G559" s="6">
        <f t="shared" si="105"/>
        <v>-3.0507840546394445E-2</v>
      </c>
      <c r="H559" s="6" t="str">
        <f t="shared" si="106"/>
        <v>🔴 Under-injection</v>
      </c>
      <c r="I559" s="6">
        <f t="shared" si="107"/>
        <v>0.25281999999999805</v>
      </c>
      <c r="J559" s="3">
        <v>2.2034000000000002</v>
      </c>
      <c r="K559" s="6">
        <f t="shared" si="108"/>
        <v>1.2430574999999997</v>
      </c>
      <c r="L559" s="6">
        <f t="shared" si="109"/>
        <v>1.6574099999999998</v>
      </c>
      <c r="M559" s="6">
        <f t="shared" si="110"/>
        <v>0.25281999999999805</v>
      </c>
      <c r="N559" s="6">
        <f t="shared" si="111"/>
        <v>0</v>
      </c>
      <c r="O559" s="6">
        <f t="shared" si="112"/>
        <v>0</v>
      </c>
      <c r="P559" s="6">
        <f t="shared" si="113"/>
        <v>146.2291918499989</v>
      </c>
      <c r="Q559" s="3">
        <v>146.22919185000003</v>
      </c>
      <c r="R559" s="6">
        <f t="shared" si="114"/>
        <v>-1.1368683772161603E-12</v>
      </c>
      <c r="S559" s="6" t="str">
        <f t="shared" si="115"/>
        <v>OK</v>
      </c>
    </row>
    <row r="560" spans="1:19" x14ac:dyDescent="0.25">
      <c r="A560" s="3" t="str">
        <f t="shared" si="116"/>
        <v>09.05.2026</v>
      </c>
      <c r="B560" s="5">
        <v>63</v>
      </c>
      <c r="C560" s="5" t="s">
        <v>55</v>
      </c>
      <c r="D560" s="3">
        <v>7.6070500000000001</v>
      </c>
      <c r="E560" s="3">
        <v>7.6030100000000003</v>
      </c>
      <c r="F560" s="6">
        <f t="shared" si="104"/>
        <v>-4.0399999999998215E-3</v>
      </c>
      <c r="G560" s="6">
        <f t="shared" si="105"/>
        <v>-5.3108629495005576E-4</v>
      </c>
      <c r="H560" s="6" t="str">
        <f t="shared" si="106"/>
        <v>🔴 Under-injection</v>
      </c>
      <c r="I560" s="6">
        <f t="shared" si="107"/>
        <v>4.0399999999998215E-3</v>
      </c>
      <c r="J560" s="3">
        <v>2.2681999999999998</v>
      </c>
      <c r="K560" s="6">
        <f t="shared" si="108"/>
        <v>1.1410575000000001</v>
      </c>
      <c r="L560" s="6">
        <f t="shared" si="109"/>
        <v>1.5214100000000002</v>
      </c>
      <c r="M560" s="6">
        <f t="shared" si="110"/>
        <v>4.0399999999998215E-3</v>
      </c>
      <c r="N560" s="6">
        <f t="shared" si="111"/>
        <v>0</v>
      </c>
      <c r="O560" s="6">
        <f t="shared" si="112"/>
        <v>0</v>
      </c>
      <c r="P560" s="6">
        <f t="shared" si="113"/>
        <v>2.405426099999894</v>
      </c>
      <c r="Q560" s="3">
        <v>2.4054261000000001</v>
      </c>
      <c r="R560" s="6">
        <f t="shared" si="114"/>
        <v>-1.0613732115416497E-13</v>
      </c>
      <c r="S560" s="6" t="str">
        <f t="shared" si="115"/>
        <v>OK</v>
      </c>
    </row>
    <row r="561" spans="1:19" x14ac:dyDescent="0.25">
      <c r="A561" s="3" t="str">
        <f t="shared" si="116"/>
        <v>09.05.2026</v>
      </c>
      <c r="B561" s="5">
        <v>64</v>
      </c>
      <c r="C561" s="5" t="s">
        <v>54</v>
      </c>
      <c r="D561" s="3">
        <v>7.6070500000000001</v>
      </c>
      <c r="E561" s="3">
        <v>7.5462699999999998</v>
      </c>
      <c r="F561" s="6">
        <f t="shared" si="104"/>
        <v>-6.0780000000000278E-2</v>
      </c>
      <c r="G561" s="6">
        <f t="shared" si="105"/>
        <v>-7.9899566849173168E-3</v>
      </c>
      <c r="H561" s="6" t="str">
        <f t="shared" si="106"/>
        <v>🔴 Under-injection</v>
      </c>
      <c r="I561" s="6">
        <f t="shared" si="107"/>
        <v>6.0780000000000278E-2</v>
      </c>
      <c r="J561" s="3">
        <v>2.4125000000000001</v>
      </c>
      <c r="K561" s="6">
        <f t="shared" si="108"/>
        <v>1.1410575000000001</v>
      </c>
      <c r="L561" s="6">
        <f t="shared" si="109"/>
        <v>1.5214100000000002</v>
      </c>
      <c r="M561" s="6">
        <f t="shared" si="110"/>
        <v>6.0780000000000278E-2</v>
      </c>
      <c r="N561" s="6">
        <f t="shared" si="111"/>
        <v>0</v>
      </c>
      <c r="O561" s="6">
        <f t="shared" si="112"/>
        <v>0</v>
      </c>
      <c r="P561" s="6">
        <f t="shared" si="113"/>
        <v>38.490834375000176</v>
      </c>
      <c r="Q561" s="3">
        <v>38.490834375000006</v>
      </c>
      <c r="R561" s="6">
        <f t="shared" si="114"/>
        <v>1.7053025658242404E-13</v>
      </c>
      <c r="S561" s="6" t="str">
        <f t="shared" si="115"/>
        <v>OK</v>
      </c>
    </row>
    <row r="562" spans="1:19" x14ac:dyDescent="0.25">
      <c r="A562" s="3" t="str">
        <f t="shared" si="116"/>
        <v>09.05.2026</v>
      </c>
      <c r="B562" s="5">
        <v>65</v>
      </c>
      <c r="C562" s="5" t="s">
        <v>53</v>
      </c>
      <c r="D562" s="3">
        <v>8.0870499999999996</v>
      </c>
      <c r="E562" s="3">
        <v>7.6937899999999999</v>
      </c>
      <c r="F562" s="6">
        <f t="shared" si="104"/>
        <v>-0.39325999999999972</v>
      </c>
      <c r="G562" s="6">
        <f t="shared" si="105"/>
        <v>-4.8628362629141622E-2</v>
      </c>
      <c r="H562" s="6" t="str">
        <f t="shared" si="106"/>
        <v>🔴 Under-injection</v>
      </c>
      <c r="I562" s="6">
        <f t="shared" si="107"/>
        <v>0.39325999999999972</v>
      </c>
      <c r="J562" s="3">
        <v>2.5017</v>
      </c>
      <c r="K562" s="6">
        <f t="shared" si="108"/>
        <v>1.2130574999999999</v>
      </c>
      <c r="L562" s="6">
        <f t="shared" si="109"/>
        <v>1.61741</v>
      </c>
      <c r="M562" s="6">
        <f t="shared" si="110"/>
        <v>0.39325999999999972</v>
      </c>
      <c r="N562" s="6">
        <f t="shared" si="111"/>
        <v>0</v>
      </c>
      <c r="O562" s="6">
        <f t="shared" si="112"/>
        <v>0</v>
      </c>
      <c r="P562" s="6">
        <f t="shared" si="113"/>
        <v>258.25236727499981</v>
      </c>
      <c r="Q562" s="3">
        <v>258.25236727499998</v>
      </c>
      <c r="R562" s="6">
        <f t="shared" si="114"/>
        <v>0</v>
      </c>
      <c r="S562" s="6" t="str">
        <f t="shared" si="115"/>
        <v>OK</v>
      </c>
    </row>
    <row r="563" spans="1:19" x14ac:dyDescent="0.25">
      <c r="A563" s="3" t="str">
        <f t="shared" si="116"/>
        <v>09.05.2026</v>
      </c>
      <c r="B563" s="5">
        <v>66</v>
      </c>
      <c r="C563" s="5" t="s">
        <v>52</v>
      </c>
      <c r="D563" s="3">
        <v>8.0870499999999996</v>
      </c>
      <c r="E563" s="3">
        <v>7.8299599999999998</v>
      </c>
      <c r="F563" s="6">
        <f t="shared" si="104"/>
        <v>-0.25708999999999982</v>
      </c>
      <c r="G563" s="6">
        <f t="shared" si="105"/>
        <v>-3.1790331455846053E-2</v>
      </c>
      <c r="H563" s="6" t="str">
        <f t="shared" si="106"/>
        <v>🔴 Under-injection</v>
      </c>
      <c r="I563" s="6">
        <f t="shared" si="107"/>
        <v>0.25708999999999982</v>
      </c>
      <c r="J563" s="3">
        <v>2.5748000000000002</v>
      </c>
      <c r="K563" s="6">
        <f t="shared" si="108"/>
        <v>1.2130574999999999</v>
      </c>
      <c r="L563" s="6">
        <f t="shared" si="109"/>
        <v>1.61741</v>
      </c>
      <c r="M563" s="6">
        <f t="shared" si="110"/>
        <v>0.25708999999999982</v>
      </c>
      <c r="N563" s="6">
        <f t="shared" si="111"/>
        <v>0</v>
      </c>
      <c r="O563" s="6">
        <f t="shared" si="112"/>
        <v>0</v>
      </c>
      <c r="P563" s="6">
        <f t="shared" si="113"/>
        <v>173.76327464999989</v>
      </c>
      <c r="Q563" s="3">
        <v>173.76327465000003</v>
      </c>
      <c r="R563" s="6">
        <f t="shared" si="114"/>
        <v>0</v>
      </c>
      <c r="S563" s="6" t="str">
        <f t="shared" si="115"/>
        <v>OK</v>
      </c>
    </row>
    <row r="564" spans="1:19" x14ac:dyDescent="0.25">
      <c r="A564" s="3" t="str">
        <f t="shared" si="116"/>
        <v>09.05.2026</v>
      </c>
      <c r="B564" s="5">
        <v>67</v>
      </c>
      <c r="C564" s="5" t="s">
        <v>51</v>
      </c>
      <c r="D564" s="3">
        <v>8.0870499999999996</v>
      </c>
      <c r="E564" s="3">
        <v>7.8299599999999998</v>
      </c>
      <c r="F564" s="6">
        <f t="shared" si="104"/>
        <v>-0.25708999999999982</v>
      </c>
      <c r="G564" s="6">
        <f t="shared" si="105"/>
        <v>-3.1790331455846053E-2</v>
      </c>
      <c r="H564" s="6" t="str">
        <f t="shared" si="106"/>
        <v>🔴 Under-injection</v>
      </c>
      <c r="I564" s="6">
        <f t="shared" si="107"/>
        <v>0.25708999999999982</v>
      </c>
      <c r="J564" s="3">
        <v>2.6943000000000001</v>
      </c>
      <c r="K564" s="6">
        <f t="shared" si="108"/>
        <v>1.2130574999999999</v>
      </c>
      <c r="L564" s="6">
        <f t="shared" si="109"/>
        <v>1.61741</v>
      </c>
      <c r="M564" s="6">
        <f t="shared" si="110"/>
        <v>0.25708999999999982</v>
      </c>
      <c r="N564" s="6">
        <f t="shared" si="111"/>
        <v>0</v>
      </c>
      <c r="O564" s="6">
        <f t="shared" si="112"/>
        <v>0</v>
      </c>
      <c r="P564" s="6">
        <f t="shared" si="113"/>
        <v>181.8278665874999</v>
      </c>
      <c r="Q564" s="3">
        <v>181.82786658750001</v>
      </c>
      <c r="R564" s="6">
        <f t="shared" si="114"/>
        <v>0</v>
      </c>
      <c r="S564" s="6" t="str">
        <f t="shared" si="115"/>
        <v>OK</v>
      </c>
    </row>
    <row r="565" spans="1:19" x14ac:dyDescent="0.25">
      <c r="A565" s="3" t="str">
        <f t="shared" si="116"/>
        <v>09.05.2026</v>
      </c>
      <c r="B565" s="5">
        <v>68</v>
      </c>
      <c r="C565" s="5" t="s">
        <v>50</v>
      </c>
      <c r="D565" s="3">
        <v>8.0870499999999996</v>
      </c>
      <c r="E565" s="3">
        <v>7.8299599999999998</v>
      </c>
      <c r="F565" s="6">
        <f t="shared" si="104"/>
        <v>-0.25708999999999982</v>
      </c>
      <c r="G565" s="6">
        <f t="shared" si="105"/>
        <v>-3.1790331455846053E-2</v>
      </c>
      <c r="H565" s="6" t="str">
        <f t="shared" si="106"/>
        <v>🔴 Under-injection</v>
      </c>
      <c r="I565" s="6">
        <f t="shared" si="107"/>
        <v>0.25708999999999982</v>
      </c>
      <c r="J565" s="3">
        <v>2.7004000000000001</v>
      </c>
      <c r="K565" s="6">
        <f t="shared" si="108"/>
        <v>1.2130574999999999</v>
      </c>
      <c r="L565" s="6">
        <f t="shared" si="109"/>
        <v>1.61741</v>
      </c>
      <c r="M565" s="6">
        <f t="shared" si="110"/>
        <v>0.25708999999999982</v>
      </c>
      <c r="N565" s="6">
        <f t="shared" si="111"/>
        <v>0</v>
      </c>
      <c r="O565" s="6">
        <f t="shared" si="112"/>
        <v>0</v>
      </c>
      <c r="P565" s="6">
        <f t="shared" si="113"/>
        <v>182.23953194999987</v>
      </c>
      <c r="Q565" s="3">
        <v>182.23953195000001</v>
      </c>
      <c r="R565" s="6">
        <f t="shared" si="114"/>
        <v>0</v>
      </c>
      <c r="S565" s="6" t="str">
        <f t="shared" si="115"/>
        <v>OK</v>
      </c>
    </row>
    <row r="566" spans="1:19" x14ac:dyDescent="0.25">
      <c r="A566" s="3" t="str">
        <f t="shared" si="116"/>
        <v>09.05.2026</v>
      </c>
      <c r="B566" s="5">
        <v>69</v>
      </c>
      <c r="C566" s="5" t="s">
        <v>49</v>
      </c>
      <c r="D566" s="3">
        <v>8.0870499999999996</v>
      </c>
      <c r="E566" s="3">
        <v>7.8299599999999998</v>
      </c>
      <c r="F566" s="6">
        <f t="shared" si="104"/>
        <v>-0.25708999999999982</v>
      </c>
      <c r="G566" s="6">
        <f t="shared" si="105"/>
        <v>-3.1790331455846053E-2</v>
      </c>
      <c r="H566" s="6" t="str">
        <f t="shared" si="106"/>
        <v>🔴 Under-injection</v>
      </c>
      <c r="I566" s="6">
        <f t="shared" si="107"/>
        <v>0.25708999999999982</v>
      </c>
      <c r="J566" s="3">
        <v>2.7747000000000002</v>
      </c>
      <c r="K566" s="6">
        <f t="shared" si="108"/>
        <v>1.2130574999999999</v>
      </c>
      <c r="L566" s="6">
        <f t="shared" si="109"/>
        <v>1.61741</v>
      </c>
      <c r="M566" s="6">
        <f t="shared" si="110"/>
        <v>0.25708999999999982</v>
      </c>
      <c r="N566" s="6">
        <f t="shared" si="111"/>
        <v>0</v>
      </c>
      <c r="O566" s="6">
        <f t="shared" si="112"/>
        <v>0</v>
      </c>
      <c r="P566" s="6">
        <f t="shared" si="113"/>
        <v>187.25375103749988</v>
      </c>
      <c r="Q566" s="3">
        <v>187.2537510375</v>
      </c>
      <c r="R566" s="6">
        <f t="shared" si="114"/>
        <v>0</v>
      </c>
      <c r="S566" s="6" t="str">
        <f t="shared" si="115"/>
        <v>OK</v>
      </c>
    </row>
    <row r="567" spans="1:19" x14ac:dyDescent="0.25">
      <c r="A567" s="3" t="str">
        <f t="shared" si="116"/>
        <v>09.05.2026</v>
      </c>
      <c r="B567" s="5">
        <v>70</v>
      </c>
      <c r="C567" s="5" t="s">
        <v>48</v>
      </c>
      <c r="D567" s="3">
        <v>8.0870499999999996</v>
      </c>
      <c r="E567" s="3">
        <v>7.8299599999999998</v>
      </c>
      <c r="F567" s="6">
        <f t="shared" si="104"/>
        <v>-0.25708999999999982</v>
      </c>
      <c r="G567" s="6">
        <f t="shared" si="105"/>
        <v>-3.1790331455846053E-2</v>
      </c>
      <c r="H567" s="6" t="str">
        <f t="shared" si="106"/>
        <v>🔴 Under-injection</v>
      </c>
      <c r="I567" s="6">
        <f t="shared" si="107"/>
        <v>0.25708999999999982</v>
      </c>
      <c r="J567" s="3">
        <v>2.9256000000000002</v>
      </c>
      <c r="K567" s="6">
        <f t="shared" si="108"/>
        <v>1.2130574999999999</v>
      </c>
      <c r="L567" s="6">
        <f t="shared" si="109"/>
        <v>1.61741</v>
      </c>
      <c r="M567" s="6">
        <f t="shared" si="110"/>
        <v>0.25708999999999982</v>
      </c>
      <c r="N567" s="6">
        <f t="shared" si="111"/>
        <v>0</v>
      </c>
      <c r="O567" s="6">
        <f t="shared" si="112"/>
        <v>0</v>
      </c>
      <c r="P567" s="6">
        <f t="shared" si="113"/>
        <v>197.43740729999988</v>
      </c>
      <c r="Q567" s="3">
        <v>197.43740730000002</v>
      </c>
      <c r="R567" s="6">
        <f t="shared" si="114"/>
        <v>0</v>
      </c>
      <c r="S567" s="6" t="str">
        <f t="shared" si="115"/>
        <v>OK</v>
      </c>
    </row>
    <row r="568" spans="1:19" x14ac:dyDescent="0.25">
      <c r="A568" s="3" t="str">
        <f t="shared" si="116"/>
        <v>09.05.2026</v>
      </c>
      <c r="B568" s="5">
        <v>71</v>
      </c>
      <c r="C568" s="5" t="s">
        <v>47</v>
      </c>
      <c r="D568" s="3">
        <v>8.0870499999999996</v>
      </c>
      <c r="E568" s="3">
        <v>7.8413199999999996</v>
      </c>
      <c r="F568" s="6">
        <f t="shared" si="104"/>
        <v>-0.24573</v>
      </c>
      <c r="G568" s="6">
        <f t="shared" si="105"/>
        <v>-3.038561651034679E-2</v>
      </c>
      <c r="H568" s="6" t="str">
        <f t="shared" si="106"/>
        <v>🔴 Under-injection</v>
      </c>
      <c r="I568" s="6">
        <f t="shared" si="107"/>
        <v>0.24573</v>
      </c>
      <c r="J568" s="3">
        <v>3.3685</v>
      </c>
      <c r="K568" s="6">
        <f t="shared" si="108"/>
        <v>1.2130574999999999</v>
      </c>
      <c r="L568" s="6">
        <f t="shared" si="109"/>
        <v>1.61741</v>
      </c>
      <c r="M568" s="6">
        <f t="shared" si="110"/>
        <v>0.24573</v>
      </c>
      <c r="N568" s="6">
        <f t="shared" si="111"/>
        <v>0</v>
      </c>
      <c r="O568" s="6">
        <f t="shared" si="112"/>
        <v>0</v>
      </c>
      <c r="P568" s="6">
        <f t="shared" si="113"/>
        <v>217.28214506250004</v>
      </c>
      <c r="Q568" s="3">
        <v>217.28214506250001</v>
      </c>
      <c r="R568" s="6">
        <f t="shared" si="114"/>
        <v>0</v>
      </c>
      <c r="S568" s="6" t="str">
        <f t="shared" si="115"/>
        <v>OK</v>
      </c>
    </row>
    <row r="569" spans="1:19" x14ac:dyDescent="0.25">
      <c r="A569" s="3" t="str">
        <f t="shared" si="116"/>
        <v>09.05.2026</v>
      </c>
      <c r="B569" s="5">
        <v>72</v>
      </c>
      <c r="C569" s="5" t="s">
        <v>46</v>
      </c>
      <c r="D569" s="3">
        <v>8.0870499999999996</v>
      </c>
      <c r="E569" s="3">
        <v>7.8413199999999996</v>
      </c>
      <c r="F569" s="6">
        <f t="shared" si="104"/>
        <v>-0.24573</v>
      </c>
      <c r="G569" s="6">
        <f t="shared" si="105"/>
        <v>-3.038561651034679E-2</v>
      </c>
      <c r="H569" s="6" t="str">
        <f t="shared" si="106"/>
        <v>🔴 Under-injection</v>
      </c>
      <c r="I569" s="6">
        <f t="shared" si="107"/>
        <v>0.24573</v>
      </c>
      <c r="J569" s="3">
        <v>3.6474000000000002</v>
      </c>
      <c r="K569" s="6">
        <f t="shared" si="108"/>
        <v>1.2130574999999999</v>
      </c>
      <c r="L569" s="6">
        <f t="shared" si="109"/>
        <v>1.61741</v>
      </c>
      <c r="M569" s="6">
        <f t="shared" si="110"/>
        <v>0.24573</v>
      </c>
      <c r="N569" s="6">
        <f t="shared" si="111"/>
        <v>0</v>
      </c>
      <c r="O569" s="6">
        <f t="shared" si="112"/>
        <v>0</v>
      </c>
      <c r="P569" s="6">
        <f t="shared" si="113"/>
        <v>235.27234552500005</v>
      </c>
      <c r="Q569" s="3">
        <v>235.27234552500005</v>
      </c>
      <c r="R569" s="6">
        <f t="shared" si="114"/>
        <v>0</v>
      </c>
      <c r="S569" s="6" t="str">
        <f t="shared" si="115"/>
        <v>OK</v>
      </c>
    </row>
    <row r="570" spans="1:19" x14ac:dyDescent="0.25">
      <c r="A570" s="3" t="str">
        <f t="shared" si="116"/>
        <v>09.05.2026</v>
      </c>
      <c r="B570" s="5">
        <v>73</v>
      </c>
      <c r="C570" s="5" t="s">
        <v>45</v>
      </c>
      <c r="D570" s="3">
        <v>8.0870499999999996</v>
      </c>
      <c r="E570" s="3">
        <v>8.1590500000000006</v>
      </c>
      <c r="F570" s="6">
        <f t="shared" si="104"/>
        <v>7.2000000000000952E-2</v>
      </c>
      <c r="G570" s="6">
        <f t="shared" si="105"/>
        <v>8.9031228940096765E-3</v>
      </c>
      <c r="H570" s="6" t="str">
        <f t="shared" si="106"/>
        <v>🟢 Over-injection</v>
      </c>
      <c r="I570" s="6">
        <f t="shared" si="107"/>
        <v>-7.2000000000000952E-2</v>
      </c>
      <c r="J570" s="3">
        <v>3.7700999999999998</v>
      </c>
      <c r="K570" s="6">
        <f t="shared" si="108"/>
        <v>1.2130574999999999</v>
      </c>
      <c r="L570" s="6">
        <f t="shared" si="109"/>
        <v>1.61741</v>
      </c>
      <c r="M570" s="6">
        <f t="shared" si="110"/>
        <v>7.2000000000000952E-2</v>
      </c>
      <c r="N570" s="6">
        <f t="shared" si="111"/>
        <v>0</v>
      </c>
      <c r="O570" s="6">
        <f t="shared" si="112"/>
        <v>0</v>
      </c>
      <c r="P570" s="6">
        <f t="shared" si="113"/>
        <v>-54.289440000000717</v>
      </c>
      <c r="Q570" s="3">
        <v>-54.289439999999992</v>
      </c>
      <c r="R570" s="6">
        <f t="shared" si="114"/>
        <v>-7.2475359047530219E-13</v>
      </c>
      <c r="S570" s="6" t="str">
        <f t="shared" si="115"/>
        <v>OK</v>
      </c>
    </row>
    <row r="571" spans="1:19" x14ac:dyDescent="0.25">
      <c r="A571" s="3" t="str">
        <f t="shared" si="116"/>
        <v>09.05.2026</v>
      </c>
      <c r="B571" s="5">
        <v>74</v>
      </c>
      <c r="C571" s="5" t="s">
        <v>44</v>
      </c>
      <c r="D571" s="3">
        <v>8.0870499999999996</v>
      </c>
      <c r="E571" s="3">
        <v>9.0895600000000005</v>
      </c>
      <c r="F571" s="6">
        <f t="shared" si="104"/>
        <v>1.0025100000000009</v>
      </c>
      <c r="G571" s="6">
        <f t="shared" si="105"/>
        <v>0.12396485739546571</v>
      </c>
      <c r="H571" s="6" t="str">
        <f t="shared" si="106"/>
        <v>🟢 Over-injection</v>
      </c>
      <c r="I571" s="6">
        <f t="shared" si="107"/>
        <v>-1.0025100000000009</v>
      </c>
      <c r="J571" s="3">
        <v>4.3933999999999997</v>
      </c>
      <c r="K571" s="6">
        <f t="shared" si="108"/>
        <v>1.2130574999999999</v>
      </c>
      <c r="L571" s="6">
        <f t="shared" si="109"/>
        <v>1.61741</v>
      </c>
      <c r="M571" s="6">
        <f t="shared" si="110"/>
        <v>1.0025100000000009</v>
      </c>
      <c r="N571" s="6">
        <f t="shared" si="111"/>
        <v>0</v>
      </c>
      <c r="O571" s="6">
        <f t="shared" si="112"/>
        <v>0</v>
      </c>
      <c r="P571" s="6">
        <f t="shared" si="113"/>
        <v>-880.88548680000076</v>
      </c>
      <c r="Q571" s="3">
        <v>-880.88548679999997</v>
      </c>
      <c r="R571" s="6">
        <f t="shared" si="114"/>
        <v>0</v>
      </c>
      <c r="S571" s="6" t="str">
        <f t="shared" si="115"/>
        <v>OK</v>
      </c>
    </row>
    <row r="572" spans="1:19" x14ac:dyDescent="0.25">
      <c r="A572" s="3" t="str">
        <f t="shared" si="116"/>
        <v>09.05.2026</v>
      </c>
      <c r="B572" s="5">
        <v>75</v>
      </c>
      <c r="C572" s="5" t="s">
        <v>43</v>
      </c>
      <c r="D572" s="3">
        <v>8.7670499999999993</v>
      </c>
      <c r="E572" s="3">
        <v>8.7264400000000002</v>
      </c>
      <c r="F572" s="6">
        <f t="shared" si="104"/>
        <v>-4.0609999999999147E-2</v>
      </c>
      <c r="G572" s="6">
        <f t="shared" si="105"/>
        <v>-4.6321168466016676E-3</v>
      </c>
      <c r="H572" s="6" t="str">
        <f t="shared" si="106"/>
        <v>🔴 Under-injection</v>
      </c>
      <c r="I572" s="6">
        <f t="shared" si="107"/>
        <v>4.0609999999999147E-2</v>
      </c>
      <c r="J572" s="3">
        <v>4.9912999999999998</v>
      </c>
      <c r="K572" s="6">
        <f t="shared" si="108"/>
        <v>1.3150574999999998</v>
      </c>
      <c r="L572" s="6">
        <f t="shared" si="109"/>
        <v>1.7534099999999999</v>
      </c>
      <c r="M572" s="6">
        <f t="shared" si="110"/>
        <v>4.0609999999999147E-2</v>
      </c>
      <c r="N572" s="6">
        <f t="shared" si="111"/>
        <v>0</v>
      </c>
      <c r="O572" s="6">
        <f t="shared" si="112"/>
        <v>0</v>
      </c>
      <c r="P572" s="6">
        <f t="shared" si="113"/>
        <v>53.207881912498884</v>
      </c>
      <c r="Q572" s="3">
        <v>53.207881912500007</v>
      </c>
      <c r="R572" s="6">
        <f t="shared" si="114"/>
        <v>-1.1226575225009583E-12</v>
      </c>
      <c r="S572" s="6" t="str">
        <f t="shared" si="115"/>
        <v>OK</v>
      </c>
    </row>
    <row r="573" spans="1:19" x14ac:dyDescent="0.25">
      <c r="A573" s="3" t="str">
        <f t="shared" si="116"/>
        <v>09.05.2026</v>
      </c>
      <c r="B573" s="5">
        <v>76</v>
      </c>
      <c r="C573" s="5" t="s">
        <v>42</v>
      </c>
      <c r="D573" s="3">
        <v>8.7670499999999993</v>
      </c>
      <c r="E573" s="3">
        <v>8.8626100000000001</v>
      </c>
      <c r="F573" s="6">
        <f t="shared" si="104"/>
        <v>9.5560000000000755E-2</v>
      </c>
      <c r="G573" s="6">
        <f t="shared" si="105"/>
        <v>1.089990361638188E-2</v>
      </c>
      <c r="H573" s="6" t="str">
        <f t="shared" si="106"/>
        <v>🟢 Over-injection</v>
      </c>
      <c r="I573" s="6">
        <f t="shared" si="107"/>
        <v>-9.5560000000000755E-2</v>
      </c>
      <c r="J573" s="3">
        <v>6.1892999999999994</v>
      </c>
      <c r="K573" s="6">
        <f t="shared" si="108"/>
        <v>1.3150574999999998</v>
      </c>
      <c r="L573" s="6">
        <f t="shared" si="109"/>
        <v>1.7534099999999999</v>
      </c>
      <c r="M573" s="6">
        <f t="shared" si="110"/>
        <v>9.5560000000000755E-2</v>
      </c>
      <c r="N573" s="6">
        <f t="shared" si="111"/>
        <v>0</v>
      </c>
      <c r="O573" s="6">
        <f t="shared" si="112"/>
        <v>0</v>
      </c>
      <c r="P573" s="6">
        <f t="shared" si="113"/>
        <v>-118.28990160000095</v>
      </c>
      <c r="Q573" s="3">
        <v>-118.28990159999999</v>
      </c>
      <c r="R573" s="6">
        <f t="shared" si="114"/>
        <v>-9.5212726591853425E-13</v>
      </c>
      <c r="S573" s="6" t="str">
        <f t="shared" si="115"/>
        <v>OK</v>
      </c>
    </row>
    <row r="574" spans="1:19" x14ac:dyDescent="0.25">
      <c r="A574" s="3" t="str">
        <f t="shared" si="116"/>
        <v>09.05.2026</v>
      </c>
      <c r="B574" s="5">
        <v>77</v>
      </c>
      <c r="C574" s="5" t="s">
        <v>41</v>
      </c>
      <c r="D574" s="3">
        <v>8.7670499999999993</v>
      </c>
      <c r="E574" s="3">
        <v>9.1463099999999997</v>
      </c>
      <c r="F574" s="6">
        <f t="shared" si="104"/>
        <v>0.37926000000000037</v>
      </c>
      <c r="G574" s="6">
        <f t="shared" si="105"/>
        <v>4.3259705374099656E-2</v>
      </c>
      <c r="H574" s="6" t="str">
        <f t="shared" si="106"/>
        <v>🟢 Over-injection</v>
      </c>
      <c r="I574" s="6">
        <f t="shared" si="107"/>
        <v>-0.37926000000000037</v>
      </c>
      <c r="J574" s="3">
        <v>6.8026</v>
      </c>
      <c r="K574" s="6">
        <f t="shared" si="108"/>
        <v>1.3150574999999998</v>
      </c>
      <c r="L574" s="6">
        <f t="shared" si="109"/>
        <v>1.7534099999999999</v>
      </c>
      <c r="M574" s="6">
        <f t="shared" si="110"/>
        <v>0.37926000000000037</v>
      </c>
      <c r="N574" s="6">
        <f t="shared" si="111"/>
        <v>0</v>
      </c>
      <c r="O574" s="6">
        <f t="shared" si="112"/>
        <v>0</v>
      </c>
      <c r="P574" s="6">
        <f t="shared" si="113"/>
        <v>-515.99081520000061</v>
      </c>
      <c r="Q574" s="3">
        <v>-515.99081520000004</v>
      </c>
      <c r="R574" s="6">
        <f t="shared" si="114"/>
        <v>0</v>
      </c>
      <c r="S574" s="6" t="str">
        <f t="shared" si="115"/>
        <v>OK</v>
      </c>
    </row>
    <row r="575" spans="1:19" x14ac:dyDescent="0.25">
      <c r="A575" s="3" t="str">
        <f t="shared" si="116"/>
        <v>09.05.2026</v>
      </c>
      <c r="B575" s="5">
        <v>78</v>
      </c>
      <c r="C575" s="5" t="s">
        <v>40</v>
      </c>
      <c r="D575" s="3">
        <v>8.7670499999999993</v>
      </c>
      <c r="E575" s="3">
        <v>9.1463099999999997</v>
      </c>
      <c r="F575" s="6">
        <f t="shared" si="104"/>
        <v>0.37926000000000037</v>
      </c>
      <c r="G575" s="6">
        <f t="shared" si="105"/>
        <v>4.3259705374099656E-2</v>
      </c>
      <c r="H575" s="6" t="str">
        <f t="shared" si="106"/>
        <v>🟢 Over-injection</v>
      </c>
      <c r="I575" s="6">
        <f t="shared" si="107"/>
        <v>-0.37926000000000037</v>
      </c>
      <c r="J575" s="3">
        <v>9.0230999999999995</v>
      </c>
      <c r="K575" s="6">
        <f t="shared" si="108"/>
        <v>1.3150574999999998</v>
      </c>
      <c r="L575" s="6">
        <f t="shared" si="109"/>
        <v>1.7534099999999999</v>
      </c>
      <c r="M575" s="6">
        <f t="shared" si="110"/>
        <v>0.37926000000000037</v>
      </c>
      <c r="N575" s="6">
        <f t="shared" si="111"/>
        <v>0</v>
      </c>
      <c r="O575" s="6">
        <f t="shared" si="112"/>
        <v>0</v>
      </c>
      <c r="P575" s="6">
        <f t="shared" si="113"/>
        <v>-684.42018120000068</v>
      </c>
      <c r="Q575" s="3">
        <v>-684.42018119999989</v>
      </c>
      <c r="R575" s="6">
        <f t="shared" si="114"/>
        <v>0</v>
      </c>
      <c r="S575" s="6" t="str">
        <f t="shared" si="115"/>
        <v>OK</v>
      </c>
    </row>
    <row r="576" spans="1:19" x14ac:dyDescent="0.25">
      <c r="A576" s="3" t="str">
        <f t="shared" si="116"/>
        <v>09.05.2026</v>
      </c>
      <c r="B576" s="5">
        <v>79</v>
      </c>
      <c r="C576" s="5" t="s">
        <v>39</v>
      </c>
      <c r="D576" s="3">
        <v>10.48705</v>
      </c>
      <c r="E576" s="3">
        <v>10.46265</v>
      </c>
      <c r="F576" s="6">
        <f t="shared" si="104"/>
        <v>-2.4399999999999977E-2</v>
      </c>
      <c r="G576" s="6">
        <f t="shared" si="105"/>
        <v>-2.3266790946929765E-3</v>
      </c>
      <c r="H576" s="6" t="str">
        <f t="shared" si="106"/>
        <v>🔴 Under-injection</v>
      </c>
      <c r="I576" s="6">
        <f t="shared" si="107"/>
        <v>2.4399999999999977E-2</v>
      </c>
      <c r="J576" s="3">
        <v>10</v>
      </c>
      <c r="K576" s="6">
        <f t="shared" si="108"/>
        <v>1.5730575</v>
      </c>
      <c r="L576" s="6">
        <f t="shared" si="109"/>
        <v>2.09741</v>
      </c>
      <c r="M576" s="6">
        <f t="shared" si="110"/>
        <v>2.4399999999999977E-2</v>
      </c>
      <c r="N576" s="6">
        <f t="shared" si="111"/>
        <v>0</v>
      </c>
      <c r="O576" s="6">
        <f t="shared" si="112"/>
        <v>0</v>
      </c>
      <c r="P576" s="6">
        <f t="shared" si="113"/>
        <v>64.04999999999994</v>
      </c>
      <c r="Q576" s="3">
        <v>64.050000000000011</v>
      </c>
      <c r="R576" s="6">
        <f t="shared" si="114"/>
        <v>0</v>
      </c>
      <c r="S576" s="6" t="str">
        <f t="shared" si="115"/>
        <v>OK</v>
      </c>
    </row>
    <row r="577" spans="1:19" x14ac:dyDescent="0.25">
      <c r="A577" s="3" t="str">
        <f t="shared" si="116"/>
        <v>09.05.2026</v>
      </c>
      <c r="B577" s="5">
        <v>80</v>
      </c>
      <c r="C577" s="5" t="s">
        <v>38</v>
      </c>
      <c r="D577" s="3">
        <v>10.47705</v>
      </c>
      <c r="E577" s="3">
        <v>10.61017</v>
      </c>
      <c r="F577" s="6">
        <f t="shared" si="104"/>
        <v>0.13311999999999991</v>
      </c>
      <c r="G577" s="6">
        <f t="shared" si="105"/>
        <v>1.2705866632305839E-2</v>
      </c>
      <c r="H577" s="6" t="str">
        <f t="shared" si="106"/>
        <v>🟢 Over-injection</v>
      </c>
      <c r="I577" s="6">
        <f t="shared" si="107"/>
        <v>-0.13311999999999991</v>
      </c>
      <c r="J577" s="3">
        <v>10</v>
      </c>
      <c r="K577" s="6">
        <f t="shared" si="108"/>
        <v>1.5715574999999999</v>
      </c>
      <c r="L577" s="6">
        <f t="shared" si="109"/>
        <v>2.0954100000000002</v>
      </c>
      <c r="M577" s="6">
        <f t="shared" si="110"/>
        <v>0.13311999999999991</v>
      </c>
      <c r="N577" s="6">
        <f t="shared" si="111"/>
        <v>0</v>
      </c>
      <c r="O577" s="6">
        <f t="shared" si="112"/>
        <v>0</v>
      </c>
      <c r="P577" s="6">
        <f t="shared" si="113"/>
        <v>-266.23999999999978</v>
      </c>
      <c r="Q577" s="3">
        <v>-266.23999999999995</v>
      </c>
      <c r="R577" s="6">
        <f t="shared" si="114"/>
        <v>0</v>
      </c>
      <c r="S577" s="6" t="str">
        <f t="shared" si="115"/>
        <v>OK</v>
      </c>
    </row>
    <row r="578" spans="1:19" x14ac:dyDescent="0.25">
      <c r="A578" s="3" t="str">
        <f t="shared" si="116"/>
        <v>09.05.2026</v>
      </c>
      <c r="B578" s="5">
        <v>81</v>
      </c>
      <c r="C578" s="5" t="s">
        <v>37</v>
      </c>
      <c r="D578" s="3">
        <v>10.467049999999999</v>
      </c>
      <c r="E578" s="3">
        <v>10.9506</v>
      </c>
      <c r="F578" s="6">
        <f t="shared" si="104"/>
        <v>0.48355000000000103</v>
      </c>
      <c r="G578" s="6">
        <f t="shared" si="105"/>
        <v>4.6197352644728087E-2</v>
      </c>
      <c r="H578" s="6" t="str">
        <f t="shared" si="106"/>
        <v>🟢 Over-injection</v>
      </c>
      <c r="I578" s="6">
        <f t="shared" si="107"/>
        <v>-0.48355000000000103</v>
      </c>
      <c r="J578" s="3">
        <v>9.5129000000000001</v>
      </c>
      <c r="K578" s="6">
        <f t="shared" si="108"/>
        <v>1.5700574999999997</v>
      </c>
      <c r="L578" s="6">
        <f t="shared" si="109"/>
        <v>2.09341</v>
      </c>
      <c r="M578" s="6">
        <f t="shared" si="110"/>
        <v>0.48355000000000103</v>
      </c>
      <c r="N578" s="6">
        <f t="shared" si="111"/>
        <v>0</v>
      </c>
      <c r="O578" s="6">
        <f t="shared" si="112"/>
        <v>0</v>
      </c>
      <c r="P578" s="6">
        <f t="shared" si="113"/>
        <v>-919.99255900000196</v>
      </c>
      <c r="Q578" s="3">
        <v>-919.99255900000003</v>
      </c>
      <c r="R578" s="6">
        <f t="shared" si="114"/>
        <v>-1.9326762412674725E-12</v>
      </c>
      <c r="S578" s="6" t="str">
        <f t="shared" si="115"/>
        <v>OK</v>
      </c>
    </row>
    <row r="579" spans="1:19" x14ac:dyDescent="0.25">
      <c r="A579" s="3" t="str">
        <f t="shared" si="116"/>
        <v>09.05.2026</v>
      </c>
      <c r="B579" s="5">
        <v>82</v>
      </c>
      <c r="C579" s="5" t="s">
        <v>36</v>
      </c>
      <c r="D579" s="3">
        <v>10.367050000000001</v>
      </c>
      <c r="E579" s="3">
        <v>11.77899</v>
      </c>
      <c r="F579" s="6">
        <f t="shared" si="104"/>
        <v>1.4119399999999995</v>
      </c>
      <c r="G579" s="6">
        <f t="shared" si="105"/>
        <v>0.13619496385181892</v>
      </c>
      <c r="H579" s="6" t="str">
        <f t="shared" si="106"/>
        <v>🟢 Over-injection</v>
      </c>
      <c r="I579" s="6">
        <f t="shared" si="107"/>
        <v>-1.4119399999999995</v>
      </c>
      <c r="J579" s="3">
        <v>10</v>
      </c>
      <c r="K579" s="6">
        <f t="shared" si="108"/>
        <v>1.5550575</v>
      </c>
      <c r="L579" s="6">
        <f t="shared" si="109"/>
        <v>2.0734100000000004</v>
      </c>
      <c r="M579" s="6">
        <f t="shared" si="110"/>
        <v>1.4119399999999995</v>
      </c>
      <c r="N579" s="6">
        <f t="shared" si="111"/>
        <v>0</v>
      </c>
      <c r="O579" s="6">
        <f t="shared" si="112"/>
        <v>0</v>
      </c>
      <c r="P579" s="6">
        <f t="shared" si="113"/>
        <v>-2823.8799999999992</v>
      </c>
      <c r="Q579" s="3">
        <v>-2823.88</v>
      </c>
      <c r="R579" s="6">
        <f t="shared" si="114"/>
        <v>0</v>
      </c>
      <c r="S579" s="6" t="str">
        <f t="shared" si="115"/>
        <v>OK</v>
      </c>
    </row>
    <row r="580" spans="1:19" x14ac:dyDescent="0.25">
      <c r="A580" s="3" t="str">
        <f t="shared" si="116"/>
        <v>09.05.2026</v>
      </c>
      <c r="B580" s="5">
        <v>83</v>
      </c>
      <c r="C580" s="5" t="s">
        <v>35</v>
      </c>
      <c r="D580" s="3">
        <v>10.367049999999999</v>
      </c>
      <c r="E580" s="3">
        <v>11.60877</v>
      </c>
      <c r="F580" s="6">
        <f t="shared" si="104"/>
        <v>1.2417200000000008</v>
      </c>
      <c r="G580" s="6">
        <f t="shared" si="105"/>
        <v>0.11977563530609006</v>
      </c>
      <c r="H580" s="6" t="str">
        <f t="shared" si="106"/>
        <v>🟢 Over-injection</v>
      </c>
      <c r="I580" s="6">
        <f t="shared" si="107"/>
        <v>-1.2417200000000008</v>
      </c>
      <c r="J580" s="3">
        <v>10</v>
      </c>
      <c r="K580" s="6">
        <f t="shared" si="108"/>
        <v>1.5550574999999998</v>
      </c>
      <c r="L580" s="6">
        <f t="shared" si="109"/>
        <v>2.07341</v>
      </c>
      <c r="M580" s="6">
        <f t="shared" si="110"/>
        <v>1.2417200000000008</v>
      </c>
      <c r="N580" s="6">
        <f t="shared" si="111"/>
        <v>0</v>
      </c>
      <c r="O580" s="6">
        <f t="shared" si="112"/>
        <v>0</v>
      </c>
      <c r="P580" s="6">
        <f t="shared" si="113"/>
        <v>-2483.4400000000014</v>
      </c>
      <c r="Q580" s="3">
        <v>-2483.44</v>
      </c>
      <c r="R580" s="6">
        <f t="shared" si="114"/>
        <v>0</v>
      </c>
      <c r="S580" s="6" t="str">
        <f t="shared" si="115"/>
        <v>OK</v>
      </c>
    </row>
    <row r="581" spans="1:19" x14ac:dyDescent="0.25">
      <c r="A581" s="3" t="str">
        <f t="shared" si="116"/>
        <v>09.05.2026</v>
      </c>
      <c r="B581" s="5">
        <v>84</v>
      </c>
      <c r="C581" s="5" t="s">
        <v>34</v>
      </c>
      <c r="D581" s="3">
        <v>9.7570499999999996</v>
      </c>
      <c r="E581" s="3">
        <v>11.32508</v>
      </c>
      <c r="F581" s="6">
        <f t="shared" si="104"/>
        <v>1.5680300000000003</v>
      </c>
      <c r="G581" s="6">
        <f t="shared" si="105"/>
        <v>0.16070738594144751</v>
      </c>
      <c r="H581" s="6" t="str">
        <f t="shared" si="106"/>
        <v>🟢 Over-injection</v>
      </c>
      <c r="I581" s="6">
        <f t="shared" si="107"/>
        <v>-1.5680300000000003</v>
      </c>
      <c r="J581" s="3">
        <v>10</v>
      </c>
      <c r="K581" s="6">
        <f t="shared" si="108"/>
        <v>1.4635574999999998</v>
      </c>
      <c r="L581" s="6">
        <f t="shared" si="109"/>
        <v>1.9514100000000001</v>
      </c>
      <c r="M581" s="6">
        <f t="shared" si="110"/>
        <v>1.4635574999999998</v>
      </c>
      <c r="N581" s="6">
        <f t="shared" si="111"/>
        <v>0</v>
      </c>
      <c r="O581" s="6">
        <f t="shared" si="112"/>
        <v>0</v>
      </c>
      <c r="P581" s="6">
        <f t="shared" si="113"/>
        <v>-2927.1149999999998</v>
      </c>
      <c r="Q581" s="3">
        <v>-2927.1149999999998</v>
      </c>
      <c r="R581" s="6">
        <f t="shared" si="114"/>
        <v>0</v>
      </c>
      <c r="S581" s="6" t="str">
        <f t="shared" si="115"/>
        <v>OK</v>
      </c>
    </row>
    <row r="582" spans="1:19" x14ac:dyDescent="0.25">
      <c r="A582" s="3" t="str">
        <f t="shared" si="116"/>
        <v>09.05.2026</v>
      </c>
      <c r="B582" s="5">
        <v>85</v>
      </c>
      <c r="C582" s="5" t="s">
        <v>33</v>
      </c>
      <c r="D582" s="3">
        <v>11.96705</v>
      </c>
      <c r="E582" s="3">
        <v>11.32508</v>
      </c>
      <c r="F582" s="6">
        <f t="shared" si="104"/>
        <v>-0.6419700000000006</v>
      </c>
      <c r="G582" s="6">
        <f t="shared" si="105"/>
        <v>-5.3644799679118962E-2</v>
      </c>
      <c r="H582" s="6" t="str">
        <f t="shared" si="106"/>
        <v>🔴 Under-injection</v>
      </c>
      <c r="I582" s="6">
        <f t="shared" si="107"/>
        <v>0.6419700000000006</v>
      </c>
      <c r="J582" s="3">
        <v>9.0671999999999997</v>
      </c>
      <c r="K582" s="6">
        <f t="shared" si="108"/>
        <v>1.7950575</v>
      </c>
      <c r="L582" s="6">
        <f t="shared" si="109"/>
        <v>2.3934100000000003</v>
      </c>
      <c r="M582" s="6">
        <f t="shared" si="110"/>
        <v>0.6419700000000006</v>
      </c>
      <c r="N582" s="6">
        <f t="shared" si="111"/>
        <v>0</v>
      </c>
      <c r="O582" s="6">
        <f t="shared" si="112"/>
        <v>0</v>
      </c>
      <c r="P582" s="6">
        <f t="shared" si="113"/>
        <v>1527.9784758000014</v>
      </c>
      <c r="Q582" s="3">
        <v>1527.9784758000001</v>
      </c>
      <c r="R582" s="6">
        <f t="shared" si="114"/>
        <v>0</v>
      </c>
      <c r="S582" s="6" t="str">
        <f t="shared" si="115"/>
        <v>OK</v>
      </c>
    </row>
    <row r="583" spans="1:19" x14ac:dyDescent="0.25">
      <c r="A583" s="3" t="str">
        <f t="shared" si="116"/>
        <v>09.05.2026</v>
      </c>
      <c r="B583" s="5">
        <v>86</v>
      </c>
      <c r="C583" s="5" t="s">
        <v>32</v>
      </c>
      <c r="D583" s="3">
        <v>11.96705</v>
      </c>
      <c r="E583" s="3">
        <v>11.32508</v>
      </c>
      <c r="F583" s="6">
        <f t="shared" si="104"/>
        <v>-0.6419700000000006</v>
      </c>
      <c r="G583" s="6">
        <f t="shared" si="105"/>
        <v>-5.3644799679118962E-2</v>
      </c>
      <c r="H583" s="6" t="str">
        <f t="shared" si="106"/>
        <v>🔴 Under-injection</v>
      </c>
      <c r="I583" s="6">
        <f t="shared" si="107"/>
        <v>0.6419700000000006</v>
      </c>
      <c r="J583" s="3">
        <v>9.0616000000000003</v>
      </c>
      <c r="K583" s="6">
        <f t="shared" si="108"/>
        <v>1.7950575</v>
      </c>
      <c r="L583" s="6">
        <f t="shared" si="109"/>
        <v>2.3934100000000003</v>
      </c>
      <c r="M583" s="6">
        <f t="shared" si="110"/>
        <v>0.6419700000000006</v>
      </c>
      <c r="N583" s="6">
        <f t="shared" si="111"/>
        <v>0</v>
      </c>
      <c r="O583" s="6">
        <f t="shared" si="112"/>
        <v>0</v>
      </c>
      <c r="P583" s="6">
        <f t="shared" si="113"/>
        <v>1527.0347799000015</v>
      </c>
      <c r="Q583" s="3">
        <v>1527.0347799000001</v>
      </c>
      <c r="R583" s="6">
        <f t="shared" si="114"/>
        <v>0</v>
      </c>
      <c r="S583" s="6" t="str">
        <f t="shared" si="115"/>
        <v>OK</v>
      </c>
    </row>
    <row r="584" spans="1:19" x14ac:dyDescent="0.25">
      <c r="A584" s="3" t="str">
        <f t="shared" si="116"/>
        <v>09.05.2026</v>
      </c>
      <c r="B584" s="5">
        <v>87</v>
      </c>
      <c r="C584" s="5" t="s">
        <v>31</v>
      </c>
      <c r="D584" s="3">
        <v>11.96705</v>
      </c>
      <c r="E584" s="3">
        <v>11.60877</v>
      </c>
      <c r="F584" s="6">
        <f t="shared" si="104"/>
        <v>-0.3582800000000006</v>
      </c>
      <c r="G584" s="6">
        <f t="shared" si="105"/>
        <v>-2.9938873824376148E-2</v>
      </c>
      <c r="H584" s="6" t="str">
        <f t="shared" si="106"/>
        <v>🔴 Under-injection</v>
      </c>
      <c r="I584" s="6">
        <f t="shared" si="107"/>
        <v>0.3582800000000006</v>
      </c>
      <c r="J584" s="3">
        <v>7.2291999999999996</v>
      </c>
      <c r="K584" s="6">
        <f t="shared" si="108"/>
        <v>1.7950575</v>
      </c>
      <c r="L584" s="6">
        <f t="shared" si="109"/>
        <v>2.3934100000000003</v>
      </c>
      <c r="M584" s="6">
        <f t="shared" si="110"/>
        <v>0.3582800000000006</v>
      </c>
      <c r="N584" s="6">
        <f t="shared" si="111"/>
        <v>0</v>
      </c>
      <c r="O584" s="6">
        <f t="shared" si="112"/>
        <v>0</v>
      </c>
      <c r="P584" s="6">
        <f t="shared" si="113"/>
        <v>679.89541620000114</v>
      </c>
      <c r="Q584" s="3">
        <v>679.89541619999989</v>
      </c>
      <c r="R584" s="6">
        <f t="shared" si="114"/>
        <v>1.2505552149377763E-12</v>
      </c>
      <c r="S584" s="6" t="str">
        <f t="shared" si="115"/>
        <v>OK</v>
      </c>
    </row>
    <row r="585" spans="1:19" x14ac:dyDescent="0.25">
      <c r="A585" s="3" t="str">
        <f t="shared" si="116"/>
        <v>09.05.2026</v>
      </c>
      <c r="B585" s="5">
        <v>88</v>
      </c>
      <c r="C585" s="5" t="s">
        <v>30</v>
      </c>
      <c r="D585" s="3">
        <v>11.96705</v>
      </c>
      <c r="E585" s="3">
        <v>11.744949999999999</v>
      </c>
      <c r="F585" s="6">
        <f t="shared" si="104"/>
        <v>-0.22210000000000107</v>
      </c>
      <c r="G585" s="6">
        <f t="shared" si="105"/>
        <v>-1.8559294061610929E-2</v>
      </c>
      <c r="H585" s="6" t="str">
        <f t="shared" si="106"/>
        <v>🔴 Under-injection</v>
      </c>
      <c r="I585" s="6">
        <f t="shared" si="107"/>
        <v>0.22210000000000107</v>
      </c>
      <c r="J585" s="3">
        <v>7.2258000000000004</v>
      </c>
      <c r="K585" s="6">
        <f t="shared" si="108"/>
        <v>1.7950575</v>
      </c>
      <c r="L585" s="6">
        <f t="shared" si="109"/>
        <v>2.3934100000000003</v>
      </c>
      <c r="M585" s="6">
        <f t="shared" si="110"/>
        <v>0.22210000000000107</v>
      </c>
      <c r="N585" s="6">
        <f t="shared" si="111"/>
        <v>0</v>
      </c>
      <c r="O585" s="6">
        <f t="shared" si="112"/>
        <v>0</v>
      </c>
      <c r="P585" s="6">
        <f t="shared" si="113"/>
        <v>421.27317225000206</v>
      </c>
      <c r="Q585" s="3">
        <v>421.27317225000007</v>
      </c>
      <c r="R585" s="6">
        <f t="shared" si="114"/>
        <v>1.9895196601282805E-12</v>
      </c>
      <c r="S585" s="6" t="str">
        <f t="shared" si="115"/>
        <v>OK</v>
      </c>
    </row>
    <row r="586" spans="1:19" x14ac:dyDescent="0.25">
      <c r="A586" s="3" t="str">
        <f t="shared" si="116"/>
        <v>09.05.2026</v>
      </c>
      <c r="B586" s="5">
        <v>89</v>
      </c>
      <c r="C586" s="5" t="s">
        <v>29</v>
      </c>
      <c r="D586" s="3">
        <v>11.96705</v>
      </c>
      <c r="E586" s="3">
        <v>11.75629</v>
      </c>
      <c r="F586" s="6">
        <f t="shared" si="104"/>
        <v>-0.2107600000000005</v>
      </c>
      <c r="G586" s="6">
        <f t="shared" si="105"/>
        <v>-1.7611692104570507E-2</v>
      </c>
      <c r="H586" s="6" t="str">
        <f t="shared" si="106"/>
        <v>🔴 Under-injection</v>
      </c>
      <c r="I586" s="6">
        <f t="shared" si="107"/>
        <v>0.2107600000000005</v>
      </c>
      <c r="J586" s="3">
        <v>9.0258000000000003</v>
      </c>
      <c r="K586" s="6">
        <f t="shared" si="108"/>
        <v>1.7950575</v>
      </c>
      <c r="L586" s="6">
        <f t="shared" si="109"/>
        <v>2.3934100000000003</v>
      </c>
      <c r="M586" s="6">
        <f t="shared" si="110"/>
        <v>0.2107600000000005</v>
      </c>
      <c r="N586" s="6">
        <f t="shared" si="111"/>
        <v>0</v>
      </c>
      <c r="O586" s="6">
        <f t="shared" si="112"/>
        <v>0</v>
      </c>
      <c r="P586" s="6">
        <f t="shared" si="113"/>
        <v>499.34787210000127</v>
      </c>
      <c r="Q586" s="3">
        <v>499.34787210000002</v>
      </c>
      <c r="R586" s="6">
        <f t="shared" si="114"/>
        <v>1.2505552149377763E-12</v>
      </c>
      <c r="S586" s="6" t="str">
        <f t="shared" si="115"/>
        <v>OK</v>
      </c>
    </row>
    <row r="587" spans="1:19" x14ac:dyDescent="0.25">
      <c r="A587" s="3" t="str">
        <f t="shared" si="116"/>
        <v>09.05.2026</v>
      </c>
      <c r="B587" s="5">
        <v>90</v>
      </c>
      <c r="C587" s="5" t="s">
        <v>28</v>
      </c>
      <c r="D587" s="3">
        <v>11.96705</v>
      </c>
      <c r="E587" s="3">
        <v>11.75629</v>
      </c>
      <c r="F587" s="6">
        <f t="shared" si="104"/>
        <v>-0.2107600000000005</v>
      </c>
      <c r="G587" s="6">
        <f t="shared" si="105"/>
        <v>-1.7611692104570507E-2</v>
      </c>
      <c r="H587" s="6" t="str">
        <f t="shared" si="106"/>
        <v>🔴 Under-injection</v>
      </c>
      <c r="I587" s="6">
        <f t="shared" si="107"/>
        <v>0.2107600000000005</v>
      </c>
      <c r="J587" s="3">
        <v>9.9998000000000005</v>
      </c>
      <c r="K587" s="6">
        <f t="shared" si="108"/>
        <v>1.7950575</v>
      </c>
      <c r="L587" s="6">
        <f t="shared" si="109"/>
        <v>2.3934100000000003</v>
      </c>
      <c r="M587" s="6">
        <f t="shared" si="110"/>
        <v>0.2107600000000005</v>
      </c>
      <c r="N587" s="6">
        <f t="shared" si="111"/>
        <v>0</v>
      </c>
      <c r="O587" s="6">
        <f t="shared" si="112"/>
        <v>0</v>
      </c>
      <c r="P587" s="6">
        <f t="shared" si="113"/>
        <v>553.23393510000142</v>
      </c>
      <c r="Q587" s="3">
        <v>553.23393510000005</v>
      </c>
      <c r="R587" s="6">
        <f t="shared" si="114"/>
        <v>1.3642420526593924E-12</v>
      </c>
      <c r="S587" s="6" t="str">
        <f t="shared" si="115"/>
        <v>OK</v>
      </c>
    </row>
    <row r="588" spans="1:19" x14ac:dyDescent="0.25">
      <c r="A588" s="3" t="str">
        <f t="shared" si="116"/>
        <v>09.05.2026</v>
      </c>
      <c r="B588" s="5">
        <v>91</v>
      </c>
      <c r="C588" s="5" t="s">
        <v>27</v>
      </c>
      <c r="D588" s="3">
        <v>11.96705</v>
      </c>
      <c r="E588" s="3">
        <v>11.75629</v>
      </c>
      <c r="F588" s="6">
        <f t="shared" si="104"/>
        <v>-0.2107600000000005</v>
      </c>
      <c r="G588" s="6">
        <f t="shared" si="105"/>
        <v>-1.7611692104570507E-2</v>
      </c>
      <c r="H588" s="6" t="str">
        <f t="shared" si="106"/>
        <v>🔴 Under-injection</v>
      </c>
      <c r="I588" s="6">
        <f t="shared" si="107"/>
        <v>0.2107600000000005</v>
      </c>
      <c r="J588" s="3">
        <v>10</v>
      </c>
      <c r="K588" s="6">
        <f t="shared" si="108"/>
        <v>1.7950575</v>
      </c>
      <c r="L588" s="6">
        <f t="shared" si="109"/>
        <v>2.3934100000000003</v>
      </c>
      <c r="M588" s="6">
        <f t="shared" si="110"/>
        <v>0.2107600000000005</v>
      </c>
      <c r="N588" s="6">
        <f t="shared" si="111"/>
        <v>0</v>
      </c>
      <c r="O588" s="6">
        <f t="shared" si="112"/>
        <v>0</v>
      </c>
      <c r="P588" s="6">
        <f t="shared" si="113"/>
        <v>553.24500000000137</v>
      </c>
      <c r="Q588" s="3">
        <v>553.245</v>
      </c>
      <c r="R588" s="6">
        <f t="shared" si="114"/>
        <v>1.3642420526593924E-12</v>
      </c>
      <c r="S588" s="6" t="str">
        <f t="shared" si="115"/>
        <v>OK</v>
      </c>
    </row>
    <row r="589" spans="1:19" x14ac:dyDescent="0.25">
      <c r="A589" s="3" t="str">
        <f t="shared" si="116"/>
        <v>09.05.2026</v>
      </c>
      <c r="B589" s="5">
        <v>92</v>
      </c>
      <c r="C589" s="5" t="s">
        <v>26</v>
      </c>
      <c r="D589" s="3">
        <v>11.90705</v>
      </c>
      <c r="E589" s="3">
        <v>11.75629</v>
      </c>
      <c r="F589" s="6">
        <f t="shared" si="104"/>
        <v>-0.15076000000000001</v>
      </c>
      <c r="G589" s="6">
        <f t="shared" si="105"/>
        <v>-1.2661406477674992E-2</v>
      </c>
      <c r="H589" s="6" t="str">
        <f t="shared" si="106"/>
        <v>🔴 Under-injection</v>
      </c>
      <c r="I589" s="6">
        <f t="shared" si="107"/>
        <v>0.15076000000000001</v>
      </c>
      <c r="J589" s="3">
        <v>10</v>
      </c>
      <c r="K589" s="6">
        <f t="shared" si="108"/>
        <v>1.7860574999999999</v>
      </c>
      <c r="L589" s="6">
        <f t="shared" si="109"/>
        <v>2.3814100000000002</v>
      </c>
      <c r="M589" s="6">
        <f t="shared" si="110"/>
        <v>0.15076000000000001</v>
      </c>
      <c r="N589" s="6">
        <f t="shared" si="111"/>
        <v>0</v>
      </c>
      <c r="O589" s="6">
        <f t="shared" si="112"/>
        <v>0</v>
      </c>
      <c r="P589" s="6">
        <f t="shared" si="113"/>
        <v>395.74500000000006</v>
      </c>
      <c r="Q589" s="3">
        <v>395.745</v>
      </c>
      <c r="R589" s="6">
        <f t="shared" si="114"/>
        <v>0</v>
      </c>
      <c r="S589" s="6" t="str">
        <f t="shared" si="115"/>
        <v>OK</v>
      </c>
    </row>
    <row r="590" spans="1:19" x14ac:dyDescent="0.25">
      <c r="A590" s="3" t="str">
        <f t="shared" si="116"/>
        <v>09.05.2026</v>
      </c>
      <c r="B590" s="5">
        <v>93</v>
      </c>
      <c r="C590" s="5" t="s">
        <v>25</v>
      </c>
      <c r="D590" s="3">
        <v>11.33705</v>
      </c>
      <c r="E590" s="3">
        <v>11.291040000000001</v>
      </c>
      <c r="F590" s="6">
        <f t="shared" si="104"/>
        <v>-4.6009999999998996E-2</v>
      </c>
      <c r="G590" s="6">
        <f t="shared" si="105"/>
        <v>-4.058374974089291E-3</v>
      </c>
      <c r="H590" s="6" t="str">
        <f t="shared" si="106"/>
        <v>🔴 Under-injection</v>
      </c>
      <c r="I590" s="6">
        <f t="shared" si="107"/>
        <v>4.6009999999998996E-2</v>
      </c>
      <c r="J590" s="3">
        <v>10</v>
      </c>
      <c r="K590" s="6">
        <f t="shared" si="108"/>
        <v>1.7005574999999999</v>
      </c>
      <c r="L590" s="6">
        <f t="shared" si="109"/>
        <v>2.2674099999999999</v>
      </c>
      <c r="M590" s="6">
        <f t="shared" si="110"/>
        <v>4.6009999999998996E-2</v>
      </c>
      <c r="N590" s="6">
        <f t="shared" si="111"/>
        <v>0</v>
      </c>
      <c r="O590" s="6">
        <f t="shared" si="112"/>
        <v>0</v>
      </c>
      <c r="P590" s="6">
        <f t="shared" si="113"/>
        <v>120.77624999999736</v>
      </c>
      <c r="Q590" s="3">
        <v>120.77625</v>
      </c>
      <c r="R590" s="6">
        <f t="shared" si="114"/>
        <v>-2.6432189770275727E-12</v>
      </c>
      <c r="S590" s="6" t="str">
        <f t="shared" si="115"/>
        <v>OK</v>
      </c>
    </row>
    <row r="591" spans="1:19" x14ac:dyDescent="0.25">
      <c r="A591" s="3" t="str">
        <f t="shared" si="116"/>
        <v>09.05.2026</v>
      </c>
      <c r="B591" s="5">
        <v>94</v>
      </c>
      <c r="C591" s="5" t="s">
        <v>24</v>
      </c>
      <c r="D591" s="3">
        <v>10.40705</v>
      </c>
      <c r="E591" s="3">
        <v>11.960559999999999</v>
      </c>
      <c r="F591" s="6">
        <f t="shared" si="104"/>
        <v>1.5535099999999993</v>
      </c>
      <c r="G591" s="6">
        <f t="shared" si="105"/>
        <v>0.14927477046809609</v>
      </c>
      <c r="H591" s="6" t="str">
        <f t="shared" si="106"/>
        <v>🟢 Over-injection</v>
      </c>
      <c r="I591" s="6">
        <f t="shared" si="107"/>
        <v>-1.5535099999999993</v>
      </c>
      <c r="J591" s="3">
        <v>10</v>
      </c>
      <c r="K591" s="6">
        <f t="shared" si="108"/>
        <v>1.5610575</v>
      </c>
      <c r="L591" s="6">
        <f t="shared" si="109"/>
        <v>2.08141</v>
      </c>
      <c r="M591" s="6">
        <f t="shared" si="110"/>
        <v>1.5535099999999993</v>
      </c>
      <c r="N591" s="6">
        <f t="shared" si="111"/>
        <v>0</v>
      </c>
      <c r="O591" s="6">
        <f t="shared" si="112"/>
        <v>0</v>
      </c>
      <c r="P591" s="6">
        <f t="shared" si="113"/>
        <v>-3107.0199999999986</v>
      </c>
      <c r="Q591" s="3">
        <v>-3107.02</v>
      </c>
      <c r="R591" s="6">
        <f t="shared" si="114"/>
        <v>0</v>
      </c>
      <c r="S591" s="6" t="str">
        <f t="shared" si="115"/>
        <v>OK</v>
      </c>
    </row>
    <row r="592" spans="1:19" x14ac:dyDescent="0.25">
      <c r="A592" s="3" t="str">
        <f t="shared" si="116"/>
        <v>09.05.2026</v>
      </c>
      <c r="B592" s="5">
        <v>95</v>
      </c>
      <c r="C592" s="5" t="s">
        <v>23</v>
      </c>
      <c r="D592" s="3">
        <v>11.41705</v>
      </c>
      <c r="E592" s="3">
        <v>12.085380000000001</v>
      </c>
      <c r="F592" s="6">
        <f t="shared" si="104"/>
        <v>0.66833000000000098</v>
      </c>
      <c r="G592" s="6">
        <f t="shared" si="105"/>
        <v>5.8537888508853074E-2</v>
      </c>
      <c r="H592" s="6" t="str">
        <f t="shared" si="106"/>
        <v>🟢 Over-injection</v>
      </c>
      <c r="I592" s="6">
        <f t="shared" si="107"/>
        <v>-0.66833000000000098</v>
      </c>
      <c r="J592" s="3">
        <v>10</v>
      </c>
      <c r="K592" s="6">
        <f t="shared" si="108"/>
        <v>1.7125575</v>
      </c>
      <c r="L592" s="6">
        <f t="shared" si="109"/>
        <v>2.2834099999999999</v>
      </c>
      <c r="M592" s="6">
        <f t="shared" si="110"/>
        <v>0.66833000000000098</v>
      </c>
      <c r="N592" s="6">
        <f t="shared" si="111"/>
        <v>0</v>
      </c>
      <c r="O592" s="6">
        <f t="shared" si="112"/>
        <v>0</v>
      </c>
      <c r="P592" s="6">
        <f t="shared" si="113"/>
        <v>-1336.6600000000019</v>
      </c>
      <c r="Q592" s="3">
        <v>-1336.6599999999999</v>
      </c>
      <c r="R592" s="6">
        <f t="shared" si="114"/>
        <v>-2.0463630789890885E-12</v>
      </c>
      <c r="S592" s="6" t="str">
        <f t="shared" si="115"/>
        <v>OK</v>
      </c>
    </row>
    <row r="593" spans="1:19" x14ac:dyDescent="0.25">
      <c r="A593" s="3" t="str">
        <f t="shared" si="116"/>
        <v>09.05.2026</v>
      </c>
      <c r="B593" s="5">
        <v>96</v>
      </c>
      <c r="C593" s="5" t="s">
        <v>22</v>
      </c>
      <c r="D593" s="3">
        <v>11.357049999999999</v>
      </c>
      <c r="E593" s="3">
        <v>11.744949999999999</v>
      </c>
      <c r="F593" s="6">
        <f t="shared" si="104"/>
        <v>0.38790000000000013</v>
      </c>
      <c r="G593" s="6">
        <f t="shared" si="105"/>
        <v>3.4154996235818295E-2</v>
      </c>
      <c r="H593" s="6" t="str">
        <f t="shared" si="106"/>
        <v>🟢 Over-injection</v>
      </c>
      <c r="I593" s="6">
        <f t="shared" si="107"/>
        <v>-0.38790000000000013</v>
      </c>
      <c r="J593" s="3">
        <v>10</v>
      </c>
      <c r="K593" s="6">
        <f t="shared" si="108"/>
        <v>1.7035574999999998</v>
      </c>
      <c r="L593" s="6">
        <f t="shared" si="109"/>
        <v>2.2714099999999999</v>
      </c>
      <c r="M593" s="6">
        <f t="shared" si="110"/>
        <v>0.38790000000000013</v>
      </c>
      <c r="N593" s="6">
        <f t="shared" si="111"/>
        <v>0</v>
      </c>
      <c r="O593" s="6">
        <f t="shared" si="112"/>
        <v>0</v>
      </c>
      <c r="P593" s="6">
        <f t="shared" si="113"/>
        <v>-775.80000000000041</v>
      </c>
      <c r="Q593" s="3">
        <v>-775.80000000000007</v>
      </c>
      <c r="R593" s="6">
        <f t="shared" si="114"/>
        <v>0</v>
      </c>
      <c r="S593" s="6" t="str">
        <f t="shared" si="115"/>
        <v>OK</v>
      </c>
    </row>
    <row r="594" spans="1:19" x14ac:dyDescent="0.25">
      <c r="A594" s="3" t="s">
        <v>174</v>
      </c>
      <c r="B594" s="5">
        <v>1</v>
      </c>
      <c r="C594" s="5" t="s">
        <v>117</v>
      </c>
      <c r="D594" s="3">
        <v>10.687049999999999</v>
      </c>
      <c r="E594" s="3">
        <v>10.723649999999999</v>
      </c>
      <c r="F594" s="6">
        <f t="shared" ref="F594:F657" si="117">E594-D594</f>
        <v>3.6599999999999966E-2</v>
      </c>
      <c r="G594" s="6">
        <f t="shared" ref="G594:G657" si="118">IF(D594=0,0,F594/D594)</f>
        <v>3.4247056016393643E-3</v>
      </c>
      <c r="H594" s="6" t="str">
        <f t="shared" ref="H594:H657" si="119">IF(E594&gt;D594,"🟢 Over-injection",IF(E594&lt;D594,"🔴 Under-injection","⚪ Nil"))</f>
        <v>🟢 Over-injection</v>
      </c>
      <c r="I594" s="6">
        <f t="shared" ref="I594:I657" si="120">-F594</f>
        <v>-3.6599999999999966E-2</v>
      </c>
      <c r="J594" s="3">
        <v>10</v>
      </c>
      <c r="K594" s="6">
        <f t="shared" ref="K594:K657" si="121">MIN(ABS(D594)*$B$7,$B$8)</f>
        <v>1.6030574999999998</v>
      </c>
      <c r="L594" s="6">
        <f t="shared" ref="L594:L657" si="122">MIN(ABS(D594)*$B$9,$B$10)</f>
        <v>2.13741</v>
      </c>
      <c r="M594" s="6">
        <f t="shared" ref="M594:M657" si="123">MIN(ABS(F594),K594)</f>
        <v>3.6599999999999966E-2</v>
      </c>
      <c r="N594" s="6">
        <f t="shared" ref="N594:N657" si="124">IF(F594&lt;0,MIN(MAX(ABS(F594)-K594,0),MAX(L594-K594,0)),0)</f>
        <v>0</v>
      </c>
      <c r="O594" s="6">
        <f t="shared" ref="O594:O657" si="125">IF(F594&lt;0,MAX(ABS(F594)-L594,0),0)</f>
        <v>0</v>
      </c>
      <c r="P594" s="6">
        <f t="shared" ref="P594:P657" si="126">IF(F594&gt;0,-M594*$B$11*J594*$B$6*1000,IF(F594&lt;0,(M594*$B$12+N594*$B$13+O594*$B$14)*J594*$B$6*1000,0))</f>
        <v>-73.199999999999932</v>
      </c>
      <c r="Q594" s="3">
        <v>-73.2</v>
      </c>
      <c r="R594" s="6">
        <f t="shared" ref="R594:R657" si="127">P594-Q594</f>
        <v>0</v>
      </c>
      <c r="S594" s="6" t="str">
        <f t="shared" ref="S594:S657" si="128">IF(ABS(R594)&lt;=0.01,"OK","REVIEW")</f>
        <v>OK</v>
      </c>
    </row>
    <row r="595" spans="1:19" x14ac:dyDescent="0.25">
      <c r="A595" s="3" t="str">
        <f t="shared" si="116"/>
        <v>10.05.2026</v>
      </c>
      <c r="B595" s="5">
        <v>2</v>
      </c>
      <c r="C595" s="5" t="s">
        <v>116</v>
      </c>
      <c r="D595" s="3">
        <v>10.74705</v>
      </c>
      <c r="E595" s="3">
        <v>10.587479999999999</v>
      </c>
      <c r="F595" s="6">
        <f t="shared" si="117"/>
        <v>-0.15957000000000043</v>
      </c>
      <c r="G595" s="6">
        <f t="shared" si="118"/>
        <v>-1.4847795441539812E-2</v>
      </c>
      <c r="H595" s="6" t="str">
        <f t="shared" si="119"/>
        <v>🔴 Under-injection</v>
      </c>
      <c r="I595" s="6">
        <f t="shared" si="120"/>
        <v>0.15957000000000043</v>
      </c>
      <c r="J595" s="3">
        <v>10</v>
      </c>
      <c r="K595" s="6">
        <f t="shared" si="121"/>
        <v>1.6120574999999999</v>
      </c>
      <c r="L595" s="6">
        <f t="shared" si="122"/>
        <v>2.14941</v>
      </c>
      <c r="M595" s="6">
        <f t="shared" si="123"/>
        <v>0.15957000000000043</v>
      </c>
      <c r="N595" s="6">
        <f t="shared" si="124"/>
        <v>0</v>
      </c>
      <c r="O595" s="6">
        <f t="shared" si="125"/>
        <v>0</v>
      </c>
      <c r="P595" s="6">
        <f t="shared" si="126"/>
        <v>418.87125000000111</v>
      </c>
      <c r="Q595" s="3">
        <v>418.87124999999997</v>
      </c>
      <c r="R595" s="6">
        <f t="shared" si="127"/>
        <v>1.1368683772161603E-12</v>
      </c>
      <c r="S595" s="6" t="str">
        <f t="shared" si="128"/>
        <v>OK</v>
      </c>
    </row>
    <row r="596" spans="1:19" x14ac:dyDescent="0.25">
      <c r="A596" s="3" t="str">
        <f t="shared" ref="A596:A659" si="129">A595</f>
        <v>10.05.2026</v>
      </c>
      <c r="B596" s="5">
        <v>3</v>
      </c>
      <c r="C596" s="5" t="s">
        <v>115</v>
      </c>
      <c r="D596" s="3">
        <v>10.767049999999999</v>
      </c>
      <c r="E596" s="3">
        <v>10.587479999999999</v>
      </c>
      <c r="F596" s="6">
        <f t="shared" si="117"/>
        <v>-0.17957000000000001</v>
      </c>
      <c r="G596" s="6">
        <f t="shared" si="118"/>
        <v>-1.6677734384069918E-2</v>
      </c>
      <c r="H596" s="6" t="str">
        <f t="shared" si="119"/>
        <v>🔴 Under-injection</v>
      </c>
      <c r="I596" s="6">
        <f t="shared" si="120"/>
        <v>0.17957000000000001</v>
      </c>
      <c r="J596" s="3">
        <v>6.3383000000000003</v>
      </c>
      <c r="K596" s="6">
        <f t="shared" si="121"/>
        <v>1.6150574999999998</v>
      </c>
      <c r="L596" s="6">
        <f t="shared" si="122"/>
        <v>2.15341</v>
      </c>
      <c r="M596" s="6">
        <f t="shared" si="123"/>
        <v>0.17957000000000001</v>
      </c>
      <c r="N596" s="6">
        <f t="shared" si="124"/>
        <v>0</v>
      </c>
      <c r="O596" s="6">
        <f t="shared" si="125"/>
        <v>0</v>
      </c>
      <c r="P596" s="6">
        <f t="shared" si="126"/>
        <v>298.76923938750008</v>
      </c>
      <c r="Q596" s="3">
        <v>298.76923938750008</v>
      </c>
      <c r="R596" s="6">
        <f t="shared" si="127"/>
        <v>0</v>
      </c>
      <c r="S596" s="6" t="str">
        <f t="shared" si="128"/>
        <v>OK</v>
      </c>
    </row>
    <row r="597" spans="1:19" x14ac:dyDescent="0.25">
      <c r="A597" s="3" t="str">
        <f t="shared" si="129"/>
        <v>10.05.2026</v>
      </c>
      <c r="B597" s="5">
        <v>4</v>
      </c>
      <c r="C597" s="5" t="s">
        <v>114</v>
      </c>
      <c r="D597" s="3">
        <v>10.767049999999999</v>
      </c>
      <c r="E597" s="3">
        <v>10.587479999999999</v>
      </c>
      <c r="F597" s="6">
        <f t="shared" si="117"/>
        <v>-0.17957000000000001</v>
      </c>
      <c r="G597" s="6">
        <f t="shared" si="118"/>
        <v>-1.6677734384069918E-2</v>
      </c>
      <c r="H597" s="6" t="str">
        <f t="shared" si="119"/>
        <v>🔴 Under-injection</v>
      </c>
      <c r="I597" s="6">
        <f t="shared" si="120"/>
        <v>0.17957000000000001</v>
      </c>
      <c r="J597" s="3">
        <v>5.5789</v>
      </c>
      <c r="K597" s="6">
        <f t="shared" si="121"/>
        <v>1.6150574999999998</v>
      </c>
      <c r="L597" s="6">
        <f t="shared" si="122"/>
        <v>2.15341</v>
      </c>
      <c r="M597" s="6">
        <f t="shared" si="123"/>
        <v>0.17957000000000001</v>
      </c>
      <c r="N597" s="6">
        <f t="shared" si="124"/>
        <v>0</v>
      </c>
      <c r="O597" s="6">
        <f t="shared" si="125"/>
        <v>0</v>
      </c>
      <c r="P597" s="6">
        <f t="shared" si="126"/>
        <v>262.97330666250002</v>
      </c>
      <c r="Q597" s="3">
        <v>262.97330666250002</v>
      </c>
      <c r="R597" s="6">
        <f t="shared" si="127"/>
        <v>0</v>
      </c>
      <c r="S597" s="6" t="str">
        <f t="shared" si="128"/>
        <v>OK</v>
      </c>
    </row>
    <row r="598" spans="1:19" x14ac:dyDescent="0.25">
      <c r="A598" s="3" t="str">
        <f t="shared" si="129"/>
        <v>10.05.2026</v>
      </c>
      <c r="B598" s="5">
        <v>5</v>
      </c>
      <c r="C598" s="5" t="s">
        <v>113</v>
      </c>
      <c r="D598" s="3">
        <v>10.767049999999999</v>
      </c>
      <c r="E598" s="3">
        <v>10.587479999999999</v>
      </c>
      <c r="F598" s="6">
        <f t="shared" si="117"/>
        <v>-0.17957000000000001</v>
      </c>
      <c r="G598" s="6">
        <f t="shared" si="118"/>
        <v>-1.6677734384069918E-2</v>
      </c>
      <c r="H598" s="6" t="str">
        <f t="shared" si="119"/>
        <v>🔴 Under-injection</v>
      </c>
      <c r="I598" s="6">
        <f t="shared" si="120"/>
        <v>0.17957000000000001</v>
      </c>
      <c r="J598" s="3">
        <v>5.4707000000000008</v>
      </c>
      <c r="K598" s="6">
        <f t="shared" si="121"/>
        <v>1.6150574999999998</v>
      </c>
      <c r="L598" s="6">
        <f t="shared" si="122"/>
        <v>2.15341</v>
      </c>
      <c r="M598" s="6">
        <f t="shared" si="123"/>
        <v>0.17957000000000001</v>
      </c>
      <c r="N598" s="6">
        <f t="shared" si="124"/>
        <v>0</v>
      </c>
      <c r="O598" s="6">
        <f t="shared" si="125"/>
        <v>0</v>
      </c>
      <c r="P598" s="6">
        <f t="shared" si="126"/>
        <v>257.87306973750009</v>
      </c>
      <c r="Q598" s="3">
        <v>257.87306973750003</v>
      </c>
      <c r="R598" s="6">
        <f t="shared" si="127"/>
        <v>0</v>
      </c>
      <c r="S598" s="6" t="str">
        <f t="shared" si="128"/>
        <v>OK</v>
      </c>
    </row>
    <row r="599" spans="1:19" x14ac:dyDescent="0.25">
      <c r="A599" s="3" t="str">
        <f t="shared" si="129"/>
        <v>10.05.2026</v>
      </c>
      <c r="B599" s="5">
        <v>6</v>
      </c>
      <c r="C599" s="5" t="s">
        <v>112</v>
      </c>
      <c r="D599" s="3">
        <v>10.767049999999999</v>
      </c>
      <c r="E599" s="3">
        <v>10.59882</v>
      </c>
      <c r="F599" s="6">
        <f t="shared" si="117"/>
        <v>-0.16822999999999944</v>
      </c>
      <c r="G599" s="6">
        <f t="shared" si="118"/>
        <v>-1.5624521108381539E-2</v>
      </c>
      <c r="H599" s="6" t="str">
        <f t="shared" si="119"/>
        <v>🔴 Under-injection</v>
      </c>
      <c r="I599" s="6">
        <f t="shared" si="120"/>
        <v>0.16822999999999944</v>
      </c>
      <c r="J599" s="3">
        <v>5.0810000000000004</v>
      </c>
      <c r="K599" s="6">
        <f t="shared" si="121"/>
        <v>1.6150574999999998</v>
      </c>
      <c r="L599" s="6">
        <f t="shared" si="122"/>
        <v>2.15341</v>
      </c>
      <c r="M599" s="6">
        <f t="shared" si="123"/>
        <v>0.16822999999999944</v>
      </c>
      <c r="N599" s="6">
        <f t="shared" si="124"/>
        <v>0</v>
      </c>
      <c r="O599" s="6">
        <f t="shared" si="125"/>
        <v>0</v>
      </c>
      <c r="P599" s="6">
        <f t="shared" si="126"/>
        <v>224.37886537499929</v>
      </c>
      <c r="Q599" s="3">
        <v>224.378865375</v>
      </c>
      <c r="R599" s="6">
        <f t="shared" si="127"/>
        <v>-7.1054273576010019E-13</v>
      </c>
      <c r="S599" s="6" t="str">
        <f t="shared" si="128"/>
        <v>OK</v>
      </c>
    </row>
    <row r="600" spans="1:19" x14ac:dyDescent="0.25">
      <c r="A600" s="3" t="str">
        <f t="shared" si="129"/>
        <v>10.05.2026</v>
      </c>
      <c r="B600" s="5">
        <v>7</v>
      </c>
      <c r="C600" s="5" t="s">
        <v>111</v>
      </c>
      <c r="D600" s="3">
        <v>10.767049999999999</v>
      </c>
      <c r="E600" s="3">
        <v>10.59882</v>
      </c>
      <c r="F600" s="6">
        <f t="shared" si="117"/>
        <v>-0.16822999999999944</v>
      </c>
      <c r="G600" s="6">
        <f t="shared" si="118"/>
        <v>-1.5624521108381539E-2</v>
      </c>
      <c r="H600" s="6" t="str">
        <f t="shared" si="119"/>
        <v>🔴 Under-injection</v>
      </c>
      <c r="I600" s="6">
        <f t="shared" si="120"/>
        <v>0.16822999999999944</v>
      </c>
      <c r="J600" s="3">
        <v>5.3660000000000005</v>
      </c>
      <c r="K600" s="6">
        <f t="shared" si="121"/>
        <v>1.6150574999999998</v>
      </c>
      <c r="L600" s="6">
        <f t="shared" si="122"/>
        <v>2.15341</v>
      </c>
      <c r="M600" s="6">
        <f t="shared" si="123"/>
        <v>0.16822999999999944</v>
      </c>
      <c r="N600" s="6">
        <f t="shared" si="124"/>
        <v>0</v>
      </c>
      <c r="O600" s="6">
        <f t="shared" si="125"/>
        <v>0</v>
      </c>
      <c r="P600" s="6">
        <f t="shared" si="126"/>
        <v>236.96457224999926</v>
      </c>
      <c r="Q600" s="3">
        <v>236.96457225</v>
      </c>
      <c r="R600" s="6">
        <f t="shared" si="127"/>
        <v>-7.3896444519050419E-13</v>
      </c>
      <c r="S600" s="6" t="str">
        <f t="shared" si="128"/>
        <v>OK</v>
      </c>
    </row>
    <row r="601" spans="1:19" x14ac:dyDescent="0.25">
      <c r="A601" s="3" t="str">
        <f t="shared" si="129"/>
        <v>10.05.2026</v>
      </c>
      <c r="B601" s="5">
        <v>8</v>
      </c>
      <c r="C601" s="5" t="s">
        <v>110</v>
      </c>
      <c r="D601" s="3">
        <v>10.767049999999999</v>
      </c>
      <c r="E601" s="3">
        <v>10.59882</v>
      </c>
      <c r="F601" s="6">
        <f t="shared" si="117"/>
        <v>-0.16822999999999944</v>
      </c>
      <c r="G601" s="6">
        <f t="shared" si="118"/>
        <v>-1.5624521108381539E-2</v>
      </c>
      <c r="H601" s="6" t="str">
        <f t="shared" si="119"/>
        <v>🔴 Under-injection</v>
      </c>
      <c r="I601" s="6">
        <f t="shared" si="120"/>
        <v>0.16822999999999944</v>
      </c>
      <c r="J601" s="3">
        <v>4.92</v>
      </c>
      <c r="K601" s="6">
        <f t="shared" si="121"/>
        <v>1.6150574999999998</v>
      </c>
      <c r="L601" s="6">
        <f t="shared" si="122"/>
        <v>2.15341</v>
      </c>
      <c r="M601" s="6">
        <f t="shared" si="123"/>
        <v>0.16822999999999944</v>
      </c>
      <c r="N601" s="6">
        <f t="shared" si="124"/>
        <v>0</v>
      </c>
      <c r="O601" s="6">
        <f t="shared" si="125"/>
        <v>0</v>
      </c>
      <c r="P601" s="6">
        <f t="shared" si="126"/>
        <v>217.26904499999929</v>
      </c>
      <c r="Q601" s="3">
        <v>217.26904500000001</v>
      </c>
      <c r="R601" s="6">
        <f t="shared" si="127"/>
        <v>-7.1054273576010019E-13</v>
      </c>
      <c r="S601" s="6" t="str">
        <f t="shared" si="128"/>
        <v>OK</v>
      </c>
    </row>
    <row r="602" spans="1:19" x14ac:dyDescent="0.25">
      <c r="A602" s="3" t="str">
        <f t="shared" si="129"/>
        <v>10.05.2026</v>
      </c>
      <c r="B602" s="5">
        <v>9</v>
      </c>
      <c r="C602" s="5" t="s">
        <v>109</v>
      </c>
      <c r="D602" s="3">
        <v>10.767049999999999</v>
      </c>
      <c r="E602" s="3">
        <v>10.59882</v>
      </c>
      <c r="F602" s="6">
        <f t="shared" si="117"/>
        <v>-0.16822999999999944</v>
      </c>
      <c r="G602" s="6">
        <f t="shared" si="118"/>
        <v>-1.5624521108381539E-2</v>
      </c>
      <c r="H602" s="6" t="str">
        <f t="shared" si="119"/>
        <v>🔴 Under-injection</v>
      </c>
      <c r="I602" s="6">
        <f t="shared" si="120"/>
        <v>0.16822999999999944</v>
      </c>
      <c r="J602" s="3">
        <v>4.8962000000000003</v>
      </c>
      <c r="K602" s="6">
        <f t="shared" si="121"/>
        <v>1.6150574999999998</v>
      </c>
      <c r="L602" s="6">
        <f t="shared" si="122"/>
        <v>2.15341</v>
      </c>
      <c r="M602" s="6">
        <f t="shared" si="123"/>
        <v>0.16822999999999944</v>
      </c>
      <c r="N602" s="6">
        <f t="shared" si="124"/>
        <v>0</v>
      </c>
      <c r="O602" s="6">
        <f t="shared" si="125"/>
        <v>0</v>
      </c>
      <c r="P602" s="6">
        <f t="shared" si="126"/>
        <v>216.21802807499932</v>
      </c>
      <c r="Q602" s="3">
        <v>216.21802807500001</v>
      </c>
      <c r="R602" s="6">
        <f t="shared" si="127"/>
        <v>-6.8212102632969618E-13</v>
      </c>
      <c r="S602" s="6" t="str">
        <f t="shared" si="128"/>
        <v>OK</v>
      </c>
    </row>
    <row r="603" spans="1:19" x14ac:dyDescent="0.25">
      <c r="A603" s="3" t="str">
        <f t="shared" si="129"/>
        <v>10.05.2026</v>
      </c>
      <c r="B603" s="5">
        <v>10</v>
      </c>
      <c r="C603" s="5" t="s">
        <v>108</v>
      </c>
      <c r="D603" s="3">
        <v>10.767049999999999</v>
      </c>
      <c r="E603" s="3">
        <v>10.59882</v>
      </c>
      <c r="F603" s="6">
        <f t="shared" si="117"/>
        <v>-0.16822999999999944</v>
      </c>
      <c r="G603" s="6">
        <f t="shared" si="118"/>
        <v>-1.5624521108381539E-2</v>
      </c>
      <c r="H603" s="6" t="str">
        <f t="shared" si="119"/>
        <v>🔴 Under-injection</v>
      </c>
      <c r="I603" s="6">
        <f t="shared" si="120"/>
        <v>0.16822999999999944</v>
      </c>
      <c r="J603" s="3">
        <v>4.8026</v>
      </c>
      <c r="K603" s="6">
        <f t="shared" si="121"/>
        <v>1.6150574999999998</v>
      </c>
      <c r="L603" s="6">
        <f t="shared" si="122"/>
        <v>2.15341</v>
      </c>
      <c r="M603" s="6">
        <f t="shared" si="123"/>
        <v>0.16822999999999944</v>
      </c>
      <c r="N603" s="6">
        <f t="shared" si="124"/>
        <v>0</v>
      </c>
      <c r="O603" s="6">
        <f t="shared" si="125"/>
        <v>0</v>
      </c>
      <c r="P603" s="6">
        <f t="shared" si="126"/>
        <v>212.08461697499931</v>
      </c>
      <c r="Q603" s="3">
        <v>212.08461697499999</v>
      </c>
      <c r="R603" s="6">
        <f t="shared" si="127"/>
        <v>-6.8212102632969618E-13</v>
      </c>
      <c r="S603" s="6" t="str">
        <f t="shared" si="128"/>
        <v>OK</v>
      </c>
    </row>
    <row r="604" spans="1:19" x14ac:dyDescent="0.25">
      <c r="A604" s="3" t="str">
        <f t="shared" si="129"/>
        <v>10.05.2026</v>
      </c>
      <c r="B604" s="5">
        <v>11</v>
      </c>
      <c r="C604" s="5" t="s">
        <v>107</v>
      </c>
      <c r="D604" s="3">
        <v>10.767049999999999</v>
      </c>
      <c r="E604" s="3">
        <v>10.59882</v>
      </c>
      <c r="F604" s="6">
        <f t="shared" si="117"/>
        <v>-0.16822999999999944</v>
      </c>
      <c r="G604" s="6">
        <f t="shared" si="118"/>
        <v>-1.5624521108381539E-2</v>
      </c>
      <c r="H604" s="6" t="str">
        <f t="shared" si="119"/>
        <v>🔴 Under-injection</v>
      </c>
      <c r="I604" s="6">
        <f t="shared" si="120"/>
        <v>0.16822999999999944</v>
      </c>
      <c r="J604" s="3">
        <v>4.7477</v>
      </c>
      <c r="K604" s="6">
        <f t="shared" si="121"/>
        <v>1.6150574999999998</v>
      </c>
      <c r="L604" s="6">
        <f t="shared" si="122"/>
        <v>2.15341</v>
      </c>
      <c r="M604" s="6">
        <f t="shared" si="123"/>
        <v>0.16822999999999944</v>
      </c>
      <c r="N604" s="6">
        <f t="shared" si="124"/>
        <v>0</v>
      </c>
      <c r="O604" s="6">
        <f t="shared" si="125"/>
        <v>0</v>
      </c>
      <c r="P604" s="6">
        <f t="shared" si="126"/>
        <v>209.66021238749931</v>
      </c>
      <c r="Q604" s="3">
        <v>209.66021238750002</v>
      </c>
      <c r="R604" s="6">
        <f t="shared" si="127"/>
        <v>-7.1054273576010019E-13</v>
      </c>
      <c r="S604" s="6" t="str">
        <f t="shared" si="128"/>
        <v>OK</v>
      </c>
    </row>
    <row r="605" spans="1:19" x14ac:dyDescent="0.25">
      <c r="A605" s="3" t="str">
        <f t="shared" si="129"/>
        <v>10.05.2026</v>
      </c>
      <c r="B605" s="5">
        <v>12</v>
      </c>
      <c r="C605" s="5" t="s">
        <v>106</v>
      </c>
      <c r="D605" s="3">
        <v>10.767049999999999</v>
      </c>
      <c r="E605" s="3">
        <v>10.59882</v>
      </c>
      <c r="F605" s="6">
        <f t="shared" si="117"/>
        <v>-0.16822999999999944</v>
      </c>
      <c r="G605" s="6">
        <f t="shared" si="118"/>
        <v>-1.5624521108381539E-2</v>
      </c>
      <c r="H605" s="6" t="str">
        <f t="shared" si="119"/>
        <v>🔴 Under-injection</v>
      </c>
      <c r="I605" s="6">
        <f t="shared" si="120"/>
        <v>0.16822999999999944</v>
      </c>
      <c r="J605" s="3">
        <v>4.5212000000000003</v>
      </c>
      <c r="K605" s="6">
        <f t="shared" si="121"/>
        <v>1.6150574999999998</v>
      </c>
      <c r="L605" s="6">
        <f t="shared" si="122"/>
        <v>2.15341</v>
      </c>
      <c r="M605" s="6">
        <f t="shared" si="123"/>
        <v>0.16822999999999944</v>
      </c>
      <c r="N605" s="6">
        <f t="shared" si="124"/>
        <v>0</v>
      </c>
      <c r="O605" s="6">
        <f t="shared" si="125"/>
        <v>0</v>
      </c>
      <c r="P605" s="6">
        <f t="shared" si="126"/>
        <v>199.65788744999938</v>
      </c>
      <c r="Q605" s="3">
        <v>199.65788745</v>
      </c>
      <c r="R605" s="6">
        <f t="shared" si="127"/>
        <v>-6.2527760746888816E-13</v>
      </c>
      <c r="S605" s="6" t="str">
        <f t="shared" si="128"/>
        <v>OK</v>
      </c>
    </row>
    <row r="606" spans="1:19" x14ac:dyDescent="0.25">
      <c r="A606" s="3" t="str">
        <f t="shared" si="129"/>
        <v>10.05.2026</v>
      </c>
      <c r="B606" s="5">
        <v>13</v>
      </c>
      <c r="C606" s="5" t="s">
        <v>105</v>
      </c>
      <c r="D606" s="3">
        <v>10.767049999999999</v>
      </c>
      <c r="E606" s="3">
        <v>10.61017</v>
      </c>
      <c r="F606" s="6">
        <f t="shared" si="117"/>
        <v>-0.15687999999999924</v>
      </c>
      <c r="G606" s="6">
        <f t="shared" si="118"/>
        <v>-1.4570379073190823E-2</v>
      </c>
      <c r="H606" s="6" t="str">
        <f t="shared" si="119"/>
        <v>🔴 Under-injection</v>
      </c>
      <c r="I606" s="6">
        <f t="shared" si="120"/>
        <v>0.15687999999999924</v>
      </c>
      <c r="J606" s="3">
        <v>4.1999000000000004</v>
      </c>
      <c r="K606" s="6">
        <f t="shared" si="121"/>
        <v>1.6150574999999998</v>
      </c>
      <c r="L606" s="6">
        <f t="shared" si="122"/>
        <v>2.15341</v>
      </c>
      <c r="M606" s="6">
        <f t="shared" si="123"/>
        <v>0.15687999999999924</v>
      </c>
      <c r="N606" s="6">
        <f t="shared" si="124"/>
        <v>0</v>
      </c>
      <c r="O606" s="6">
        <f t="shared" si="125"/>
        <v>0</v>
      </c>
      <c r="P606" s="6">
        <f t="shared" si="126"/>
        <v>172.95608189999916</v>
      </c>
      <c r="Q606" s="3">
        <v>172.95608190000002</v>
      </c>
      <c r="R606" s="6">
        <f t="shared" si="127"/>
        <v>-8.5265128291212022E-13</v>
      </c>
      <c r="S606" s="6" t="str">
        <f t="shared" si="128"/>
        <v>OK</v>
      </c>
    </row>
    <row r="607" spans="1:19" x14ac:dyDescent="0.25">
      <c r="A607" s="3" t="str">
        <f t="shared" si="129"/>
        <v>10.05.2026</v>
      </c>
      <c r="B607" s="5">
        <v>14</v>
      </c>
      <c r="C607" s="5" t="s">
        <v>104</v>
      </c>
      <c r="D607" s="3">
        <v>10.767049999999999</v>
      </c>
      <c r="E607" s="3">
        <v>10.61017</v>
      </c>
      <c r="F607" s="6">
        <f t="shared" si="117"/>
        <v>-0.15687999999999924</v>
      </c>
      <c r="G607" s="6">
        <f t="shared" si="118"/>
        <v>-1.4570379073190823E-2</v>
      </c>
      <c r="H607" s="6" t="str">
        <f t="shared" si="119"/>
        <v>🔴 Under-injection</v>
      </c>
      <c r="I607" s="6">
        <f t="shared" si="120"/>
        <v>0.15687999999999924</v>
      </c>
      <c r="J607" s="3">
        <v>4.1229000000000005</v>
      </c>
      <c r="K607" s="6">
        <f t="shared" si="121"/>
        <v>1.6150574999999998</v>
      </c>
      <c r="L607" s="6">
        <f t="shared" si="122"/>
        <v>2.15341</v>
      </c>
      <c r="M607" s="6">
        <f t="shared" si="123"/>
        <v>0.15687999999999924</v>
      </c>
      <c r="N607" s="6">
        <f t="shared" si="124"/>
        <v>0</v>
      </c>
      <c r="O607" s="6">
        <f t="shared" si="125"/>
        <v>0</v>
      </c>
      <c r="P607" s="6">
        <f t="shared" si="126"/>
        <v>169.78514489999918</v>
      </c>
      <c r="Q607" s="3">
        <v>169.78514490000001</v>
      </c>
      <c r="R607" s="6">
        <f t="shared" si="127"/>
        <v>-8.2422957348171622E-13</v>
      </c>
      <c r="S607" s="6" t="str">
        <f t="shared" si="128"/>
        <v>OK</v>
      </c>
    </row>
    <row r="608" spans="1:19" x14ac:dyDescent="0.25">
      <c r="A608" s="3" t="str">
        <f t="shared" si="129"/>
        <v>10.05.2026</v>
      </c>
      <c r="B608" s="5">
        <v>15</v>
      </c>
      <c r="C608" s="5" t="s">
        <v>103</v>
      </c>
      <c r="D608" s="3">
        <v>10.767049999999999</v>
      </c>
      <c r="E608" s="3">
        <v>10.61017</v>
      </c>
      <c r="F608" s="6">
        <f t="shared" si="117"/>
        <v>-0.15687999999999924</v>
      </c>
      <c r="G608" s="6">
        <f t="shared" si="118"/>
        <v>-1.4570379073190823E-2</v>
      </c>
      <c r="H608" s="6" t="str">
        <f t="shared" si="119"/>
        <v>🔴 Under-injection</v>
      </c>
      <c r="I608" s="6">
        <f t="shared" si="120"/>
        <v>0.15687999999999924</v>
      </c>
      <c r="J608" s="3">
        <v>4.0526</v>
      </c>
      <c r="K608" s="6">
        <f t="shared" si="121"/>
        <v>1.6150574999999998</v>
      </c>
      <c r="L608" s="6">
        <f t="shared" si="122"/>
        <v>2.15341</v>
      </c>
      <c r="M608" s="6">
        <f t="shared" si="123"/>
        <v>0.15687999999999924</v>
      </c>
      <c r="N608" s="6">
        <f t="shared" si="124"/>
        <v>0</v>
      </c>
      <c r="O608" s="6">
        <f t="shared" si="125"/>
        <v>0</v>
      </c>
      <c r="P608" s="6">
        <f t="shared" si="126"/>
        <v>166.89012059999919</v>
      </c>
      <c r="Q608" s="3">
        <v>166.89012059999999</v>
      </c>
      <c r="R608" s="6">
        <f t="shared" si="127"/>
        <v>-7.9580786405131221E-13</v>
      </c>
      <c r="S608" s="6" t="str">
        <f t="shared" si="128"/>
        <v>OK</v>
      </c>
    </row>
    <row r="609" spans="1:19" x14ac:dyDescent="0.25">
      <c r="A609" s="3" t="str">
        <f t="shared" si="129"/>
        <v>10.05.2026</v>
      </c>
      <c r="B609" s="5">
        <v>16</v>
      </c>
      <c r="C609" s="5" t="s">
        <v>102</v>
      </c>
      <c r="D609" s="3">
        <v>10.767049999999999</v>
      </c>
      <c r="E609" s="3">
        <v>10.61017</v>
      </c>
      <c r="F609" s="6">
        <f t="shared" si="117"/>
        <v>-0.15687999999999924</v>
      </c>
      <c r="G609" s="6">
        <f t="shared" si="118"/>
        <v>-1.4570379073190823E-2</v>
      </c>
      <c r="H609" s="6" t="str">
        <f t="shared" si="119"/>
        <v>🔴 Under-injection</v>
      </c>
      <c r="I609" s="6">
        <f t="shared" si="120"/>
        <v>0.15687999999999924</v>
      </c>
      <c r="J609" s="3">
        <v>4.0209000000000001</v>
      </c>
      <c r="K609" s="6">
        <f t="shared" si="121"/>
        <v>1.6150574999999998</v>
      </c>
      <c r="L609" s="6">
        <f t="shared" si="122"/>
        <v>2.15341</v>
      </c>
      <c r="M609" s="6">
        <f t="shared" si="123"/>
        <v>0.15687999999999924</v>
      </c>
      <c r="N609" s="6">
        <f t="shared" si="124"/>
        <v>0</v>
      </c>
      <c r="O609" s="6">
        <f t="shared" si="125"/>
        <v>0</v>
      </c>
      <c r="P609" s="6">
        <f t="shared" si="126"/>
        <v>165.58468289999919</v>
      </c>
      <c r="Q609" s="3">
        <v>165.58468290000002</v>
      </c>
      <c r="R609" s="6">
        <f t="shared" si="127"/>
        <v>-8.2422957348171622E-13</v>
      </c>
      <c r="S609" s="6" t="str">
        <f t="shared" si="128"/>
        <v>OK</v>
      </c>
    </row>
    <row r="610" spans="1:19" x14ac:dyDescent="0.25">
      <c r="A610" s="3" t="str">
        <f t="shared" si="129"/>
        <v>10.05.2026</v>
      </c>
      <c r="B610" s="5">
        <v>17</v>
      </c>
      <c r="C610" s="5" t="s">
        <v>101</v>
      </c>
      <c r="D610" s="3">
        <v>10.767049999999999</v>
      </c>
      <c r="E610" s="3">
        <v>10.61017</v>
      </c>
      <c r="F610" s="6">
        <f t="shared" si="117"/>
        <v>-0.15687999999999924</v>
      </c>
      <c r="G610" s="6">
        <f t="shared" si="118"/>
        <v>-1.4570379073190823E-2</v>
      </c>
      <c r="H610" s="6" t="str">
        <f t="shared" si="119"/>
        <v>🔴 Under-injection</v>
      </c>
      <c r="I610" s="6">
        <f t="shared" si="120"/>
        <v>0.15687999999999924</v>
      </c>
      <c r="J610" s="3">
        <v>3.8864000000000001</v>
      </c>
      <c r="K610" s="6">
        <f t="shared" si="121"/>
        <v>1.6150574999999998</v>
      </c>
      <c r="L610" s="6">
        <f t="shared" si="122"/>
        <v>2.15341</v>
      </c>
      <c r="M610" s="6">
        <f t="shared" si="123"/>
        <v>0.15687999999999924</v>
      </c>
      <c r="N610" s="6">
        <f t="shared" si="124"/>
        <v>0</v>
      </c>
      <c r="O610" s="6">
        <f t="shared" si="125"/>
        <v>0</v>
      </c>
      <c r="P610" s="6">
        <f t="shared" si="126"/>
        <v>160.04583839999921</v>
      </c>
      <c r="Q610" s="3">
        <v>160.04583840000001</v>
      </c>
      <c r="R610" s="6">
        <f t="shared" si="127"/>
        <v>-7.9580786405131221E-13</v>
      </c>
      <c r="S610" s="6" t="str">
        <f t="shared" si="128"/>
        <v>OK</v>
      </c>
    </row>
    <row r="611" spans="1:19" x14ac:dyDescent="0.25">
      <c r="A611" s="3" t="str">
        <f t="shared" si="129"/>
        <v>10.05.2026</v>
      </c>
      <c r="B611" s="5">
        <v>18</v>
      </c>
      <c r="C611" s="5" t="s">
        <v>100</v>
      </c>
      <c r="D611" s="3">
        <v>10.767049999999999</v>
      </c>
      <c r="E611" s="3">
        <v>10.61017</v>
      </c>
      <c r="F611" s="6">
        <f t="shared" si="117"/>
        <v>-0.15687999999999924</v>
      </c>
      <c r="G611" s="6">
        <f t="shared" si="118"/>
        <v>-1.4570379073190823E-2</v>
      </c>
      <c r="H611" s="6" t="str">
        <f t="shared" si="119"/>
        <v>🔴 Under-injection</v>
      </c>
      <c r="I611" s="6">
        <f t="shared" si="120"/>
        <v>0.15687999999999924</v>
      </c>
      <c r="J611" s="3">
        <v>4.0086000000000004</v>
      </c>
      <c r="K611" s="6">
        <f t="shared" si="121"/>
        <v>1.6150574999999998</v>
      </c>
      <c r="L611" s="6">
        <f t="shared" si="122"/>
        <v>2.15341</v>
      </c>
      <c r="M611" s="6">
        <f t="shared" si="123"/>
        <v>0.15687999999999924</v>
      </c>
      <c r="N611" s="6">
        <f t="shared" si="124"/>
        <v>0</v>
      </c>
      <c r="O611" s="6">
        <f t="shared" si="125"/>
        <v>0</v>
      </c>
      <c r="P611" s="6">
        <f t="shared" si="126"/>
        <v>165.07815659999923</v>
      </c>
      <c r="Q611" s="3">
        <v>165.0781566</v>
      </c>
      <c r="R611" s="6">
        <f t="shared" si="127"/>
        <v>-7.673861546209082E-13</v>
      </c>
      <c r="S611" s="6" t="str">
        <f t="shared" si="128"/>
        <v>OK</v>
      </c>
    </row>
    <row r="612" spans="1:19" x14ac:dyDescent="0.25">
      <c r="A612" s="3" t="str">
        <f t="shared" si="129"/>
        <v>10.05.2026</v>
      </c>
      <c r="B612" s="5">
        <v>19</v>
      </c>
      <c r="C612" s="5" t="s">
        <v>99</v>
      </c>
      <c r="D612" s="3">
        <v>10.767049999999999</v>
      </c>
      <c r="E612" s="3">
        <v>10.61017</v>
      </c>
      <c r="F612" s="6">
        <f t="shared" si="117"/>
        <v>-0.15687999999999924</v>
      </c>
      <c r="G612" s="6">
        <f t="shared" si="118"/>
        <v>-1.4570379073190823E-2</v>
      </c>
      <c r="H612" s="6" t="str">
        <f t="shared" si="119"/>
        <v>🔴 Under-injection</v>
      </c>
      <c r="I612" s="6">
        <f t="shared" si="120"/>
        <v>0.15687999999999924</v>
      </c>
      <c r="J612" s="3">
        <v>4.0117000000000003</v>
      </c>
      <c r="K612" s="6">
        <f t="shared" si="121"/>
        <v>1.6150574999999998</v>
      </c>
      <c r="L612" s="6">
        <f t="shared" si="122"/>
        <v>2.15341</v>
      </c>
      <c r="M612" s="6">
        <f t="shared" si="123"/>
        <v>0.15687999999999924</v>
      </c>
      <c r="N612" s="6">
        <f t="shared" si="124"/>
        <v>0</v>
      </c>
      <c r="O612" s="6">
        <f t="shared" si="125"/>
        <v>0</v>
      </c>
      <c r="P612" s="6">
        <f t="shared" si="126"/>
        <v>165.20581769999922</v>
      </c>
      <c r="Q612" s="3">
        <v>165.20581770000001</v>
      </c>
      <c r="R612" s="6">
        <f t="shared" si="127"/>
        <v>-7.9580786405131221E-13</v>
      </c>
      <c r="S612" s="6" t="str">
        <f t="shared" si="128"/>
        <v>OK</v>
      </c>
    </row>
    <row r="613" spans="1:19" x14ac:dyDescent="0.25">
      <c r="A613" s="3" t="str">
        <f t="shared" si="129"/>
        <v>10.05.2026</v>
      </c>
      <c r="B613" s="5">
        <v>20</v>
      </c>
      <c r="C613" s="5" t="s">
        <v>98</v>
      </c>
      <c r="D613" s="3">
        <v>10.767049999999999</v>
      </c>
      <c r="E613" s="3">
        <v>10.61017</v>
      </c>
      <c r="F613" s="6">
        <f t="shared" si="117"/>
        <v>-0.15687999999999924</v>
      </c>
      <c r="G613" s="6">
        <f t="shared" si="118"/>
        <v>-1.4570379073190823E-2</v>
      </c>
      <c r="H613" s="6" t="str">
        <f t="shared" si="119"/>
        <v>🔴 Under-injection</v>
      </c>
      <c r="I613" s="6">
        <f t="shared" si="120"/>
        <v>0.15687999999999924</v>
      </c>
      <c r="J613" s="3">
        <v>4.0111999999999997</v>
      </c>
      <c r="K613" s="6">
        <f t="shared" si="121"/>
        <v>1.6150574999999998</v>
      </c>
      <c r="L613" s="6">
        <f t="shared" si="122"/>
        <v>2.15341</v>
      </c>
      <c r="M613" s="6">
        <f t="shared" si="123"/>
        <v>0.15687999999999924</v>
      </c>
      <c r="N613" s="6">
        <f t="shared" si="124"/>
        <v>0</v>
      </c>
      <c r="O613" s="6">
        <f t="shared" si="125"/>
        <v>0</v>
      </c>
      <c r="P613" s="6">
        <f t="shared" si="126"/>
        <v>165.18522719999919</v>
      </c>
      <c r="Q613" s="3">
        <v>165.18522719999999</v>
      </c>
      <c r="R613" s="6">
        <f t="shared" si="127"/>
        <v>-7.9580786405131221E-13</v>
      </c>
      <c r="S613" s="6" t="str">
        <f t="shared" si="128"/>
        <v>OK</v>
      </c>
    </row>
    <row r="614" spans="1:19" x14ac:dyDescent="0.25">
      <c r="A614" s="3" t="str">
        <f t="shared" si="129"/>
        <v>10.05.2026</v>
      </c>
      <c r="B614" s="5">
        <v>21</v>
      </c>
      <c r="C614" s="5" t="s">
        <v>97</v>
      </c>
      <c r="D614" s="3">
        <v>9.7670499999999993</v>
      </c>
      <c r="E614" s="3">
        <v>9.7590900000000005</v>
      </c>
      <c r="F614" s="6">
        <f t="shared" si="117"/>
        <v>-7.9599999999988569E-3</v>
      </c>
      <c r="G614" s="6">
        <f t="shared" si="118"/>
        <v>-8.149850773773921E-4</v>
      </c>
      <c r="H614" s="6" t="str">
        <f t="shared" si="119"/>
        <v>🔴 Under-injection</v>
      </c>
      <c r="I614" s="6">
        <f t="shared" si="120"/>
        <v>7.9599999999988569E-3</v>
      </c>
      <c r="J614" s="3">
        <v>3.6315</v>
      </c>
      <c r="K614" s="6">
        <f t="shared" si="121"/>
        <v>1.4650574999999999</v>
      </c>
      <c r="L614" s="6">
        <f t="shared" si="122"/>
        <v>1.9534099999999999</v>
      </c>
      <c r="M614" s="6">
        <f t="shared" si="123"/>
        <v>7.9599999999988569E-3</v>
      </c>
      <c r="N614" s="6">
        <f t="shared" si="124"/>
        <v>0</v>
      </c>
      <c r="O614" s="6">
        <f t="shared" si="125"/>
        <v>0</v>
      </c>
      <c r="P614" s="6">
        <f t="shared" si="126"/>
        <v>7.5880192499989114</v>
      </c>
      <c r="Q614" s="3">
        <v>7.5880192500000003</v>
      </c>
      <c r="R614" s="6">
        <f t="shared" si="127"/>
        <v>-1.0889067425523535E-12</v>
      </c>
      <c r="S614" s="6" t="str">
        <f t="shared" si="128"/>
        <v>OK</v>
      </c>
    </row>
    <row r="615" spans="1:19" x14ac:dyDescent="0.25">
      <c r="A615" s="3" t="str">
        <f t="shared" si="129"/>
        <v>10.05.2026</v>
      </c>
      <c r="B615" s="5">
        <v>22</v>
      </c>
      <c r="C615" s="5" t="s">
        <v>96</v>
      </c>
      <c r="D615" s="3">
        <v>9.7670499999999993</v>
      </c>
      <c r="E615" s="3">
        <v>9.6456099999999996</v>
      </c>
      <c r="F615" s="6">
        <f t="shared" si="117"/>
        <v>-0.12143999999999977</v>
      </c>
      <c r="G615" s="6">
        <f t="shared" si="118"/>
        <v>-1.2433641683005594E-2</v>
      </c>
      <c r="H615" s="6" t="str">
        <f t="shared" si="119"/>
        <v>🔴 Under-injection</v>
      </c>
      <c r="I615" s="6">
        <f t="shared" si="120"/>
        <v>0.12143999999999977</v>
      </c>
      <c r="J615" s="3">
        <v>3.7807999999999997</v>
      </c>
      <c r="K615" s="6">
        <f t="shared" si="121"/>
        <v>1.4650574999999999</v>
      </c>
      <c r="L615" s="6">
        <f t="shared" si="122"/>
        <v>1.9534099999999999</v>
      </c>
      <c r="M615" s="6">
        <f t="shared" si="123"/>
        <v>0.12143999999999977</v>
      </c>
      <c r="N615" s="6">
        <f t="shared" si="124"/>
        <v>0</v>
      </c>
      <c r="O615" s="6">
        <f t="shared" si="125"/>
        <v>0</v>
      </c>
      <c r="P615" s="6">
        <f t="shared" si="126"/>
        <v>120.52434239999977</v>
      </c>
      <c r="Q615" s="3">
        <v>120.52434240000001</v>
      </c>
      <c r="R615" s="6">
        <f t="shared" si="127"/>
        <v>-2.4158453015843406E-13</v>
      </c>
      <c r="S615" s="6" t="str">
        <f t="shared" si="128"/>
        <v>OK</v>
      </c>
    </row>
    <row r="616" spans="1:19" x14ac:dyDescent="0.25">
      <c r="A616" s="3" t="str">
        <f t="shared" si="129"/>
        <v>10.05.2026</v>
      </c>
      <c r="B616" s="5">
        <v>23</v>
      </c>
      <c r="C616" s="5" t="s">
        <v>95</v>
      </c>
      <c r="D616" s="3">
        <v>9.7670499999999993</v>
      </c>
      <c r="E616" s="3">
        <v>9.6456099999999996</v>
      </c>
      <c r="F616" s="6">
        <f t="shared" si="117"/>
        <v>-0.12143999999999977</v>
      </c>
      <c r="G616" s="6">
        <f t="shared" si="118"/>
        <v>-1.2433641683005594E-2</v>
      </c>
      <c r="H616" s="6" t="str">
        <f t="shared" si="119"/>
        <v>🔴 Under-injection</v>
      </c>
      <c r="I616" s="6">
        <f t="shared" si="120"/>
        <v>0.12143999999999977</v>
      </c>
      <c r="J616" s="3">
        <v>3.8104</v>
      </c>
      <c r="K616" s="6">
        <f t="shared" si="121"/>
        <v>1.4650574999999999</v>
      </c>
      <c r="L616" s="6">
        <f t="shared" si="122"/>
        <v>1.9534099999999999</v>
      </c>
      <c r="M616" s="6">
        <f t="shared" si="123"/>
        <v>0.12143999999999977</v>
      </c>
      <c r="N616" s="6">
        <f t="shared" si="124"/>
        <v>0</v>
      </c>
      <c r="O616" s="6">
        <f t="shared" si="125"/>
        <v>0</v>
      </c>
      <c r="P616" s="6">
        <f t="shared" si="126"/>
        <v>121.46793119999978</v>
      </c>
      <c r="Q616" s="3">
        <v>121.46793120000001</v>
      </c>
      <c r="R616" s="6">
        <f t="shared" si="127"/>
        <v>-2.2737367544323206E-13</v>
      </c>
      <c r="S616" s="6" t="str">
        <f t="shared" si="128"/>
        <v>OK</v>
      </c>
    </row>
    <row r="617" spans="1:19" x14ac:dyDescent="0.25">
      <c r="A617" s="3" t="str">
        <f t="shared" si="129"/>
        <v>10.05.2026</v>
      </c>
      <c r="B617" s="5">
        <v>24</v>
      </c>
      <c r="C617" s="5" t="s">
        <v>94</v>
      </c>
      <c r="D617" s="3">
        <v>9.7670499999999993</v>
      </c>
      <c r="E617" s="3">
        <v>9.6456099999999996</v>
      </c>
      <c r="F617" s="6">
        <f t="shared" si="117"/>
        <v>-0.12143999999999977</v>
      </c>
      <c r="G617" s="6">
        <f t="shared" si="118"/>
        <v>-1.2433641683005594E-2</v>
      </c>
      <c r="H617" s="6" t="str">
        <f t="shared" si="119"/>
        <v>🔴 Under-injection</v>
      </c>
      <c r="I617" s="6">
        <f t="shared" si="120"/>
        <v>0.12143999999999977</v>
      </c>
      <c r="J617" s="3">
        <v>3.6006</v>
      </c>
      <c r="K617" s="6">
        <f t="shared" si="121"/>
        <v>1.4650574999999999</v>
      </c>
      <c r="L617" s="6">
        <f t="shared" si="122"/>
        <v>1.9534099999999999</v>
      </c>
      <c r="M617" s="6">
        <f t="shared" si="123"/>
        <v>0.12143999999999977</v>
      </c>
      <c r="N617" s="6">
        <f t="shared" si="124"/>
        <v>0</v>
      </c>
      <c r="O617" s="6">
        <f t="shared" si="125"/>
        <v>0</v>
      </c>
      <c r="P617" s="6">
        <f t="shared" si="126"/>
        <v>114.7799267999998</v>
      </c>
      <c r="Q617" s="3">
        <v>114.77992680000001</v>
      </c>
      <c r="R617" s="6">
        <f t="shared" si="127"/>
        <v>-2.1316282072803006E-13</v>
      </c>
      <c r="S617" s="6" t="str">
        <f t="shared" si="128"/>
        <v>OK</v>
      </c>
    </row>
    <row r="618" spans="1:19" x14ac:dyDescent="0.25">
      <c r="A618" s="3" t="str">
        <f t="shared" si="129"/>
        <v>10.05.2026</v>
      </c>
      <c r="B618" s="5">
        <v>25</v>
      </c>
      <c r="C618" s="5" t="s">
        <v>93</v>
      </c>
      <c r="D618" s="3">
        <v>9.7670499999999993</v>
      </c>
      <c r="E618" s="3">
        <v>9.6456099999999996</v>
      </c>
      <c r="F618" s="6">
        <f t="shared" si="117"/>
        <v>-0.12143999999999977</v>
      </c>
      <c r="G618" s="6">
        <f t="shared" si="118"/>
        <v>-1.2433641683005594E-2</v>
      </c>
      <c r="H618" s="6" t="str">
        <f t="shared" si="119"/>
        <v>🔴 Under-injection</v>
      </c>
      <c r="I618" s="6">
        <f t="shared" si="120"/>
        <v>0.12143999999999977</v>
      </c>
      <c r="J618" s="3">
        <v>3.5268000000000002</v>
      </c>
      <c r="K618" s="6">
        <f t="shared" si="121"/>
        <v>1.4650574999999999</v>
      </c>
      <c r="L618" s="6">
        <f t="shared" si="122"/>
        <v>1.9534099999999999</v>
      </c>
      <c r="M618" s="6">
        <f t="shared" si="123"/>
        <v>0.12143999999999977</v>
      </c>
      <c r="N618" s="6">
        <f t="shared" si="124"/>
        <v>0</v>
      </c>
      <c r="O618" s="6">
        <f t="shared" si="125"/>
        <v>0</v>
      </c>
      <c r="P618" s="6">
        <f t="shared" si="126"/>
        <v>112.4273303999998</v>
      </c>
      <c r="Q618" s="3">
        <v>112.42733040000002</v>
      </c>
      <c r="R618" s="6">
        <f t="shared" si="127"/>
        <v>-2.1316282072803006E-13</v>
      </c>
      <c r="S618" s="6" t="str">
        <f t="shared" si="128"/>
        <v>OK</v>
      </c>
    </row>
    <row r="619" spans="1:19" x14ac:dyDescent="0.25">
      <c r="A619" s="3" t="str">
        <f t="shared" si="129"/>
        <v>10.05.2026</v>
      </c>
      <c r="B619" s="5">
        <v>26</v>
      </c>
      <c r="C619" s="5" t="s">
        <v>92</v>
      </c>
      <c r="D619" s="3">
        <v>9.7670499999999993</v>
      </c>
      <c r="E619" s="3">
        <v>9.6456099999999996</v>
      </c>
      <c r="F619" s="6">
        <f t="shared" si="117"/>
        <v>-0.12143999999999977</v>
      </c>
      <c r="G619" s="6">
        <f t="shared" si="118"/>
        <v>-1.2433641683005594E-2</v>
      </c>
      <c r="H619" s="6" t="str">
        <f t="shared" si="119"/>
        <v>🔴 Under-injection</v>
      </c>
      <c r="I619" s="6">
        <f t="shared" si="120"/>
        <v>0.12143999999999977</v>
      </c>
      <c r="J619" s="3">
        <v>3.4561000000000002</v>
      </c>
      <c r="K619" s="6">
        <f t="shared" si="121"/>
        <v>1.4650574999999999</v>
      </c>
      <c r="L619" s="6">
        <f t="shared" si="122"/>
        <v>1.9534099999999999</v>
      </c>
      <c r="M619" s="6">
        <f t="shared" si="123"/>
        <v>0.12143999999999977</v>
      </c>
      <c r="N619" s="6">
        <f t="shared" si="124"/>
        <v>0</v>
      </c>
      <c r="O619" s="6">
        <f t="shared" si="125"/>
        <v>0</v>
      </c>
      <c r="P619" s="6">
        <f t="shared" si="126"/>
        <v>110.1735557999998</v>
      </c>
      <c r="Q619" s="3">
        <v>110.17355580000002</v>
      </c>
      <c r="R619" s="6">
        <f t="shared" si="127"/>
        <v>-2.1316282072803006E-13</v>
      </c>
      <c r="S619" s="6" t="str">
        <f t="shared" si="128"/>
        <v>OK</v>
      </c>
    </row>
    <row r="620" spans="1:19" x14ac:dyDescent="0.25">
      <c r="A620" s="3" t="str">
        <f t="shared" si="129"/>
        <v>10.05.2026</v>
      </c>
      <c r="B620" s="5">
        <v>27</v>
      </c>
      <c r="C620" s="5" t="s">
        <v>91</v>
      </c>
      <c r="D620" s="3">
        <v>9.7670499999999993</v>
      </c>
      <c r="E620" s="3">
        <v>9.6456099999999996</v>
      </c>
      <c r="F620" s="6">
        <f t="shared" si="117"/>
        <v>-0.12143999999999977</v>
      </c>
      <c r="G620" s="6">
        <f t="shared" si="118"/>
        <v>-1.2433641683005594E-2</v>
      </c>
      <c r="H620" s="6" t="str">
        <f t="shared" si="119"/>
        <v>🔴 Under-injection</v>
      </c>
      <c r="I620" s="6">
        <f t="shared" si="120"/>
        <v>0.12143999999999977</v>
      </c>
      <c r="J620" s="3">
        <v>3.3268</v>
      </c>
      <c r="K620" s="6">
        <f t="shared" si="121"/>
        <v>1.4650574999999999</v>
      </c>
      <c r="L620" s="6">
        <f t="shared" si="122"/>
        <v>1.9534099999999999</v>
      </c>
      <c r="M620" s="6">
        <f t="shared" si="123"/>
        <v>0.12143999999999977</v>
      </c>
      <c r="N620" s="6">
        <f t="shared" si="124"/>
        <v>0</v>
      </c>
      <c r="O620" s="6">
        <f t="shared" si="125"/>
        <v>0</v>
      </c>
      <c r="P620" s="6">
        <f t="shared" si="126"/>
        <v>106.05173039999981</v>
      </c>
      <c r="Q620" s="3">
        <v>106.0517304</v>
      </c>
      <c r="R620" s="6">
        <f t="shared" si="127"/>
        <v>-1.8474111129762605E-13</v>
      </c>
      <c r="S620" s="6" t="str">
        <f t="shared" si="128"/>
        <v>OK</v>
      </c>
    </row>
    <row r="621" spans="1:19" x14ac:dyDescent="0.25">
      <c r="A621" s="3" t="str">
        <f t="shared" si="129"/>
        <v>10.05.2026</v>
      </c>
      <c r="B621" s="5">
        <v>28</v>
      </c>
      <c r="C621" s="5" t="s">
        <v>90</v>
      </c>
      <c r="D621" s="3">
        <v>9.7670499999999993</v>
      </c>
      <c r="E621" s="3">
        <v>9.6569500000000001</v>
      </c>
      <c r="F621" s="6">
        <f t="shared" si="117"/>
        <v>-0.1100999999999992</v>
      </c>
      <c r="G621" s="6">
        <f t="shared" si="118"/>
        <v>-1.12725951029225E-2</v>
      </c>
      <c r="H621" s="6" t="str">
        <f t="shared" si="119"/>
        <v>🔴 Under-injection</v>
      </c>
      <c r="I621" s="6">
        <f t="shared" si="120"/>
        <v>0.1100999999999992</v>
      </c>
      <c r="J621" s="3">
        <v>3.2557999999999998</v>
      </c>
      <c r="K621" s="6">
        <f t="shared" si="121"/>
        <v>1.4650574999999999</v>
      </c>
      <c r="L621" s="6">
        <f t="shared" si="122"/>
        <v>1.9534099999999999</v>
      </c>
      <c r="M621" s="6">
        <f t="shared" si="123"/>
        <v>0.1100999999999992</v>
      </c>
      <c r="N621" s="6">
        <f t="shared" si="124"/>
        <v>0</v>
      </c>
      <c r="O621" s="6">
        <f t="shared" si="125"/>
        <v>0</v>
      </c>
      <c r="P621" s="6">
        <f t="shared" si="126"/>
        <v>94.096689749999314</v>
      </c>
      <c r="Q621" s="3">
        <v>94.09668975000001</v>
      </c>
      <c r="R621" s="6">
        <f t="shared" si="127"/>
        <v>-6.9633188104489818E-13</v>
      </c>
      <c r="S621" s="6" t="str">
        <f t="shared" si="128"/>
        <v>OK</v>
      </c>
    </row>
    <row r="622" spans="1:19" x14ac:dyDescent="0.25">
      <c r="A622" s="3" t="str">
        <f t="shared" si="129"/>
        <v>10.05.2026</v>
      </c>
      <c r="B622" s="5">
        <v>29</v>
      </c>
      <c r="C622" s="5" t="s">
        <v>89</v>
      </c>
      <c r="D622" s="3">
        <v>9.7670499999999993</v>
      </c>
      <c r="E622" s="3">
        <v>9.6569500000000001</v>
      </c>
      <c r="F622" s="6">
        <f t="shared" si="117"/>
        <v>-0.1100999999999992</v>
      </c>
      <c r="G622" s="6">
        <f t="shared" si="118"/>
        <v>-1.12725951029225E-2</v>
      </c>
      <c r="H622" s="6" t="str">
        <f t="shared" si="119"/>
        <v>🔴 Under-injection</v>
      </c>
      <c r="I622" s="6">
        <f t="shared" si="120"/>
        <v>0.1100999999999992</v>
      </c>
      <c r="J622" s="3">
        <v>3.0794000000000001</v>
      </c>
      <c r="K622" s="6">
        <f t="shared" si="121"/>
        <v>1.4650574999999999</v>
      </c>
      <c r="L622" s="6">
        <f t="shared" si="122"/>
        <v>1.9534099999999999</v>
      </c>
      <c r="M622" s="6">
        <f t="shared" si="123"/>
        <v>0.1100999999999992</v>
      </c>
      <c r="N622" s="6">
        <f t="shared" si="124"/>
        <v>0</v>
      </c>
      <c r="O622" s="6">
        <f t="shared" si="125"/>
        <v>0</v>
      </c>
      <c r="P622" s="6">
        <f t="shared" si="126"/>
        <v>88.998509249999358</v>
      </c>
      <c r="Q622" s="3">
        <v>88.998509250000012</v>
      </c>
      <c r="R622" s="6">
        <f t="shared" si="127"/>
        <v>-6.5369931689929217E-13</v>
      </c>
      <c r="S622" s="6" t="str">
        <f t="shared" si="128"/>
        <v>OK</v>
      </c>
    </row>
    <row r="623" spans="1:19" x14ac:dyDescent="0.25">
      <c r="A623" s="3" t="str">
        <f t="shared" si="129"/>
        <v>10.05.2026</v>
      </c>
      <c r="B623" s="5">
        <v>30</v>
      </c>
      <c r="C623" s="5" t="s">
        <v>88</v>
      </c>
      <c r="D623" s="3">
        <v>9.7670499999999993</v>
      </c>
      <c r="E623" s="3">
        <v>9.6569500000000001</v>
      </c>
      <c r="F623" s="6">
        <f t="shared" si="117"/>
        <v>-0.1100999999999992</v>
      </c>
      <c r="G623" s="6">
        <f t="shared" si="118"/>
        <v>-1.12725951029225E-2</v>
      </c>
      <c r="H623" s="6" t="str">
        <f t="shared" si="119"/>
        <v>🔴 Under-injection</v>
      </c>
      <c r="I623" s="6">
        <f t="shared" si="120"/>
        <v>0.1100999999999992</v>
      </c>
      <c r="J623" s="3">
        <v>2.3157000000000001</v>
      </c>
      <c r="K623" s="6">
        <f t="shared" si="121"/>
        <v>1.4650574999999999</v>
      </c>
      <c r="L623" s="6">
        <f t="shared" si="122"/>
        <v>1.9534099999999999</v>
      </c>
      <c r="M623" s="6">
        <f t="shared" si="123"/>
        <v>0.1100999999999992</v>
      </c>
      <c r="N623" s="6">
        <f t="shared" si="124"/>
        <v>0</v>
      </c>
      <c r="O623" s="6">
        <f t="shared" si="125"/>
        <v>0</v>
      </c>
      <c r="P623" s="6">
        <f t="shared" si="126"/>
        <v>66.926624624999519</v>
      </c>
      <c r="Q623" s="3">
        <v>66.926624625000017</v>
      </c>
      <c r="R623" s="6">
        <f t="shared" si="127"/>
        <v>-4.9737991503207013E-13</v>
      </c>
      <c r="S623" s="6" t="str">
        <f t="shared" si="128"/>
        <v>OK</v>
      </c>
    </row>
    <row r="624" spans="1:19" x14ac:dyDescent="0.25">
      <c r="A624" s="3" t="str">
        <f t="shared" si="129"/>
        <v>10.05.2026</v>
      </c>
      <c r="B624" s="5">
        <v>31</v>
      </c>
      <c r="C624" s="5" t="s">
        <v>87</v>
      </c>
      <c r="D624" s="3">
        <v>9.7670499999999993</v>
      </c>
      <c r="E624" s="3">
        <v>9.6456099999999996</v>
      </c>
      <c r="F624" s="6">
        <f t="shared" si="117"/>
        <v>-0.12143999999999977</v>
      </c>
      <c r="G624" s="6">
        <f t="shared" si="118"/>
        <v>-1.2433641683005594E-2</v>
      </c>
      <c r="H624" s="6" t="str">
        <f t="shared" si="119"/>
        <v>🔴 Under-injection</v>
      </c>
      <c r="I624" s="6">
        <f t="shared" si="120"/>
        <v>0.12143999999999977</v>
      </c>
      <c r="J624" s="3">
        <v>1.7201</v>
      </c>
      <c r="K624" s="6">
        <f t="shared" si="121"/>
        <v>1.4650574999999999</v>
      </c>
      <c r="L624" s="6">
        <f t="shared" si="122"/>
        <v>1.9534099999999999</v>
      </c>
      <c r="M624" s="6">
        <f t="shared" si="123"/>
        <v>0.12143999999999977</v>
      </c>
      <c r="N624" s="6">
        <f t="shared" si="124"/>
        <v>0</v>
      </c>
      <c r="O624" s="6">
        <f t="shared" si="125"/>
        <v>0</v>
      </c>
      <c r="P624" s="6">
        <f t="shared" si="126"/>
        <v>54.833347799999899</v>
      </c>
      <c r="Q624" s="3">
        <v>54.833347800000006</v>
      </c>
      <c r="R624" s="6">
        <f t="shared" si="127"/>
        <v>-1.0658141036401503E-13</v>
      </c>
      <c r="S624" s="6" t="str">
        <f t="shared" si="128"/>
        <v>OK</v>
      </c>
    </row>
    <row r="625" spans="1:19" x14ac:dyDescent="0.25">
      <c r="A625" s="3" t="str">
        <f t="shared" si="129"/>
        <v>10.05.2026</v>
      </c>
      <c r="B625" s="5">
        <v>32</v>
      </c>
      <c r="C625" s="5" t="s">
        <v>86</v>
      </c>
      <c r="D625" s="3">
        <v>8.7670499999999993</v>
      </c>
      <c r="E625" s="3">
        <v>9.6456099999999996</v>
      </c>
      <c r="F625" s="6">
        <f t="shared" si="117"/>
        <v>0.87856000000000023</v>
      </c>
      <c r="G625" s="6">
        <f t="shared" si="118"/>
        <v>0.10021158770624101</v>
      </c>
      <c r="H625" s="6" t="str">
        <f t="shared" si="119"/>
        <v>🟢 Over-injection</v>
      </c>
      <c r="I625" s="6">
        <f t="shared" si="120"/>
        <v>-0.87856000000000023</v>
      </c>
      <c r="J625" s="3">
        <v>0.7298</v>
      </c>
      <c r="K625" s="6">
        <f t="shared" si="121"/>
        <v>1.3150574999999998</v>
      </c>
      <c r="L625" s="6">
        <f t="shared" si="122"/>
        <v>1.7534099999999999</v>
      </c>
      <c r="M625" s="6">
        <f t="shared" si="123"/>
        <v>0.87856000000000023</v>
      </c>
      <c r="N625" s="6">
        <f t="shared" si="124"/>
        <v>0</v>
      </c>
      <c r="O625" s="6">
        <f t="shared" si="125"/>
        <v>0</v>
      </c>
      <c r="P625" s="6">
        <f t="shared" si="126"/>
        <v>-128.23461760000004</v>
      </c>
      <c r="Q625" s="3">
        <v>-128.23461760000001</v>
      </c>
      <c r="R625" s="6">
        <f t="shared" si="127"/>
        <v>0</v>
      </c>
      <c r="S625" s="6" t="str">
        <f t="shared" si="128"/>
        <v>OK</v>
      </c>
    </row>
    <row r="626" spans="1:19" x14ac:dyDescent="0.25">
      <c r="A626" s="3" t="str">
        <f t="shared" si="129"/>
        <v>10.05.2026</v>
      </c>
      <c r="B626" s="5">
        <v>33</v>
      </c>
      <c r="C626" s="5" t="s">
        <v>85</v>
      </c>
      <c r="D626" s="3">
        <v>9.4670499999999986</v>
      </c>
      <c r="E626" s="3">
        <v>9.6456099999999996</v>
      </c>
      <c r="F626" s="6">
        <f t="shared" si="117"/>
        <v>0.17856000000000094</v>
      </c>
      <c r="G626" s="6">
        <f t="shared" si="118"/>
        <v>1.886120808488399E-2</v>
      </c>
      <c r="H626" s="6" t="str">
        <f t="shared" si="119"/>
        <v>🟢 Over-injection</v>
      </c>
      <c r="I626" s="6">
        <f t="shared" si="120"/>
        <v>-0.17856000000000094</v>
      </c>
      <c r="J626" s="3">
        <v>1.0185</v>
      </c>
      <c r="K626" s="6">
        <f t="shared" si="121"/>
        <v>1.4200574999999998</v>
      </c>
      <c r="L626" s="6">
        <f t="shared" si="122"/>
        <v>1.8934099999999998</v>
      </c>
      <c r="M626" s="6">
        <f t="shared" si="123"/>
        <v>0.17856000000000094</v>
      </c>
      <c r="N626" s="6">
        <f t="shared" si="124"/>
        <v>0</v>
      </c>
      <c r="O626" s="6">
        <f t="shared" si="125"/>
        <v>0</v>
      </c>
      <c r="P626" s="6">
        <f t="shared" si="126"/>
        <v>-36.372672000000186</v>
      </c>
      <c r="Q626" s="3">
        <v>-36.372671999999994</v>
      </c>
      <c r="R626" s="6">
        <f t="shared" si="127"/>
        <v>-1.9184653865522705E-13</v>
      </c>
      <c r="S626" s="6" t="str">
        <f t="shared" si="128"/>
        <v>OK</v>
      </c>
    </row>
    <row r="627" spans="1:19" x14ac:dyDescent="0.25">
      <c r="A627" s="3" t="str">
        <f t="shared" si="129"/>
        <v>10.05.2026</v>
      </c>
      <c r="B627" s="5">
        <v>34</v>
      </c>
      <c r="C627" s="5" t="s">
        <v>84</v>
      </c>
      <c r="D627" s="3">
        <v>9.4670499999999986</v>
      </c>
      <c r="E627" s="3">
        <v>9.5321300000000004</v>
      </c>
      <c r="F627" s="6">
        <f t="shared" si="117"/>
        <v>6.5080000000001803E-2</v>
      </c>
      <c r="G627" s="6">
        <f t="shared" si="118"/>
        <v>6.8743695237694757E-3</v>
      </c>
      <c r="H627" s="6" t="str">
        <f t="shared" si="119"/>
        <v>🟢 Over-injection</v>
      </c>
      <c r="I627" s="6">
        <f t="shared" si="120"/>
        <v>-6.5080000000001803E-2</v>
      </c>
      <c r="J627" s="3">
        <v>0.6462</v>
      </c>
      <c r="K627" s="6">
        <f t="shared" si="121"/>
        <v>1.4200574999999998</v>
      </c>
      <c r="L627" s="6">
        <f t="shared" si="122"/>
        <v>1.8934099999999998</v>
      </c>
      <c r="M627" s="6">
        <f t="shared" si="123"/>
        <v>6.5080000000001803E-2</v>
      </c>
      <c r="N627" s="6">
        <f t="shared" si="124"/>
        <v>0</v>
      </c>
      <c r="O627" s="6">
        <f t="shared" si="125"/>
        <v>0</v>
      </c>
      <c r="P627" s="6">
        <f t="shared" si="126"/>
        <v>-8.4109392000002323</v>
      </c>
      <c r="Q627" s="3">
        <v>-8.4109391999999996</v>
      </c>
      <c r="R627" s="6">
        <f t="shared" si="127"/>
        <v>-2.3270274596143281E-13</v>
      </c>
      <c r="S627" s="6" t="str">
        <f t="shared" si="128"/>
        <v>OK</v>
      </c>
    </row>
    <row r="628" spans="1:19" x14ac:dyDescent="0.25">
      <c r="A628" s="3" t="str">
        <f t="shared" si="129"/>
        <v>10.05.2026</v>
      </c>
      <c r="B628" s="5">
        <v>35</v>
      </c>
      <c r="C628" s="5" t="s">
        <v>83</v>
      </c>
      <c r="D628" s="3">
        <v>9.4670499999999986</v>
      </c>
      <c r="E628" s="3">
        <v>9.3505699999999994</v>
      </c>
      <c r="F628" s="6">
        <f t="shared" si="117"/>
        <v>-0.11647999999999925</v>
      </c>
      <c r="G628" s="6">
        <f t="shared" si="118"/>
        <v>-1.2303727137809483E-2</v>
      </c>
      <c r="H628" s="6" t="str">
        <f t="shared" si="119"/>
        <v>🔴 Under-injection</v>
      </c>
      <c r="I628" s="6">
        <f t="shared" si="120"/>
        <v>0.11647999999999925</v>
      </c>
      <c r="J628" s="3">
        <v>0.50029999999999997</v>
      </c>
      <c r="K628" s="6">
        <f t="shared" si="121"/>
        <v>1.4200574999999998</v>
      </c>
      <c r="L628" s="6">
        <f t="shared" si="122"/>
        <v>1.8934099999999998</v>
      </c>
      <c r="M628" s="6">
        <f t="shared" si="123"/>
        <v>0.11647999999999925</v>
      </c>
      <c r="N628" s="6">
        <f t="shared" si="124"/>
        <v>0</v>
      </c>
      <c r="O628" s="6">
        <f t="shared" si="125"/>
        <v>0</v>
      </c>
      <c r="P628" s="6">
        <f t="shared" si="126"/>
        <v>15.297172799999901</v>
      </c>
      <c r="Q628" s="3">
        <v>15.2971728</v>
      </c>
      <c r="R628" s="6">
        <f t="shared" si="127"/>
        <v>-9.9475983006414026E-14</v>
      </c>
      <c r="S628" s="6" t="str">
        <f t="shared" si="128"/>
        <v>OK</v>
      </c>
    </row>
    <row r="629" spans="1:19" x14ac:dyDescent="0.25">
      <c r="A629" s="3" t="str">
        <f t="shared" si="129"/>
        <v>10.05.2026</v>
      </c>
      <c r="B629" s="5">
        <v>36</v>
      </c>
      <c r="C629" s="5" t="s">
        <v>82</v>
      </c>
      <c r="D629" s="3">
        <v>9.4670499999999986</v>
      </c>
      <c r="E629" s="3">
        <v>9.3505699999999994</v>
      </c>
      <c r="F629" s="6">
        <f t="shared" si="117"/>
        <v>-0.11647999999999925</v>
      </c>
      <c r="G629" s="6">
        <f t="shared" si="118"/>
        <v>-1.2303727137809483E-2</v>
      </c>
      <c r="H629" s="6" t="str">
        <f t="shared" si="119"/>
        <v>🔴 Under-injection</v>
      </c>
      <c r="I629" s="6">
        <f t="shared" si="120"/>
        <v>0.11647999999999925</v>
      </c>
      <c r="J629" s="3">
        <v>0.50039999999999996</v>
      </c>
      <c r="K629" s="6">
        <f t="shared" si="121"/>
        <v>1.4200574999999998</v>
      </c>
      <c r="L629" s="6">
        <f t="shared" si="122"/>
        <v>1.8934099999999998</v>
      </c>
      <c r="M629" s="6">
        <f t="shared" si="123"/>
        <v>0.11647999999999925</v>
      </c>
      <c r="N629" s="6">
        <f t="shared" si="124"/>
        <v>0</v>
      </c>
      <c r="O629" s="6">
        <f t="shared" si="125"/>
        <v>0</v>
      </c>
      <c r="P629" s="6">
        <f t="shared" si="126"/>
        <v>15.300230399999901</v>
      </c>
      <c r="Q629" s="3">
        <v>15.3002304</v>
      </c>
      <c r="R629" s="6">
        <f t="shared" si="127"/>
        <v>-9.9475983006414026E-14</v>
      </c>
      <c r="S629" s="6" t="str">
        <f t="shared" si="128"/>
        <v>OK</v>
      </c>
    </row>
    <row r="630" spans="1:19" x14ac:dyDescent="0.25">
      <c r="A630" s="3" t="str">
        <f t="shared" si="129"/>
        <v>10.05.2026</v>
      </c>
      <c r="B630" s="5">
        <v>37</v>
      </c>
      <c r="C630" s="5" t="s">
        <v>81</v>
      </c>
      <c r="D630" s="3">
        <v>8.7670499999999993</v>
      </c>
      <c r="E630" s="3">
        <v>9.3505699999999994</v>
      </c>
      <c r="F630" s="6">
        <f t="shared" si="117"/>
        <v>0.58352000000000004</v>
      </c>
      <c r="G630" s="6">
        <f t="shared" si="118"/>
        <v>6.6558306385842453E-2</v>
      </c>
      <c r="H630" s="6" t="str">
        <f t="shared" si="119"/>
        <v>🟢 Over-injection</v>
      </c>
      <c r="I630" s="6">
        <f t="shared" si="120"/>
        <v>-0.58352000000000004</v>
      </c>
      <c r="J630" s="3">
        <v>0.44850000000000001</v>
      </c>
      <c r="K630" s="6">
        <f t="shared" si="121"/>
        <v>1.3150574999999998</v>
      </c>
      <c r="L630" s="6">
        <f t="shared" si="122"/>
        <v>1.7534099999999999</v>
      </c>
      <c r="M630" s="6">
        <f t="shared" si="123"/>
        <v>0.58352000000000004</v>
      </c>
      <c r="N630" s="6">
        <f t="shared" si="124"/>
        <v>0</v>
      </c>
      <c r="O630" s="6">
        <f t="shared" si="125"/>
        <v>0</v>
      </c>
      <c r="P630" s="6">
        <f t="shared" si="126"/>
        <v>-52.341744000000013</v>
      </c>
      <c r="Q630" s="3">
        <v>-52.341744000000006</v>
      </c>
      <c r="R630" s="6">
        <f t="shared" si="127"/>
        <v>0</v>
      </c>
      <c r="S630" s="6" t="str">
        <f t="shared" si="128"/>
        <v>OK</v>
      </c>
    </row>
    <row r="631" spans="1:19" x14ac:dyDescent="0.25">
      <c r="A631" s="3" t="str">
        <f t="shared" si="129"/>
        <v>10.05.2026</v>
      </c>
      <c r="B631" s="5">
        <v>38</v>
      </c>
      <c r="C631" s="5" t="s">
        <v>80</v>
      </c>
      <c r="D631" s="3">
        <v>8.7670499999999993</v>
      </c>
      <c r="E631" s="3">
        <v>9.3505699999999994</v>
      </c>
      <c r="F631" s="6">
        <f t="shared" si="117"/>
        <v>0.58352000000000004</v>
      </c>
      <c r="G631" s="6">
        <f t="shared" si="118"/>
        <v>6.6558306385842453E-2</v>
      </c>
      <c r="H631" s="6" t="str">
        <f t="shared" si="119"/>
        <v>🟢 Over-injection</v>
      </c>
      <c r="I631" s="6">
        <f t="shared" si="120"/>
        <v>-0.58352000000000004</v>
      </c>
      <c r="J631" s="3">
        <v>0.39750000000000002</v>
      </c>
      <c r="K631" s="6">
        <f t="shared" si="121"/>
        <v>1.3150574999999998</v>
      </c>
      <c r="L631" s="6">
        <f t="shared" si="122"/>
        <v>1.7534099999999999</v>
      </c>
      <c r="M631" s="6">
        <f t="shared" si="123"/>
        <v>0.58352000000000004</v>
      </c>
      <c r="N631" s="6">
        <f t="shared" si="124"/>
        <v>0</v>
      </c>
      <c r="O631" s="6">
        <f t="shared" si="125"/>
        <v>0</v>
      </c>
      <c r="P631" s="6">
        <f t="shared" si="126"/>
        <v>-46.389840000000007</v>
      </c>
      <c r="Q631" s="3">
        <v>-46.389840000000007</v>
      </c>
      <c r="R631" s="6">
        <f t="shared" si="127"/>
        <v>0</v>
      </c>
      <c r="S631" s="6" t="str">
        <f t="shared" si="128"/>
        <v>OK</v>
      </c>
    </row>
    <row r="632" spans="1:19" x14ac:dyDescent="0.25">
      <c r="A632" s="3" t="str">
        <f t="shared" si="129"/>
        <v>10.05.2026</v>
      </c>
      <c r="B632" s="5">
        <v>39</v>
      </c>
      <c r="C632" s="5" t="s">
        <v>79</v>
      </c>
      <c r="D632" s="3">
        <v>8.7670499999999993</v>
      </c>
      <c r="E632" s="3">
        <v>9.3505699999999994</v>
      </c>
      <c r="F632" s="6">
        <f t="shared" si="117"/>
        <v>0.58352000000000004</v>
      </c>
      <c r="G632" s="6">
        <f t="shared" si="118"/>
        <v>6.6558306385842453E-2</v>
      </c>
      <c r="H632" s="6" t="str">
        <f t="shared" si="119"/>
        <v>🟢 Over-injection</v>
      </c>
      <c r="I632" s="6">
        <f t="shared" si="120"/>
        <v>-0.58352000000000004</v>
      </c>
      <c r="J632" s="3">
        <v>0.38880000000000003</v>
      </c>
      <c r="K632" s="6">
        <f t="shared" si="121"/>
        <v>1.3150574999999998</v>
      </c>
      <c r="L632" s="6">
        <f t="shared" si="122"/>
        <v>1.7534099999999999</v>
      </c>
      <c r="M632" s="6">
        <f t="shared" si="123"/>
        <v>0.58352000000000004</v>
      </c>
      <c r="N632" s="6">
        <f t="shared" si="124"/>
        <v>0</v>
      </c>
      <c r="O632" s="6">
        <f t="shared" si="125"/>
        <v>0</v>
      </c>
      <c r="P632" s="6">
        <f t="shared" si="126"/>
        <v>-45.374515200000005</v>
      </c>
      <c r="Q632" s="3">
        <v>-45.374515200000005</v>
      </c>
      <c r="R632" s="6">
        <f t="shared" si="127"/>
        <v>0</v>
      </c>
      <c r="S632" s="6" t="str">
        <f t="shared" si="128"/>
        <v>OK</v>
      </c>
    </row>
    <row r="633" spans="1:19" x14ac:dyDescent="0.25">
      <c r="A633" s="3" t="str">
        <f t="shared" si="129"/>
        <v>10.05.2026</v>
      </c>
      <c r="B633" s="5">
        <v>40</v>
      </c>
      <c r="C633" s="5" t="s">
        <v>78</v>
      </c>
      <c r="D633" s="3">
        <v>8.7670499999999993</v>
      </c>
      <c r="E633" s="3">
        <v>9.3505699999999994</v>
      </c>
      <c r="F633" s="6">
        <f t="shared" si="117"/>
        <v>0.58352000000000004</v>
      </c>
      <c r="G633" s="6">
        <f t="shared" si="118"/>
        <v>6.6558306385842453E-2</v>
      </c>
      <c r="H633" s="6" t="str">
        <f t="shared" si="119"/>
        <v>🟢 Over-injection</v>
      </c>
      <c r="I633" s="6">
        <f t="shared" si="120"/>
        <v>-0.58352000000000004</v>
      </c>
      <c r="J633" s="3">
        <v>0.3705</v>
      </c>
      <c r="K633" s="6">
        <f t="shared" si="121"/>
        <v>1.3150574999999998</v>
      </c>
      <c r="L633" s="6">
        <f t="shared" si="122"/>
        <v>1.7534099999999999</v>
      </c>
      <c r="M633" s="6">
        <f t="shared" si="123"/>
        <v>0.58352000000000004</v>
      </c>
      <c r="N633" s="6">
        <f t="shared" si="124"/>
        <v>0</v>
      </c>
      <c r="O633" s="6">
        <f t="shared" si="125"/>
        <v>0</v>
      </c>
      <c r="P633" s="6">
        <f t="shared" si="126"/>
        <v>-43.238832000000002</v>
      </c>
      <c r="Q633" s="3">
        <v>-43.238832000000002</v>
      </c>
      <c r="R633" s="6">
        <f t="shared" si="127"/>
        <v>0</v>
      </c>
      <c r="S633" s="6" t="str">
        <f t="shared" si="128"/>
        <v>OK</v>
      </c>
    </row>
    <row r="634" spans="1:19" x14ac:dyDescent="0.25">
      <c r="A634" s="3" t="str">
        <f t="shared" si="129"/>
        <v>10.05.2026</v>
      </c>
      <c r="B634" s="5">
        <v>41</v>
      </c>
      <c r="C634" s="5" t="s">
        <v>77</v>
      </c>
      <c r="D634" s="3">
        <v>9.4670499999999986</v>
      </c>
      <c r="E634" s="3">
        <v>9.3505699999999994</v>
      </c>
      <c r="F634" s="6">
        <f t="shared" si="117"/>
        <v>-0.11647999999999925</v>
      </c>
      <c r="G634" s="6">
        <f t="shared" si="118"/>
        <v>-1.2303727137809483E-2</v>
      </c>
      <c r="H634" s="6" t="str">
        <f t="shared" si="119"/>
        <v>🔴 Under-injection</v>
      </c>
      <c r="I634" s="6">
        <f t="shared" si="120"/>
        <v>0.11647999999999925</v>
      </c>
      <c r="J634" s="3">
        <v>0.36880000000000002</v>
      </c>
      <c r="K634" s="6">
        <f t="shared" si="121"/>
        <v>1.4200574999999998</v>
      </c>
      <c r="L634" s="6">
        <f t="shared" si="122"/>
        <v>1.8934099999999998</v>
      </c>
      <c r="M634" s="6">
        <f t="shared" si="123"/>
        <v>0.11647999999999925</v>
      </c>
      <c r="N634" s="6">
        <f t="shared" si="124"/>
        <v>0</v>
      </c>
      <c r="O634" s="6">
        <f t="shared" si="125"/>
        <v>0</v>
      </c>
      <c r="P634" s="6">
        <f t="shared" si="126"/>
        <v>11.276428799999929</v>
      </c>
      <c r="Q634" s="3">
        <v>11.2764288</v>
      </c>
      <c r="R634" s="6">
        <f t="shared" si="127"/>
        <v>-7.1054273576010019E-14</v>
      </c>
      <c r="S634" s="6" t="str">
        <f t="shared" si="128"/>
        <v>OK</v>
      </c>
    </row>
    <row r="635" spans="1:19" x14ac:dyDescent="0.25">
      <c r="A635" s="3" t="str">
        <f t="shared" si="129"/>
        <v>10.05.2026</v>
      </c>
      <c r="B635" s="5">
        <v>42</v>
      </c>
      <c r="C635" s="5" t="s">
        <v>76</v>
      </c>
      <c r="D635" s="3">
        <v>9.4670499999999986</v>
      </c>
      <c r="E635" s="3">
        <v>9.3619199999999996</v>
      </c>
      <c r="F635" s="6">
        <f t="shared" si="117"/>
        <v>-0.10512999999999906</v>
      </c>
      <c r="G635" s="6">
        <f t="shared" si="118"/>
        <v>-1.1104832022646872E-2</v>
      </c>
      <c r="H635" s="6" t="str">
        <f t="shared" si="119"/>
        <v>🔴 Under-injection</v>
      </c>
      <c r="I635" s="6">
        <f t="shared" si="120"/>
        <v>0.10512999999999906</v>
      </c>
      <c r="J635" s="3">
        <v>0.36880000000000002</v>
      </c>
      <c r="K635" s="6">
        <f t="shared" si="121"/>
        <v>1.4200574999999998</v>
      </c>
      <c r="L635" s="6">
        <f t="shared" si="122"/>
        <v>1.8934099999999998</v>
      </c>
      <c r="M635" s="6">
        <f t="shared" si="123"/>
        <v>0.10512999999999906</v>
      </c>
      <c r="N635" s="6">
        <f t="shared" si="124"/>
        <v>0</v>
      </c>
      <c r="O635" s="6">
        <f t="shared" si="125"/>
        <v>0</v>
      </c>
      <c r="P635" s="6">
        <f t="shared" si="126"/>
        <v>10.17763529999991</v>
      </c>
      <c r="Q635" s="3">
        <v>10.177635300000002</v>
      </c>
      <c r="R635" s="6">
        <f t="shared" si="127"/>
        <v>-9.2370555648813024E-14</v>
      </c>
      <c r="S635" s="6" t="str">
        <f t="shared" si="128"/>
        <v>OK</v>
      </c>
    </row>
    <row r="636" spans="1:19" x14ac:dyDescent="0.25">
      <c r="A636" s="3" t="str">
        <f t="shared" si="129"/>
        <v>10.05.2026</v>
      </c>
      <c r="B636" s="5">
        <v>43</v>
      </c>
      <c r="C636" s="5" t="s">
        <v>75</v>
      </c>
      <c r="D636" s="3">
        <v>9.4670499999999986</v>
      </c>
      <c r="E636" s="3">
        <v>9.3505699999999994</v>
      </c>
      <c r="F636" s="6">
        <f t="shared" si="117"/>
        <v>-0.11647999999999925</v>
      </c>
      <c r="G636" s="6">
        <f t="shared" si="118"/>
        <v>-1.2303727137809483E-2</v>
      </c>
      <c r="H636" s="6" t="str">
        <f t="shared" si="119"/>
        <v>🔴 Under-injection</v>
      </c>
      <c r="I636" s="6">
        <f t="shared" si="120"/>
        <v>0.11647999999999925</v>
      </c>
      <c r="J636" s="3">
        <v>0.39200000000000002</v>
      </c>
      <c r="K636" s="6">
        <f t="shared" si="121"/>
        <v>1.4200574999999998</v>
      </c>
      <c r="L636" s="6">
        <f t="shared" si="122"/>
        <v>1.8934099999999998</v>
      </c>
      <c r="M636" s="6">
        <f t="shared" si="123"/>
        <v>0.11647999999999925</v>
      </c>
      <c r="N636" s="6">
        <f t="shared" si="124"/>
        <v>0</v>
      </c>
      <c r="O636" s="6">
        <f t="shared" si="125"/>
        <v>0</v>
      </c>
      <c r="P636" s="6">
        <f t="shared" si="126"/>
        <v>11.985791999999924</v>
      </c>
      <c r="Q636" s="3">
        <v>11.985792</v>
      </c>
      <c r="R636" s="6">
        <f t="shared" si="127"/>
        <v>-7.638334409421077E-14</v>
      </c>
      <c r="S636" s="6" t="str">
        <f t="shared" si="128"/>
        <v>OK</v>
      </c>
    </row>
    <row r="637" spans="1:19" x14ac:dyDescent="0.25">
      <c r="A637" s="3" t="str">
        <f t="shared" si="129"/>
        <v>10.05.2026</v>
      </c>
      <c r="B637" s="5">
        <v>44</v>
      </c>
      <c r="C637" s="5" t="s">
        <v>74</v>
      </c>
      <c r="D637" s="3">
        <v>9.4670499999999986</v>
      </c>
      <c r="E637" s="3">
        <v>9.3505699999999994</v>
      </c>
      <c r="F637" s="6">
        <f t="shared" si="117"/>
        <v>-0.11647999999999925</v>
      </c>
      <c r="G637" s="6">
        <f t="shared" si="118"/>
        <v>-1.2303727137809483E-2</v>
      </c>
      <c r="H637" s="6" t="str">
        <f t="shared" si="119"/>
        <v>🔴 Under-injection</v>
      </c>
      <c r="I637" s="6">
        <f t="shared" si="120"/>
        <v>0.11647999999999925</v>
      </c>
      <c r="J637" s="3">
        <v>0.39069999999999999</v>
      </c>
      <c r="K637" s="6">
        <f t="shared" si="121"/>
        <v>1.4200574999999998</v>
      </c>
      <c r="L637" s="6">
        <f t="shared" si="122"/>
        <v>1.8934099999999998</v>
      </c>
      <c r="M637" s="6">
        <f t="shared" si="123"/>
        <v>0.11647999999999925</v>
      </c>
      <c r="N637" s="6">
        <f t="shared" si="124"/>
        <v>0</v>
      </c>
      <c r="O637" s="6">
        <f t="shared" si="125"/>
        <v>0</v>
      </c>
      <c r="P637" s="6">
        <f t="shared" si="126"/>
        <v>11.946043199999924</v>
      </c>
      <c r="Q637" s="3">
        <v>11.9460432</v>
      </c>
      <c r="R637" s="6">
        <f t="shared" si="127"/>
        <v>-7.638334409421077E-14</v>
      </c>
      <c r="S637" s="6" t="str">
        <f t="shared" si="128"/>
        <v>OK</v>
      </c>
    </row>
    <row r="638" spans="1:19" x14ac:dyDescent="0.25">
      <c r="A638" s="3" t="str">
        <f t="shared" si="129"/>
        <v>10.05.2026</v>
      </c>
      <c r="B638" s="5">
        <v>45</v>
      </c>
      <c r="C638" s="5" t="s">
        <v>73</v>
      </c>
      <c r="D638" s="3">
        <v>9.4670499999999986</v>
      </c>
      <c r="E638" s="3">
        <v>9.3505699999999994</v>
      </c>
      <c r="F638" s="6">
        <f t="shared" si="117"/>
        <v>-0.11647999999999925</v>
      </c>
      <c r="G638" s="6">
        <f t="shared" si="118"/>
        <v>-1.2303727137809483E-2</v>
      </c>
      <c r="H638" s="6" t="str">
        <f t="shared" si="119"/>
        <v>🔴 Under-injection</v>
      </c>
      <c r="I638" s="6">
        <f t="shared" si="120"/>
        <v>0.11647999999999925</v>
      </c>
      <c r="J638" s="3">
        <v>0.38880000000000003</v>
      </c>
      <c r="K638" s="6">
        <f t="shared" si="121"/>
        <v>1.4200574999999998</v>
      </c>
      <c r="L638" s="6">
        <f t="shared" si="122"/>
        <v>1.8934099999999998</v>
      </c>
      <c r="M638" s="6">
        <f t="shared" si="123"/>
        <v>0.11647999999999925</v>
      </c>
      <c r="N638" s="6">
        <f t="shared" si="124"/>
        <v>0</v>
      </c>
      <c r="O638" s="6">
        <f t="shared" si="125"/>
        <v>0</v>
      </c>
      <c r="P638" s="6">
        <f t="shared" si="126"/>
        <v>11.887948799999924</v>
      </c>
      <c r="Q638" s="3">
        <v>11.8879488</v>
      </c>
      <c r="R638" s="6">
        <f t="shared" si="127"/>
        <v>-7.638334409421077E-14</v>
      </c>
      <c r="S638" s="6" t="str">
        <f t="shared" si="128"/>
        <v>OK</v>
      </c>
    </row>
    <row r="639" spans="1:19" x14ac:dyDescent="0.25">
      <c r="A639" s="3" t="str">
        <f t="shared" si="129"/>
        <v>10.05.2026</v>
      </c>
      <c r="B639" s="5">
        <v>46</v>
      </c>
      <c r="C639" s="5" t="s">
        <v>72</v>
      </c>
      <c r="D639" s="3">
        <v>9.4670499999999986</v>
      </c>
      <c r="E639" s="3">
        <v>9.3619199999999996</v>
      </c>
      <c r="F639" s="6">
        <f t="shared" si="117"/>
        <v>-0.10512999999999906</v>
      </c>
      <c r="G639" s="6">
        <f t="shared" si="118"/>
        <v>-1.1104832022646872E-2</v>
      </c>
      <c r="H639" s="6" t="str">
        <f t="shared" si="119"/>
        <v>🔴 Under-injection</v>
      </c>
      <c r="I639" s="6">
        <f t="shared" si="120"/>
        <v>0.10512999999999906</v>
      </c>
      <c r="J639" s="3">
        <v>0.3896</v>
      </c>
      <c r="K639" s="6">
        <f t="shared" si="121"/>
        <v>1.4200574999999998</v>
      </c>
      <c r="L639" s="6">
        <f t="shared" si="122"/>
        <v>1.8934099999999998</v>
      </c>
      <c r="M639" s="6">
        <f t="shared" si="123"/>
        <v>0.10512999999999906</v>
      </c>
      <c r="N639" s="6">
        <f t="shared" si="124"/>
        <v>0</v>
      </c>
      <c r="O639" s="6">
        <f t="shared" si="125"/>
        <v>0</v>
      </c>
      <c r="P639" s="6">
        <f t="shared" si="126"/>
        <v>10.751645099999903</v>
      </c>
      <c r="Q639" s="3">
        <v>10.751645100000001</v>
      </c>
      <c r="R639" s="6">
        <f t="shared" si="127"/>
        <v>-9.7699626167013776E-14</v>
      </c>
      <c r="S639" s="6" t="str">
        <f t="shared" si="128"/>
        <v>OK</v>
      </c>
    </row>
    <row r="640" spans="1:19" x14ac:dyDescent="0.25">
      <c r="A640" s="3" t="str">
        <f t="shared" si="129"/>
        <v>10.05.2026</v>
      </c>
      <c r="B640" s="5">
        <v>47</v>
      </c>
      <c r="C640" s="5" t="s">
        <v>71</v>
      </c>
      <c r="D640" s="3">
        <v>9.4670499999999986</v>
      </c>
      <c r="E640" s="3">
        <v>9.3505699999999994</v>
      </c>
      <c r="F640" s="6">
        <f t="shared" si="117"/>
        <v>-0.11647999999999925</v>
      </c>
      <c r="G640" s="6">
        <f t="shared" si="118"/>
        <v>-1.2303727137809483E-2</v>
      </c>
      <c r="H640" s="6" t="str">
        <f t="shared" si="119"/>
        <v>🔴 Under-injection</v>
      </c>
      <c r="I640" s="6">
        <f t="shared" si="120"/>
        <v>0.11647999999999925</v>
      </c>
      <c r="J640" s="3">
        <v>0.39039999999999997</v>
      </c>
      <c r="K640" s="6">
        <f t="shared" si="121"/>
        <v>1.4200574999999998</v>
      </c>
      <c r="L640" s="6">
        <f t="shared" si="122"/>
        <v>1.8934099999999998</v>
      </c>
      <c r="M640" s="6">
        <f t="shared" si="123"/>
        <v>0.11647999999999925</v>
      </c>
      <c r="N640" s="6">
        <f t="shared" si="124"/>
        <v>0</v>
      </c>
      <c r="O640" s="6">
        <f t="shared" si="125"/>
        <v>0</v>
      </c>
      <c r="P640" s="6">
        <f t="shared" si="126"/>
        <v>11.936870399999922</v>
      </c>
      <c r="Q640" s="3">
        <v>11.9368704</v>
      </c>
      <c r="R640" s="6">
        <f t="shared" si="127"/>
        <v>-7.815970093361102E-14</v>
      </c>
      <c r="S640" s="6" t="str">
        <f t="shared" si="128"/>
        <v>OK</v>
      </c>
    </row>
    <row r="641" spans="1:19" x14ac:dyDescent="0.25">
      <c r="A641" s="3" t="str">
        <f t="shared" si="129"/>
        <v>10.05.2026</v>
      </c>
      <c r="B641" s="5">
        <v>48</v>
      </c>
      <c r="C641" s="5" t="s">
        <v>70</v>
      </c>
      <c r="D641" s="3">
        <v>9.4670499999999986</v>
      </c>
      <c r="E641" s="3">
        <v>9.3619199999999996</v>
      </c>
      <c r="F641" s="6">
        <f t="shared" si="117"/>
        <v>-0.10512999999999906</v>
      </c>
      <c r="G641" s="6">
        <f t="shared" si="118"/>
        <v>-1.1104832022646872E-2</v>
      </c>
      <c r="H641" s="6" t="str">
        <f t="shared" si="119"/>
        <v>🔴 Under-injection</v>
      </c>
      <c r="I641" s="6">
        <f t="shared" si="120"/>
        <v>0.10512999999999906</v>
      </c>
      <c r="J641" s="3">
        <v>0.43520000000000003</v>
      </c>
      <c r="K641" s="6">
        <f t="shared" si="121"/>
        <v>1.4200574999999998</v>
      </c>
      <c r="L641" s="6">
        <f t="shared" si="122"/>
        <v>1.8934099999999998</v>
      </c>
      <c r="M641" s="6">
        <f t="shared" si="123"/>
        <v>0.10512999999999906</v>
      </c>
      <c r="N641" s="6">
        <f t="shared" si="124"/>
        <v>0</v>
      </c>
      <c r="O641" s="6">
        <f t="shared" si="125"/>
        <v>0</v>
      </c>
      <c r="P641" s="6">
        <f t="shared" si="126"/>
        <v>12.010051199999895</v>
      </c>
      <c r="Q641" s="3">
        <v>12.010051200000001</v>
      </c>
      <c r="R641" s="6">
        <f t="shared" si="127"/>
        <v>-1.0658141036401503E-13</v>
      </c>
      <c r="S641" s="6" t="str">
        <f t="shared" si="128"/>
        <v>OK</v>
      </c>
    </row>
    <row r="642" spans="1:19" x14ac:dyDescent="0.25">
      <c r="A642" s="3" t="str">
        <f t="shared" si="129"/>
        <v>10.05.2026</v>
      </c>
      <c r="B642" s="5">
        <v>49</v>
      </c>
      <c r="C642" s="5" t="s">
        <v>69</v>
      </c>
      <c r="D642" s="3">
        <v>8.7670499999999993</v>
      </c>
      <c r="E642" s="3">
        <v>9.1349599999999995</v>
      </c>
      <c r="F642" s="6">
        <f t="shared" si="117"/>
        <v>0.36791000000000018</v>
      </c>
      <c r="G642" s="6">
        <f t="shared" si="118"/>
        <v>4.1965085176883923E-2</v>
      </c>
      <c r="H642" s="6" t="str">
        <f t="shared" si="119"/>
        <v>🟢 Over-injection</v>
      </c>
      <c r="I642" s="6">
        <f t="shared" si="120"/>
        <v>-0.36791000000000018</v>
      </c>
      <c r="J642" s="3">
        <v>0.4219</v>
      </c>
      <c r="K642" s="6">
        <f t="shared" si="121"/>
        <v>1.3150574999999998</v>
      </c>
      <c r="L642" s="6">
        <f t="shared" si="122"/>
        <v>1.7534099999999999</v>
      </c>
      <c r="M642" s="6">
        <f t="shared" si="123"/>
        <v>0.36791000000000018</v>
      </c>
      <c r="N642" s="6">
        <f t="shared" si="124"/>
        <v>0</v>
      </c>
      <c r="O642" s="6">
        <f t="shared" si="125"/>
        <v>0</v>
      </c>
      <c r="P642" s="6">
        <f t="shared" si="126"/>
        <v>-31.044245800000017</v>
      </c>
      <c r="Q642" s="3">
        <v>-31.044245800000006</v>
      </c>
      <c r="R642" s="6">
        <f t="shared" si="127"/>
        <v>0</v>
      </c>
      <c r="S642" s="6" t="str">
        <f t="shared" si="128"/>
        <v>OK</v>
      </c>
    </row>
    <row r="643" spans="1:19" x14ac:dyDescent="0.25">
      <c r="A643" s="3" t="str">
        <f t="shared" si="129"/>
        <v>10.05.2026</v>
      </c>
      <c r="B643" s="5">
        <v>50</v>
      </c>
      <c r="C643" s="5" t="s">
        <v>68</v>
      </c>
      <c r="D643" s="3">
        <v>8.7670499999999993</v>
      </c>
      <c r="E643" s="3">
        <v>8.7264400000000002</v>
      </c>
      <c r="F643" s="6">
        <f t="shared" si="117"/>
        <v>-4.0609999999999147E-2</v>
      </c>
      <c r="G643" s="6">
        <f t="shared" si="118"/>
        <v>-4.6321168466016676E-3</v>
      </c>
      <c r="H643" s="6" t="str">
        <f t="shared" si="119"/>
        <v>🔴 Under-injection</v>
      </c>
      <c r="I643" s="6">
        <f t="shared" si="120"/>
        <v>4.0609999999999147E-2</v>
      </c>
      <c r="J643" s="3">
        <v>0.36780000000000002</v>
      </c>
      <c r="K643" s="6">
        <f t="shared" si="121"/>
        <v>1.3150574999999998</v>
      </c>
      <c r="L643" s="6">
        <f t="shared" si="122"/>
        <v>1.7534099999999999</v>
      </c>
      <c r="M643" s="6">
        <f t="shared" si="123"/>
        <v>4.0609999999999147E-2</v>
      </c>
      <c r="N643" s="6">
        <f t="shared" si="124"/>
        <v>0</v>
      </c>
      <c r="O643" s="6">
        <f t="shared" si="125"/>
        <v>0</v>
      </c>
      <c r="P643" s="6">
        <f t="shared" si="126"/>
        <v>3.9207939749999174</v>
      </c>
      <c r="Q643" s="3">
        <v>3.9207939750000005</v>
      </c>
      <c r="R643" s="6">
        <f t="shared" si="127"/>
        <v>-8.3044682241961709E-14</v>
      </c>
      <c r="S643" s="6" t="str">
        <f t="shared" si="128"/>
        <v>OK</v>
      </c>
    </row>
    <row r="644" spans="1:19" x14ac:dyDescent="0.25">
      <c r="A644" s="3" t="str">
        <f t="shared" si="129"/>
        <v>10.05.2026</v>
      </c>
      <c r="B644" s="5">
        <v>51</v>
      </c>
      <c r="C644" s="5" t="s">
        <v>67</v>
      </c>
      <c r="D644" s="3">
        <v>8.7670499999999993</v>
      </c>
      <c r="E644" s="3">
        <v>8.6923999999999992</v>
      </c>
      <c r="F644" s="6">
        <f t="shared" si="117"/>
        <v>-7.4650000000000105E-2</v>
      </c>
      <c r="G644" s="6">
        <f t="shared" si="118"/>
        <v>-8.5148368037139179E-3</v>
      </c>
      <c r="H644" s="6" t="str">
        <f t="shared" si="119"/>
        <v>🔴 Under-injection</v>
      </c>
      <c r="I644" s="6">
        <f t="shared" si="120"/>
        <v>7.4650000000000105E-2</v>
      </c>
      <c r="J644" s="3">
        <v>0.3669</v>
      </c>
      <c r="K644" s="6">
        <f t="shared" si="121"/>
        <v>1.3150574999999998</v>
      </c>
      <c r="L644" s="6">
        <f t="shared" si="122"/>
        <v>1.7534099999999999</v>
      </c>
      <c r="M644" s="6">
        <f t="shared" si="123"/>
        <v>7.4650000000000105E-2</v>
      </c>
      <c r="N644" s="6">
        <f t="shared" si="124"/>
        <v>0</v>
      </c>
      <c r="O644" s="6">
        <f t="shared" si="125"/>
        <v>0</v>
      </c>
      <c r="P644" s="6">
        <f t="shared" si="126"/>
        <v>7.1896348125000111</v>
      </c>
      <c r="Q644" s="3">
        <v>7.1896348124999996</v>
      </c>
      <c r="R644" s="6">
        <f t="shared" si="127"/>
        <v>1.1546319456101628E-14</v>
      </c>
      <c r="S644" s="6" t="str">
        <f t="shared" si="128"/>
        <v>OK</v>
      </c>
    </row>
    <row r="645" spans="1:19" x14ac:dyDescent="0.25">
      <c r="A645" s="3" t="str">
        <f t="shared" si="129"/>
        <v>10.05.2026</v>
      </c>
      <c r="B645" s="5">
        <v>52</v>
      </c>
      <c r="C645" s="5" t="s">
        <v>66</v>
      </c>
      <c r="D645" s="3">
        <v>8.7670499999999993</v>
      </c>
      <c r="E645" s="3">
        <v>8.6810500000000008</v>
      </c>
      <c r="F645" s="6">
        <f t="shared" si="117"/>
        <v>-8.5999999999998522E-2</v>
      </c>
      <c r="G645" s="6">
        <f t="shared" si="118"/>
        <v>-9.8094570009294498E-3</v>
      </c>
      <c r="H645" s="6" t="str">
        <f t="shared" si="119"/>
        <v>🔴 Under-injection</v>
      </c>
      <c r="I645" s="6">
        <f t="shared" si="120"/>
        <v>8.5999999999998522E-2</v>
      </c>
      <c r="J645" s="3">
        <v>0.37340000000000001</v>
      </c>
      <c r="K645" s="6">
        <f t="shared" si="121"/>
        <v>1.3150574999999998</v>
      </c>
      <c r="L645" s="6">
        <f t="shared" si="122"/>
        <v>1.7534099999999999</v>
      </c>
      <c r="M645" s="6">
        <f t="shared" si="123"/>
        <v>8.5999999999998522E-2</v>
      </c>
      <c r="N645" s="6">
        <f t="shared" si="124"/>
        <v>0</v>
      </c>
      <c r="O645" s="6">
        <f t="shared" si="125"/>
        <v>0</v>
      </c>
      <c r="P645" s="6">
        <f t="shared" si="126"/>
        <v>8.4295049999998568</v>
      </c>
      <c r="Q645" s="3">
        <v>8.4295050000000007</v>
      </c>
      <c r="R645" s="6">
        <f t="shared" si="127"/>
        <v>-1.4388490399142029E-13</v>
      </c>
      <c r="S645" s="6" t="str">
        <f t="shared" si="128"/>
        <v>OK</v>
      </c>
    </row>
    <row r="646" spans="1:19" x14ac:dyDescent="0.25">
      <c r="A646" s="3" t="str">
        <f t="shared" si="129"/>
        <v>10.05.2026</v>
      </c>
      <c r="B646" s="5">
        <v>53</v>
      </c>
      <c r="C646" s="5" t="s">
        <v>65</v>
      </c>
      <c r="D646" s="3">
        <v>8.7670499999999993</v>
      </c>
      <c r="E646" s="3">
        <v>8.6810500000000008</v>
      </c>
      <c r="F646" s="6">
        <f t="shared" si="117"/>
        <v>-8.5999999999998522E-2</v>
      </c>
      <c r="G646" s="6">
        <f t="shared" si="118"/>
        <v>-9.8094570009294498E-3</v>
      </c>
      <c r="H646" s="6" t="str">
        <f t="shared" si="119"/>
        <v>🔴 Under-injection</v>
      </c>
      <c r="I646" s="6">
        <f t="shared" si="120"/>
        <v>8.5999999999998522E-2</v>
      </c>
      <c r="J646" s="3">
        <v>0.3669</v>
      </c>
      <c r="K646" s="6">
        <f t="shared" si="121"/>
        <v>1.3150574999999998</v>
      </c>
      <c r="L646" s="6">
        <f t="shared" si="122"/>
        <v>1.7534099999999999</v>
      </c>
      <c r="M646" s="6">
        <f t="shared" si="123"/>
        <v>8.5999999999998522E-2</v>
      </c>
      <c r="N646" s="6">
        <f t="shared" si="124"/>
        <v>0</v>
      </c>
      <c r="O646" s="6">
        <f t="shared" si="125"/>
        <v>0</v>
      </c>
      <c r="P646" s="6">
        <f t="shared" si="126"/>
        <v>8.2827674999998582</v>
      </c>
      <c r="Q646" s="3">
        <v>8.2827675000000003</v>
      </c>
      <c r="R646" s="6">
        <f t="shared" si="127"/>
        <v>-1.4210854715202004E-13</v>
      </c>
      <c r="S646" s="6" t="str">
        <f t="shared" si="128"/>
        <v>OK</v>
      </c>
    </row>
    <row r="647" spans="1:19" x14ac:dyDescent="0.25">
      <c r="A647" s="3" t="str">
        <f t="shared" si="129"/>
        <v>10.05.2026</v>
      </c>
      <c r="B647" s="5">
        <v>54</v>
      </c>
      <c r="C647" s="5" t="s">
        <v>64</v>
      </c>
      <c r="D647" s="3">
        <v>8.7670499999999993</v>
      </c>
      <c r="E647" s="3">
        <v>8.6810500000000008</v>
      </c>
      <c r="F647" s="6">
        <f t="shared" si="117"/>
        <v>-8.5999999999998522E-2</v>
      </c>
      <c r="G647" s="6">
        <f t="shared" si="118"/>
        <v>-9.8094570009294498E-3</v>
      </c>
      <c r="H647" s="6" t="str">
        <f t="shared" si="119"/>
        <v>🔴 Under-injection</v>
      </c>
      <c r="I647" s="6">
        <f t="shared" si="120"/>
        <v>8.5999999999998522E-2</v>
      </c>
      <c r="J647" s="3">
        <v>0.36810000000000004</v>
      </c>
      <c r="K647" s="6">
        <f t="shared" si="121"/>
        <v>1.3150574999999998</v>
      </c>
      <c r="L647" s="6">
        <f t="shared" si="122"/>
        <v>1.7534099999999999</v>
      </c>
      <c r="M647" s="6">
        <f t="shared" si="123"/>
        <v>8.5999999999998522E-2</v>
      </c>
      <c r="N647" s="6">
        <f t="shared" si="124"/>
        <v>0</v>
      </c>
      <c r="O647" s="6">
        <f t="shared" si="125"/>
        <v>0</v>
      </c>
      <c r="P647" s="6">
        <f t="shared" si="126"/>
        <v>8.3098574999998576</v>
      </c>
      <c r="Q647" s="3">
        <v>8.3098574999999997</v>
      </c>
      <c r="R647" s="6">
        <f t="shared" si="127"/>
        <v>-1.4210854715202004E-13</v>
      </c>
      <c r="S647" s="6" t="str">
        <f t="shared" si="128"/>
        <v>OK</v>
      </c>
    </row>
    <row r="648" spans="1:19" x14ac:dyDescent="0.25">
      <c r="A648" s="3" t="str">
        <f t="shared" si="129"/>
        <v>10.05.2026</v>
      </c>
      <c r="B648" s="5">
        <v>55</v>
      </c>
      <c r="C648" s="5" t="s">
        <v>63</v>
      </c>
      <c r="D648" s="3">
        <v>8.7670499999999993</v>
      </c>
      <c r="E648" s="3">
        <v>8.6810500000000008</v>
      </c>
      <c r="F648" s="6">
        <f t="shared" si="117"/>
        <v>-8.5999999999998522E-2</v>
      </c>
      <c r="G648" s="6">
        <f t="shared" si="118"/>
        <v>-9.8094570009294498E-3</v>
      </c>
      <c r="H648" s="6" t="str">
        <f t="shared" si="119"/>
        <v>🔴 Under-injection</v>
      </c>
      <c r="I648" s="6">
        <f t="shared" si="120"/>
        <v>8.5999999999998522E-2</v>
      </c>
      <c r="J648" s="3">
        <v>0.3654</v>
      </c>
      <c r="K648" s="6">
        <f t="shared" si="121"/>
        <v>1.3150574999999998</v>
      </c>
      <c r="L648" s="6">
        <f t="shared" si="122"/>
        <v>1.7534099999999999</v>
      </c>
      <c r="M648" s="6">
        <f t="shared" si="123"/>
        <v>8.5999999999998522E-2</v>
      </c>
      <c r="N648" s="6">
        <f t="shared" si="124"/>
        <v>0</v>
      </c>
      <c r="O648" s="6">
        <f t="shared" si="125"/>
        <v>0</v>
      </c>
      <c r="P648" s="6">
        <f t="shared" si="126"/>
        <v>8.2489049999998585</v>
      </c>
      <c r="Q648" s="3">
        <v>8.2489049999999988</v>
      </c>
      <c r="R648" s="6">
        <f t="shared" si="127"/>
        <v>-1.4033219031261979E-13</v>
      </c>
      <c r="S648" s="6" t="str">
        <f t="shared" si="128"/>
        <v>OK</v>
      </c>
    </row>
    <row r="649" spans="1:19" x14ac:dyDescent="0.25">
      <c r="A649" s="3" t="str">
        <f t="shared" si="129"/>
        <v>10.05.2026</v>
      </c>
      <c r="B649" s="5">
        <v>56</v>
      </c>
      <c r="C649" s="5" t="s">
        <v>62</v>
      </c>
      <c r="D649" s="3">
        <v>8.7670499999999993</v>
      </c>
      <c r="E649" s="3">
        <v>8.6810500000000008</v>
      </c>
      <c r="F649" s="6">
        <f t="shared" si="117"/>
        <v>-8.5999999999998522E-2</v>
      </c>
      <c r="G649" s="6">
        <f t="shared" si="118"/>
        <v>-9.8094570009294498E-3</v>
      </c>
      <c r="H649" s="6" t="str">
        <f t="shared" si="119"/>
        <v>🔴 Under-injection</v>
      </c>
      <c r="I649" s="6">
        <f t="shared" si="120"/>
        <v>8.5999999999998522E-2</v>
      </c>
      <c r="J649" s="3">
        <v>0.36579999999999996</v>
      </c>
      <c r="K649" s="6">
        <f t="shared" si="121"/>
        <v>1.3150574999999998</v>
      </c>
      <c r="L649" s="6">
        <f t="shared" si="122"/>
        <v>1.7534099999999999</v>
      </c>
      <c r="M649" s="6">
        <f t="shared" si="123"/>
        <v>8.5999999999998522E-2</v>
      </c>
      <c r="N649" s="6">
        <f t="shared" si="124"/>
        <v>0</v>
      </c>
      <c r="O649" s="6">
        <f t="shared" si="125"/>
        <v>0</v>
      </c>
      <c r="P649" s="6">
        <f t="shared" si="126"/>
        <v>8.2579349999998577</v>
      </c>
      <c r="Q649" s="3">
        <v>8.2579349999999998</v>
      </c>
      <c r="R649" s="6">
        <f t="shared" si="127"/>
        <v>-1.4210854715202004E-13</v>
      </c>
      <c r="S649" s="6" t="str">
        <f t="shared" si="128"/>
        <v>OK</v>
      </c>
    </row>
    <row r="650" spans="1:19" x14ac:dyDescent="0.25">
      <c r="A650" s="3" t="str">
        <f t="shared" si="129"/>
        <v>10.05.2026</v>
      </c>
      <c r="B650" s="5">
        <v>57</v>
      </c>
      <c r="C650" s="5" t="s">
        <v>61</v>
      </c>
      <c r="D650" s="3">
        <v>8.7670499999999993</v>
      </c>
      <c r="E650" s="3">
        <v>8.6810500000000008</v>
      </c>
      <c r="F650" s="6">
        <f t="shared" si="117"/>
        <v>-8.5999999999998522E-2</v>
      </c>
      <c r="G650" s="6">
        <f t="shared" si="118"/>
        <v>-9.8094570009294498E-3</v>
      </c>
      <c r="H650" s="6" t="str">
        <f t="shared" si="119"/>
        <v>🔴 Under-injection</v>
      </c>
      <c r="I650" s="6">
        <f t="shared" si="120"/>
        <v>8.5999999999998522E-2</v>
      </c>
      <c r="J650" s="3">
        <v>0.41869999999999996</v>
      </c>
      <c r="K650" s="6">
        <f t="shared" si="121"/>
        <v>1.3150574999999998</v>
      </c>
      <c r="L650" s="6">
        <f t="shared" si="122"/>
        <v>1.7534099999999999</v>
      </c>
      <c r="M650" s="6">
        <f t="shared" si="123"/>
        <v>8.5999999999998522E-2</v>
      </c>
      <c r="N650" s="6">
        <f t="shared" si="124"/>
        <v>0</v>
      </c>
      <c r="O650" s="6">
        <f t="shared" si="125"/>
        <v>0</v>
      </c>
      <c r="P650" s="6">
        <f t="shared" si="126"/>
        <v>9.452152499999837</v>
      </c>
      <c r="Q650" s="3">
        <v>9.4521525000000004</v>
      </c>
      <c r="R650" s="6">
        <f t="shared" si="127"/>
        <v>-1.6342482922482304E-13</v>
      </c>
      <c r="S650" s="6" t="str">
        <f t="shared" si="128"/>
        <v>OK</v>
      </c>
    </row>
    <row r="651" spans="1:19" x14ac:dyDescent="0.25">
      <c r="A651" s="3" t="str">
        <f t="shared" si="129"/>
        <v>10.05.2026</v>
      </c>
      <c r="B651" s="5">
        <v>58</v>
      </c>
      <c r="C651" s="5" t="s">
        <v>60</v>
      </c>
      <c r="D651" s="3">
        <v>8.7670499999999993</v>
      </c>
      <c r="E651" s="3">
        <v>8.6923999999999992</v>
      </c>
      <c r="F651" s="6">
        <f t="shared" si="117"/>
        <v>-7.4650000000000105E-2</v>
      </c>
      <c r="G651" s="6">
        <f t="shared" si="118"/>
        <v>-8.5148368037139179E-3</v>
      </c>
      <c r="H651" s="6" t="str">
        <f t="shared" si="119"/>
        <v>🔴 Under-injection</v>
      </c>
      <c r="I651" s="6">
        <f t="shared" si="120"/>
        <v>7.4650000000000105E-2</v>
      </c>
      <c r="J651" s="3">
        <v>0.60470000000000002</v>
      </c>
      <c r="K651" s="6">
        <f t="shared" si="121"/>
        <v>1.3150574999999998</v>
      </c>
      <c r="L651" s="6">
        <f t="shared" si="122"/>
        <v>1.7534099999999999</v>
      </c>
      <c r="M651" s="6">
        <f t="shared" si="123"/>
        <v>7.4650000000000105E-2</v>
      </c>
      <c r="N651" s="6">
        <f t="shared" si="124"/>
        <v>0</v>
      </c>
      <c r="O651" s="6">
        <f t="shared" si="125"/>
        <v>0</v>
      </c>
      <c r="P651" s="6">
        <f t="shared" si="126"/>
        <v>11.849474437500017</v>
      </c>
      <c r="Q651" s="3">
        <v>11.8494744375</v>
      </c>
      <c r="R651" s="6">
        <f t="shared" si="127"/>
        <v>1.7763568394002505E-14</v>
      </c>
      <c r="S651" s="6" t="str">
        <f t="shared" si="128"/>
        <v>OK</v>
      </c>
    </row>
    <row r="652" spans="1:19" x14ac:dyDescent="0.25">
      <c r="A652" s="3" t="str">
        <f t="shared" si="129"/>
        <v>10.05.2026</v>
      </c>
      <c r="B652" s="5">
        <v>59</v>
      </c>
      <c r="C652" s="5" t="s">
        <v>59</v>
      </c>
      <c r="D652" s="3">
        <v>8.7670499999999993</v>
      </c>
      <c r="E652" s="3">
        <v>8.6923999999999992</v>
      </c>
      <c r="F652" s="6">
        <f t="shared" si="117"/>
        <v>-7.4650000000000105E-2</v>
      </c>
      <c r="G652" s="6">
        <f t="shared" si="118"/>
        <v>-8.5148368037139179E-3</v>
      </c>
      <c r="H652" s="6" t="str">
        <f t="shared" si="119"/>
        <v>🔴 Under-injection</v>
      </c>
      <c r="I652" s="6">
        <f t="shared" si="120"/>
        <v>7.4650000000000105E-2</v>
      </c>
      <c r="J652" s="3">
        <v>1.3934</v>
      </c>
      <c r="K652" s="6">
        <f t="shared" si="121"/>
        <v>1.3150574999999998</v>
      </c>
      <c r="L652" s="6">
        <f t="shared" si="122"/>
        <v>1.7534099999999999</v>
      </c>
      <c r="M652" s="6">
        <f t="shared" si="123"/>
        <v>7.4650000000000105E-2</v>
      </c>
      <c r="N652" s="6">
        <f t="shared" si="124"/>
        <v>0</v>
      </c>
      <c r="O652" s="6">
        <f t="shared" si="125"/>
        <v>0</v>
      </c>
      <c r="P652" s="6">
        <f t="shared" si="126"/>
        <v>27.304543875000043</v>
      </c>
      <c r="Q652" s="3">
        <v>27.304543875</v>
      </c>
      <c r="R652" s="6">
        <f t="shared" si="127"/>
        <v>4.2632564145606011E-14</v>
      </c>
      <c r="S652" s="6" t="str">
        <f t="shared" si="128"/>
        <v>OK</v>
      </c>
    </row>
    <row r="653" spans="1:19" x14ac:dyDescent="0.25">
      <c r="A653" s="3" t="str">
        <f t="shared" si="129"/>
        <v>10.05.2026</v>
      </c>
      <c r="B653" s="5">
        <v>60</v>
      </c>
      <c r="C653" s="5" t="s">
        <v>58</v>
      </c>
      <c r="D653" s="3">
        <v>8.7670499999999993</v>
      </c>
      <c r="E653" s="3">
        <v>8.6923999999999992</v>
      </c>
      <c r="F653" s="6">
        <f t="shared" si="117"/>
        <v>-7.4650000000000105E-2</v>
      </c>
      <c r="G653" s="6">
        <f t="shared" si="118"/>
        <v>-8.5148368037139179E-3</v>
      </c>
      <c r="H653" s="6" t="str">
        <f t="shared" si="119"/>
        <v>🔴 Under-injection</v>
      </c>
      <c r="I653" s="6">
        <f t="shared" si="120"/>
        <v>7.4650000000000105E-2</v>
      </c>
      <c r="J653" s="3">
        <v>1.5119999999999998</v>
      </c>
      <c r="K653" s="6">
        <f t="shared" si="121"/>
        <v>1.3150574999999998</v>
      </c>
      <c r="L653" s="6">
        <f t="shared" si="122"/>
        <v>1.7534099999999999</v>
      </c>
      <c r="M653" s="6">
        <f t="shared" si="123"/>
        <v>7.4650000000000105E-2</v>
      </c>
      <c r="N653" s="6">
        <f t="shared" si="124"/>
        <v>0</v>
      </c>
      <c r="O653" s="6">
        <f t="shared" si="125"/>
        <v>0</v>
      </c>
      <c r="P653" s="6">
        <f t="shared" si="126"/>
        <v>29.62858500000004</v>
      </c>
      <c r="Q653" s="3">
        <v>29.628584999999994</v>
      </c>
      <c r="R653" s="6">
        <f t="shared" si="127"/>
        <v>4.6185277824406512E-14</v>
      </c>
      <c r="S653" s="6" t="str">
        <f t="shared" si="128"/>
        <v>OK</v>
      </c>
    </row>
    <row r="654" spans="1:19" x14ac:dyDescent="0.25">
      <c r="A654" s="3" t="str">
        <f t="shared" si="129"/>
        <v>10.05.2026</v>
      </c>
      <c r="B654" s="5">
        <v>61</v>
      </c>
      <c r="C654" s="5" t="s">
        <v>57</v>
      </c>
      <c r="D654" s="3">
        <v>8.7670499999999993</v>
      </c>
      <c r="E654" s="3">
        <v>8.6923999999999992</v>
      </c>
      <c r="F654" s="6">
        <f t="shared" si="117"/>
        <v>-7.4650000000000105E-2</v>
      </c>
      <c r="G654" s="6">
        <f t="shared" si="118"/>
        <v>-8.5148368037139179E-3</v>
      </c>
      <c r="H654" s="6" t="str">
        <f t="shared" si="119"/>
        <v>🔴 Under-injection</v>
      </c>
      <c r="I654" s="6">
        <f t="shared" si="120"/>
        <v>7.4650000000000105E-2</v>
      </c>
      <c r="J654" s="3">
        <v>1.8250999999999999</v>
      </c>
      <c r="K654" s="6">
        <f t="shared" si="121"/>
        <v>1.3150574999999998</v>
      </c>
      <c r="L654" s="6">
        <f t="shared" si="122"/>
        <v>1.7534099999999999</v>
      </c>
      <c r="M654" s="6">
        <f t="shared" si="123"/>
        <v>7.4650000000000105E-2</v>
      </c>
      <c r="N654" s="6">
        <f t="shared" si="124"/>
        <v>0</v>
      </c>
      <c r="O654" s="6">
        <f t="shared" si="125"/>
        <v>0</v>
      </c>
      <c r="P654" s="6">
        <f t="shared" si="126"/>
        <v>35.763975187500051</v>
      </c>
      <c r="Q654" s="3">
        <v>35.763975187500002</v>
      </c>
      <c r="R654" s="6">
        <f t="shared" si="127"/>
        <v>0</v>
      </c>
      <c r="S654" s="6" t="str">
        <f t="shared" si="128"/>
        <v>OK</v>
      </c>
    </row>
    <row r="655" spans="1:19" x14ac:dyDescent="0.25">
      <c r="A655" s="3" t="str">
        <f t="shared" si="129"/>
        <v>10.05.2026</v>
      </c>
      <c r="B655" s="5">
        <v>62</v>
      </c>
      <c r="C655" s="5" t="s">
        <v>56</v>
      </c>
      <c r="D655" s="3">
        <v>8.7670499999999993</v>
      </c>
      <c r="E655" s="3">
        <v>8.6923999999999992</v>
      </c>
      <c r="F655" s="6">
        <f t="shared" si="117"/>
        <v>-7.4650000000000105E-2</v>
      </c>
      <c r="G655" s="6">
        <f t="shared" si="118"/>
        <v>-8.5148368037139179E-3</v>
      </c>
      <c r="H655" s="6" t="str">
        <f t="shared" si="119"/>
        <v>🔴 Under-injection</v>
      </c>
      <c r="I655" s="6">
        <f t="shared" si="120"/>
        <v>7.4650000000000105E-2</v>
      </c>
      <c r="J655" s="3">
        <v>1.7054</v>
      </c>
      <c r="K655" s="6">
        <f t="shared" si="121"/>
        <v>1.3150574999999998</v>
      </c>
      <c r="L655" s="6">
        <f t="shared" si="122"/>
        <v>1.7534099999999999</v>
      </c>
      <c r="M655" s="6">
        <f t="shared" si="123"/>
        <v>7.4650000000000105E-2</v>
      </c>
      <c r="N655" s="6">
        <f t="shared" si="124"/>
        <v>0</v>
      </c>
      <c r="O655" s="6">
        <f t="shared" si="125"/>
        <v>0</v>
      </c>
      <c r="P655" s="6">
        <f t="shared" si="126"/>
        <v>33.418378875000052</v>
      </c>
      <c r="Q655" s="3">
        <v>33.418378875000002</v>
      </c>
      <c r="R655" s="6">
        <f t="shared" si="127"/>
        <v>0</v>
      </c>
      <c r="S655" s="6" t="str">
        <f t="shared" si="128"/>
        <v>OK</v>
      </c>
    </row>
    <row r="656" spans="1:19" x14ac:dyDescent="0.25">
      <c r="A656" s="3" t="str">
        <f t="shared" si="129"/>
        <v>10.05.2026</v>
      </c>
      <c r="B656" s="5">
        <v>63</v>
      </c>
      <c r="C656" s="5" t="s">
        <v>55</v>
      </c>
      <c r="D656" s="3">
        <v>8.7670499999999993</v>
      </c>
      <c r="E656" s="3">
        <v>8.6923999999999992</v>
      </c>
      <c r="F656" s="6">
        <f t="shared" si="117"/>
        <v>-7.4650000000000105E-2</v>
      </c>
      <c r="G656" s="6">
        <f t="shared" si="118"/>
        <v>-8.5148368037139179E-3</v>
      </c>
      <c r="H656" s="6" t="str">
        <f t="shared" si="119"/>
        <v>🔴 Under-injection</v>
      </c>
      <c r="I656" s="6">
        <f t="shared" si="120"/>
        <v>7.4650000000000105E-2</v>
      </c>
      <c r="J656" s="3">
        <v>1.7391999999999999</v>
      </c>
      <c r="K656" s="6">
        <f t="shared" si="121"/>
        <v>1.3150574999999998</v>
      </c>
      <c r="L656" s="6">
        <f t="shared" si="122"/>
        <v>1.7534099999999999</v>
      </c>
      <c r="M656" s="6">
        <f t="shared" si="123"/>
        <v>7.4650000000000105E-2</v>
      </c>
      <c r="N656" s="6">
        <f t="shared" si="124"/>
        <v>0</v>
      </c>
      <c r="O656" s="6">
        <f t="shared" si="125"/>
        <v>0</v>
      </c>
      <c r="P656" s="6">
        <f t="shared" si="126"/>
        <v>34.080711000000051</v>
      </c>
      <c r="Q656" s="3">
        <v>34.080711000000001</v>
      </c>
      <c r="R656" s="6">
        <f t="shared" si="127"/>
        <v>0</v>
      </c>
      <c r="S656" s="6" t="str">
        <f t="shared" si="128"/>
        <v>OK</v>
      </c>
    </row>
    <row r="657" spans="1:19" x14ac:dyDescent="0.25">
      <c r="A657" s="3" t="str">
        <f t="shared" si="129"/>
        <v>10.05.2026</v>
      </c>
      <c r="B657" s="5">
        <v>64</v>
      </c>
      <c r="C657" s="5" t="s">
        <v>54</v>
      </c>
      <c r="D657" s="3">
        <v>8.7670499999999993</v>
      </c>
      <c r="E657" s="3">
        <v>8.7037399999999998</v>
      </c>
      <c r="F657" s="6">
        <f t="shared" si="117"/>
        <v>-6.3309999999999533E-2</v>
      </c>
      <c r="G657" s="6">
        <f t="shared" si="118"/>
        <v>-7.2213572410331339E-3</v>
      </c>
      <c r="H657" s="6" t="str">
        <f t="shared" si="119"/>
        <v>🔴 Under-injection</v>
      </c>
      <c r="I657" s="6">
        <f t="shared" si="120"/>
        <v>6.3309999999999533E-2</v>
      </c>
      <c r="J657" s="3">
        <v>1.7709999999999999</v>
      </c>
      <c r="K657" s="6">
        <f t="shared" si="121"/>
        <v>1.3150574999999998</v>
      </c>
      <c r="L657" s="6">
        <f t="shared" si="122"/>
        <v>1.7534099999999999</v>
      </c>
      <c r="M657" s="6">
        <f t="shared" si="123"/>
        <v>6.3309999999999533E-2</v>
      </c>
      <c r="N657" s="6">
        <f t="shared" si="124"/>
        <v>0</v>
      </c>
      <c r="O657" s="6">
        <f t="shared" si="125"/>
        <v>0</v>
      </c>
      <c r="P657" s="6">
        <f t="shared" si="126"/>
        <v>29.43202762499978</v>
      </c>
      <c r="Q657" s="3">
        <v>29.432027625000003</v>
      </c>
      <c r="R657" s="6">
        <f t="shared" si="127"/>
        <v>-2.2382096176443156E-13</v>
      </c>
      <c r="S657" s="6" t="str">
        <f t="shared" si="128"/>
        <v>OK</v>
      </c>
    </row>
    <row r="658" spans="1:19" x14ac:dyDescent="0.25">
      <c r="A658" s="3" t="str">
        <f t="shared" si="129"/>
        <v>10.05.2026</v>
      </c>
      <c r="B658" s="5">
        <v>65</v>
      </c>
      <c r="C658" s="5" t="s">
        <v>53</v>
      </c>
      <c r="D658" s="3">
        <v>10.267049999999999</v>
      </c>
      <c r="E658" s="3">
        <v>10.07682</v>
      </c>
      <c r="F658" s="6">
        <f t="shared" ref="F658:F689" si="130">E658-D658</f>
        <v>-0.19022999999999968</v>
      </c>
      <c r="G658" s="6">
        <f t="shared" ref="G658:G689" si="131">IF(D658=0,0,F658/D658)</f>
        <v>-1.8528204304060044E-2</v>
      </c>
      <c r="H658" s="6" t="str">
        <f t="shared" ref="H658:H689" si="132">IF(E658&gt;D658,"🟢 Over-injection",IF(E658&lt;D658,"🔴 Under-injection","⚪ Nil"))</f>
        <v>🔴 Under-injection</v>
      </c>
      <c r="I658" s="6">
        <f t="shared" ref="I658:I689" si="133">-F658</f>
        <v>0.19022999999999968</v>
      </c>
      <c r="J658" s="3">
        <v>1.7516999999999998</v>
      </c>
      <c r="K658" s="6">
        <f t="shared" ref="K658:K689" si="134">MIN(ABS(D658)*$B$7,$B$8)</f>
        <v>1.5400574999999999</v>
      </c>
      <c r="L658" s="6">
        <f t="shared" ref="L658:L689" si="135">MIN(ABS(D658)*$B$9,$B$10)</f>
        <v>2.05341</v>
      </c>
      <c r="M658" s="6">
        <f t="shared" ref="M658:M689" si="136">MIN(ABS(F658),K658)</f>
        <v>0.19022999999999968</v>
      </c>
      <c r="N658" s="6">
        <f t="shared" ref="N658:N689" si="137">IF(F658&lt;0,MIN(MAX(ABS(F658)-K658,0),MAX(L658-K658,0)),0)</f>
        <v>0</v>
      </c>
      <c r="O658" s="6">
        <f t="shared" ref="O658:O689" si="138">IF(F658&lt;0,MAX(ABS(F658)-L658,0),0)</f>
        <v>0</v>
      </c>
      <c r="P658" s="6">
        <f t="shared" ref="P658:P689" si="139">IF(F658&gt;0,-M658*$B$11*J658*$B$6*1000,IF(F658&lt;0,(M658*$B$12+N658*$B$13+O658*$B$14)*J658*$B$6*1000,0))</f>
        <v>87.47179638749985</v>
      </c>
      <c r="Q658" s="3">
        <v>87.471796387499992</v>
      </c>
      <c r="R658" s="6">
        <f t="shared" ref="R658:R689" si="140">P658-Q658</f>
        <v>-1.4210854715202004E-13</v>
      </c>
      <c r="S658" s="6" t="str">
        <f t="shared" ref="S658:S689" si="141">IF(ABS(R658)&lt;=0.01,"OK","REVIEW")</f>
        <v>OK</v>
      </c>
    </row>
    <row r="659" spans="1:19" x14ac:dyDescent="0.25">
      <c r="A659" s="3" t="str">
        <f t="shared" si="129"/>
        <v>10.05.2026</v>
      </c>
      <c r="B659" s="5">
        <v>66</v>
      </c>
      <c r="C659" s="5" t="s">
        <v>52</v>
      </c>
      <c r="D659" s="3">
        <v>10.267049999999999</v>
      </c>
      <c r="E659" s="3">
        <v>10.20166</v>
      </c>
      <c r="F659" s="6">
        <f t="shared" si="130"/>
        <v>-6.5389999999998949E-2</v>
      </c>
      <c r="G659" s="6">
        <f t="shared" si="131"/>
        <v>-6.3689180436443723E-3</v>
      </c>
      <c r="H659" s="6" t="str">
        <f t="shared" si="132"/>
        <v>🔴 Under-injection</v>
      </c>
      <c r="I659" s="6">
        <f t="shared" si="133"/>
        <v>6.5389999999998949E-2</v>
      </c>
      <c r="J659" s="3">
        <v>1.7409999999999999</v>
      </c>
      <c r="K659" s="6">
        <f t="shared" si="134"/>
        <v>1.5400574999999999</v>
      </c>
      <c r="L659" s="6">
        <f t="shared" si="135"/>
        <v>2.05341</v>
      </c>
      <c r="M659" s="6">
        <f t="shared" si="136"/>
        <v>6.5389999999998949E-2</v>
      </c>
      <c r="N659" s="6">
        <f t="shared" si="137"/>
        <v>0</v>
      </c>
      <c r="O659" s="6">
        <f t="shared" si="138"/>
        <v>0</v>
      </c>
      <c r="P659" s="6">
        <f t="shared" si="139"/>
        <v>29.884047374999522</v>
      </c>
      <c r="Q659" s="3">
        <v>29.884047375000002</v>
      </c>
      <c r="R659" s="6">
        <f t="shared" si="140"/>
        <v>-4.7961634663806763E-13</v>
      </c>
      <c r="S659" s="6" t="str">
        <f t="shared" si="141"/>
        <v>OK</v>
      </c>
    </row>
    <row r="660" spans="1:19" x14ac:dyDescent="0.25">
      <c r="A660" s="3" t="str">
        <f t="shared" ref="A660:A689" si="142">A659</f>
        <v>10.05.2026</v>
      </c>
      <c r="B660" s="5">
        <v>67</v>
      </c>
      <c r="C660" s="5" t="s">
        <v>51</v>
      </c>
      <c r="D660" s="3">
        <v>10.267049999999999</v>
      </c>
      <c r="E660" s="3">
        <v>10.212999999999999</v>
      </c>
      <c r="F660" s="6">
        <f t="shared" si="130"/>
        <v>-5.4050000000000153E-2</v>
      </c>
      <c r="G660" s="6">
        <f t="shared" si="131"/>
        <v>-5.2644138287044626E-3</v>
      </c>
      <c r="H660" s="6" t="str">
        <f t="shared" si="132"/>
        <v>🔴 Under-injection</v>
      </c>
      <c r="I660" s="6">
        <f t="shared" si="133"/>
        <v>5.4050000000000153E-2</v>
      </c>
      <c r="J660" s="3">
        <v>1.7272000000000001</v>
      </c>
      <c r="K660" s="6">
        <f t="shared" si="134"/>
        <v>1.5400574999999999</v>
      </c>
      <c r="L660" s="6">
        <f t="shared" si="135"/>
        <v>2.05341</v>
      </c>
      <c r="M660" s="6">
        <f t="shared" si="136"/>
        <v>5.4050000000000153E-2</v>
      </c>
      <c r="N660" s="6">
        <f t="shared" si="137"/>
        <v>0</v>
      </c>
      <c r="O660" s="6">
        <f t="shared" si="138"/>
        <v>0</v>
      </c>
      <c r="P660" s="6">
        <f t="shared" si="139"/>
        <v>24.505729500000072</v>
      </c>
      <c r="Q660" s="3">
        <v>24.505729500000001</v>
      </c>
      <c r="R660" s="6">
        <f t="shared" si="140"/>
        <v>7.1054273576010019E-14</v>
      </c>
      <c r="S660" s="6" t="str">
        <f t="shared" si="141"/>
        <v>OK</v>
      </c>
    </row>
    <row r="661" spans="1:19" x14ac:dyDescent="0.25">
      <c r="A661" s="3" t="str">
        <f t="shared" si="142"/>
        <v>10.05.2026</v>
      </c>
      <c r="B661" s="5">
        <v>68</v>
      </c>
      <c r="C661" s="5" t="s">
        <v>50</v>
      </c>
      <c r="D661" s="3">
        <v>10.267049999999999</v>
      </c>
      <c r="E661" s="3">
        <v>10.837120000000001</v>
      </c>
      <c r="F661" s="6">
        <f t="shared" si="130"/>
        <v>0.57007000000000119</v>
      </c>
      <c r="G661" s="6">
        <f t="shared" si="131"/>
        <v>5.5524225556513429E-2</v>
      </c>
      <c r="H661" s="6" t="str">
        <f t="shared" si="132"/>
        <v>🟢 Over-injection</v>
      </c>
      <c r="I661" s="6">
        <f t="shared" si="133"/>
        <v>-0.57007000000000119</v>
      </c>
      <c r="J661" s="3">
        <v>1.5888999999999998</v>
      </c>
      <c r="K661" s="6">
        <f t="shared" si="134"/>
        <v>1.5400574999999999</v>
      </c>
      <c r="L661" s="6">
        <f t="shared" si="135"/>
        <v>2.05341</v>
      </c>
      <c r="M661" s="6">
        <f t="shared" si="136"/>
        <v>0.57007000000000119</v>
      </c>
      <c r="N661" s="6">
        <f t="shared" si="137"/>
        <v>0</v>
      </c>
      <c r="O661" s="6">
        <f t="shared" si="138"/>
        <v>0</v>
      </c>
      <c r="P661" s="6">
        <f t="shared" si="139"/>
        <v>-181.15684460000037</v>
      </c>
      <c r="Q661" s="3">
        <v>-181.15684459999994</v>
      </c>
      <c r="R661" s="6">
        <f t="shared" si="140"/>
        <v>-4.2632564145606011E-13</v>
      </c>
      <c r="S661" s="6" t="str">
        <f t="shared" si="141"/>
        <v>OK</v>
      </c>
    </row>
    <row r="662" spans="1:19" x14ac:dyDescent="0.25">
      <c r="A662" s="3" t="str">
        <f t="shared" si="142"/>
        <v>10.05.2026</v>
      </c>
      <c r="B662" s="5">
        <v>69</v>
      </c>
      <c r="C662" s="5" t="s">
        <v>49</v>
      </c>
      <c r="D662" s="3">
        <v>11.767049999999999</v>
      </c>
      <c r="E662" s="3">
        <v>12.244249999999999</v>
      </c>
      <c r="F662" s="6">
        <f t="shared" si="130"/>
        <v>0.47719999999999985</v>
      </c>
      <c r="G662" s="6">
        <f t="shared" si="131"/>
        <v>4.0553919631513412E-2</v>
      </c>
      <c r="H662" s="6" t="str">
        <f t="shared" si="132"/>
        <v>🟢 Over-injection</v>
      </c>
      <c r="I662" s="6">
        <f t="shared" si="133"/>
        <v>-0.47719999999999985</v>
      </c>
      <c r="J662" s="3">
        <v>1.7412999999999998</v>
      </c>
      <c r="K662" s="6">
        <f t="shared" si="134"/>
        <v>1.7650574999999999</v>
      </c>
      <c r="L662" s="6">
        <f t="shared" si="135"/>
        <v>2.3534099999999998</v>
      </c>
      <c r="M662" s="6">
        <f t="shared" si="136"/>
        <v>0.47719999999999985</v>
      </c>
      <c r="N662" s="6">
        <f t="shared" si="137"/>
        <v>0</v>
      </c>
      <c r="O662" s="6">
        <f t="shared" si="138"/>
        <v>0</v>
      </c>
      <c r="P662" s="6">
        <f t="shared" si="139"/>
        <v>-166.18967199999992</v>
      </c>
      <c r="Q662" s="3">
        <v>-166.189672</v>
      </c>
      <c r="R662" s="6">
        <f t="shared" si="140"/>
        <v>0</v>
      </c>
      <c r="S662" s="6" t="str">
        <f t="shared" si="141"/>
        <v>OK</v>
      </c>
    </row>
    <row r="663" spans="1:19" x14ac:dyDescent="0.25">
      <c r="A663" s="3" t="str">
        <f t="shared" si="142"/>
        <v>10.05.2026</v>
      </c>
      <c r="B663" s="5">
        <v>70</v>
      </c>
      <c r="C663" s="5" t="s">
        <v>48</v>
      </c>
      <c r="D663" s="3">
        <v>11.767049999999999</v>
      </c>
      <c r="E663" s="3">
        <v>12.187519999999999</v>
      </c>
      <c r="F663" s="6">
        <f t="shared" si="130"/>
        <v>0.4204699999999999</v>
      </c>
      <c r="G663" s="6">
        <f t="shared" si="131"/>
        <v>3.573283023357595E-2</v>
      </c>
      <c r="H663" s="6" t="str">
        <f t="shared" si="132"/>
        <v>🟢 Over-injection</v>
      </c>
      <c r="I663" s="6">
        <f t="shared" si="133"/>
        <v>-0.4204699999999999</v>
      </c>
      <c r="J663" s="3">
        <v>2.0630000000000002</v>
      </c>
      <c r="K663" s="6">
        <f t="shared" si="134"/>
        <v>1.7650574999999999</v>
      </c>
      <c r="L663" s="6">
        <f t="shared" si="135"/>
        <v>2.3534099999999998</v>
      </c>
      <c r="M663" s="6">
        <f t="shared" si="136"/>
        <v>0.4204699999999999</v>
      </c>
      <c r="N663" s="6">
        <f t="shared" si="137"/>
        <v>0</v>
      </c>
      <c r="O663" s="6">
        <f t="shared" si="138"/>
        <v>0</v>
      </c>
      <c r="P663" s="6">
        <f t="shared" si="139"/>
        <v>-173.48592199999999</v>
      </c>
      <c r="Q663" s="3">
        <v>-173.48592200000004</v>
      </c>
      <c r="R663" s="6">
        <f t="shared" si="140"/>
        <v>0</v>
      </c>
      <c r="S663" s="6" t="str">
        <f t="shared" si="141"/>
        <v>OK</v>
      </c>
    </row>
    <row r="664" spans="1:19" x14ac:dyDescent="0.25">
      <c r="A664" s="3" t="str">
        <f t="shared" si="142"/>
        <v>10.05.2026</v>
      </c>
      <c r="B664" s="5">
        <v>71</v>
      </c>
      <c r="C664" s="5" t="s">
        <v>47</v>
      </c>
      <c r="D664" s="3">
        <v>12.267049999999999</v>
      </c>
      <c r="E664" s="3">
        <v>12.618729999999999</v>
      </c>
      <c r="F664" s="6">
        <f t="shared" si="130"/>
        <v>0.35167999999999999</v>
      </c>
      <c r="G664" s="6">
        <f t="shared" si="131"/>
        <v>2.8668669321475011E-2</v>
      </c>
      <c r="H664" s="6" t="str">
        <f t="shared" si="132"/>
        <v>🟢 Over-injection</v>
      </c>
      <c r="I664" s="6">
        <f t="shared" si="133"/>
        <v>-0.35167999999999999</v>
      </c>
      <c r="J664" s="3">
        <v>2.2805</v>
      </c>
      <c r="K664" s="6">
        <f t="shared" si="134"/>
        <v>1.8400574999999999</v>
      </c>
      <c r="L664" s="6">
        <f t="shared" si="135"/>
        <v>2.4534099999999999</v>
      </c>
      <c r="M664" s="6">
        <f t="shared" si="136"/>
        <v>0.35167999999999999</v>
      </c>
      <c r="N664" s="6">
        <f t="shared" si="137"/>
        <v>0</v>
      </c>
      <c r="O664" s="6">
        <f t="shared" si="138"/>
        <v>0</v>
      </c>
      <c r="P664" s="6">
        <f t="shared" si="139"/>
        <v>-160.40124800000001</v>
      </c>
      <c r="Q664" s="3">
        <v>-160.40124800000001</v>
      </c>
      <c r="R664" s="6">
        <f t="shared" si="140"/>
        <v>0</v>
      </c>
      <c r="S664" s="6" t="str">
        <f t="shared" si="141"/>
        <v>OK</v>
      </c>
    </row>
    <row r="665" spans="1:19" x14ac:dyDescent="0.25">
      <c r="A665" s="3" t="str">
        <f t="shared" si="142"/>
        <v>10.05.2026</v>
      </c>
      <c r="B665" s="5">
        <v>72</v>
      </c>
      <c r="C665" s="5" t="s">
        <v>46</v>
      </c>
      <c r="D665" s="3">
        <v>12.267049999999999</v>
      </c>
      <c r="E665" s="3">
        <v>12.63007</v>
      </c>
      <c r="F665" s="6">
        <f t="shared" si="130"/>
        <v>0.36302000000000056</v>
      </c>
      <c r="G665" s="6">
        <f t="shared" si="131"/>
        <v>2.9593096954850642E-2</v>
      </c>
      <c r="H665" s="6" t="str">
        <f t="shared" si="132"/>
        <v>🟢 Over-injection</v>
      </c>
      <c r="I665" s="6">
        <f t="shared" si="133"/>
        <v>-0.36302000000000056</v>
      </c>
      <c r="J665" s="3">
        <v>2.4266000000000001</v>
      </c>
      <c r="K665" s="6">
        <f t="shared" si="134"/>
        <v>1.8400574999999999</v>
      </c>
      <c r="L665" s="6">
        <f t="shared" si="135"/>
        <v>2.4534099999999999</v>
      </c>
      <c r="M665" s="6">
        <f t="shared" si="136"/>
        <v>0.36302000000000056</v>
      </c>
      <c r="N665" s="6">
        <f t="shared" si="137"/>
        <v>0</v>
      </c>
      <c r="O665" s="6">
        <f t="shared" si="138"/>
        <v>0</v>
      </c>
      <c r="P665" s="6">
        <f t="shared" si="139"/>
        <v>-176.18086640000027</v>
      </c>
      <c r="Q665" s="3">
        <v>-176.18086640000001</v>
      </c>
      <c r="R665" s="6">
        <f t="shared" si="140"/>
        <v>-2.5579538487363607E-13</v>
      </c>
      <c r="S665" s="6" t="str">
        <f t="shared" si="141"/>
        <v>OK</v>
      </c>
    </row>
    <row r="666" spans="1:19" x14ac:dyDescent="0.25">
      <c r="A666" s="3" t="str">
        <f t="shared" si="142"/>
        <v>10.05.2026</v>
      </c>
      <c r="B666" s="5">
        <v>73</v>
      </c>
      <c r="C666" s="5" t="s">
        <v>45</v>
      </c>
      <c r="D666" s="3">
        <v>14.267049999999999</v>
      </c>
      <c r="E666" s="3">
        <v>13.75351</v>
      </c>
      <c r="F666" s="6">
        <f t="shared" si="130"/>
        <v>-0.513539999999999</v>
      </c>
      <c r="G666" s="6">
        <f t="shared" si="131"/>
        <v>-3.599482724179133E-2</v>
      </c>
      <c r="H666" s="6" t="str">
        <f t="shared" si="132"/>
        <v>🔴 Under-injection</v>
      </c>
      <c r="I666" s="6">
        <f t="shared" si="133"/>
        <v>0.513539999999999</v>
      </c>
      <c r="J666" s="3">
        <v>3.2732999999999999</v>
      </c>
      <c r="K666" s="6">
        <f t="shared" si="134"/>
        <v>2.1400574999999997</v>
      </c>
      <c r="L666" s="6">
        <f t="shared" si="135"/>
        <v>2.8534100000000002</v>
      </c>
      <c r="M666" s="6">
        <f t="shared" si="136"/>
        <v>0.513539999999999</v>
      </c>
      <c r="N666" s="6">
        <f t="shared" si="137"/>
        <v>0</v>
      </c>
      <c r="O666" s="6">
        <f t="shared" si="138"/>
        <v>0</v>
      </c>
      <c r="P666" s="6">
        <f t="shared" si="139"/>
        <v>441.25475152499911</v>
      </c>
      <c r="Q666" s="3">
        <v>441.25475152499996</v>
      </c>
      <c r="R666" s="6">
        <f t="shared" si="140"/>
        <v>-8.5265128291212022E-13</v>
      </c>
      <c r="S666" s="6" t="str">
        <f t="shared" si="141"/>
        <v>OK</v>
      </c>
    </row>
    <row r="667" spans="1:19" x14ac:dyDescent="0.25">
      <c r="A667" s="3" t="str">
        <f t="shared" si="142"/>
        <v>10.05.2026</v>
      </c>
      <c r="B667" s="5">
        <v>74</v>
      </c>
      <c r="C667" s="5" t="s">
        <v>44</v>
      </c>
      <c r="D667" s="3">
        <v>14.267049999999999</v>
      </c>
      <c r="E667" s="3">
        <v>14.12799</v>
      </c>
      <c r="F667" s="6">
        <f t="shared" si="130"/>
        <v>-0.13905999999999885</v>
      </c>
      <c r="G667" s="6">
        <f t="shared" si="131"/>
        <v>-9.746934369754004E-3</v>
      </c>
      <c r="H667" s="6" t="str">
        <f t="shared" si="132"/>
        <v>🔴 Under-injection</v>
      </c>
      <c r="I667" s="6">
        <f t="shared" si="133"/>
        <v>0.13905999999999885</v>
      </c>
      <c r="J667" s="3">
        <v>3.7206000000000001</v>
      </c>
      <c r="K667" s="6">
        <f t="shared" si="134"/>
        <v>2.1400574999999997</v>
      </c>
      <c r="L667" s="6">
        <f t="shared" si="135"/>
        <v>2.8534100000000002</v>
      </c>
      <c r="M667" s="6">
        <f t="shared" si="136"/>
        <v>0.13905999999999885</v>
      </c>
      <c r="N667" s="6">
        <f t="shared" si="137"/>
        <v>0</v>
      </c>
      <c r="O667" s="6">
        <f t="shared" si="138"/>
        <v>0</v>
      </c>
      <c r="P667" s="6">
        <f t="shared" si="139"/>
        <v>135.81399194999892</v>
      </c>
      <c r="Q667" s="3">
        <v>135.81399195</v>
      </c>
      <c r="R667" s="6">
        <f t="shared" si="140"/>
        <v>-1.0800249583553523E-12</v>
      </c>
      <c r="S667" s="6" t="str">
        <f t="shared" si="141"/>
        <v>OK</v>
      </c>
    </row>
    <row r="668" spans="1:19" x14ac:dyDescent="0.25">
      <c r="A668" s="3" t="str">
        <f t="shared" si="142"/>
        <v>10.05.2026</v>
      </c>
      <c r="B668" s="5">
        <v>75</v>
      </c>
      <c r="C668" s="5" t="s">
        <v>43</v>
      </c>
      <c r="D668" s="3">
        <v>14.267049999999999</v>
      </c>
      <c r="E668" s="3">
        <v>14.116630000000001</v>
      </c>
      <c r="F668" s="6">
        <f t="shared" si="130"/>
        <v>-0.15041999999999867</v>
      </c>
      <c r="G668" s="6">
        <f t="shared" si="131"/>
        <v>-1.0543174657690179E-2</v>
      </c>
      <c r="H668" s="6" t="str">
        <f t="shared" si="132"/>
        <v>🔴 Under-injection</v>
      </c>
      <c r="I668" s="6">
        <f t="shared" si="133"/>
        <v>0.15041999999999867</v>
      </c>
      <c r="J668" s="3">
        <v>4.2087000000000003</v>
      </c>
      <c r="K668" s="6">
        <f t="shared" si="134"/>
        <v>2.1400574999999997</v>
      </c>
      <c r="L668" s="6">
        <f t="shared" si="135"/>
        <v>2.8534100000000002</v>
      </c>
      <c r="M668" s="6">
        <f t="shared" si="136"/>
        <v>0.15041999999999867</v>
      </c>
      <c r="N668" s="6">
        <f t="shared" si="137"/>
        <v>0</v>
      </c>
      <c r="O668" s="6">
        <f t="shared" si="138"/>
        <v>0</v>
      </c>
      <c r="P668" s="6">
        <f t="shared" si="139"/>
        <v>166.18157167499857</v>
      </c>
      <c r="Q668" s="3">
        <v>166.18157167500001</v>
      </c>
      <c r="R668" s="6">
        <f t="shared" si="140"/>
        <v>-1.4495071809506044E-12</v>
      </c>
      <c r="S668" s="6" t="str">
        <f t="shared" si="141"/>
        <v>OK</v>
      </c>
    </row>
    <row r="669" spans="1:19" x14ac:dyDescent="0.25">
      <c r="A669" s="3" t="str">
        <f t="shared" si="142"/>
        <v>10.05.2026</v>
      </c>
      <c r="B669" s="5">
        <v>76</v>
      </c>
      <c r="C669" s="5" t="s">
        <v>42</v>
      </c>
      <c r="D669" s="3">
        <v>14.267049999999999</v>
      </c>
      <c r="E669" s="3">
        <v>14.12799</v>
      </c>
      <c r="F669" s="6">
        <f t="shared" si="130"/>
        <v>-0.13905999999999885</v>
      </c>
      <c r="G669" s="6">
        <f t="shared" si="131"/>
        <v>-9.746934369754004E-3</v>
      </c>
      <c r="H669" s="6" t="str">
        <f t="shared" si="132"/>
        <v>🔴 Under-injection</v>
      </c>
      <c r="I669" s="6">
        <f t="shared" si="133"/>
        <v>0.13905999999999885</v>
      </c>
      <c r="J669" s="3">
        <v>4.3026</v>
      </c>
      <c r="K669" s="6">
        <f t="shared" si="134"/>
        <v>2.1400574999999997</v>
      </c>
      <c r="L669" s="6">
        <f t="shared" si="135"/>
        <v>2.8534100000000002</v>
      </c>
      <c r="M669" s="6">
        <f t="shared" si="136"/>
        <v>0.13905999999999885</v>
      </c>
      <c r="N669" s="6">
        <f t="shared" si="137"/>
        <v>0</v>
      </c>
      <c r="O669" s="6">
        <f t="shared" si="138"/>
        <v>0</v>
      </c>
      <c r="P669" s="6">
        <f t="shared" si="139"/>
        <v>157.05888344999872</v>
      </c>
      <c r="Q669" s="3">
        <v>157.05888345</v>
      </c>
      <c r="R669" s="6">
        <f t="shared" si="140"/>
        <v>-1.2789769243681803E-12</v>
      </c>
      <c r="S669" s="6" t="str">
        <f t="shared" si="141"/>
        <v>OK</v>
      </c>
    </row>
    <row r="670" spans="1:19" x14ac:dyDescent="0.25">
      <c r="A670" s="3" t="str">
        <f t="shared" si="142"/>
        <v>10.05.2026</v>
      </c>
      <c r="B670" s="5">
        <v>77</v>
      </c>
      <c r="C670" s="5" t="s">
        <v>41</v>
      </c>
      <c r="D670" s="3">
        <v>14.267049999999999</v>
      </c>
      <c r="E670" s="3">
        <v>14.12799</v>
      </c>
      <c r="F670" s="6">
        <f t="shared" si="130"/>
        <v>-0.13905999999999885</v>
      </c>
      <c r="G670" s="6">
        <f t="shared" si="131"/>
        <v>-9.746934369754004E-3</v>
      </c>
      <c r="H670" s="6" t="str">
        <f t="shared" si="132"/>
        <v>🔴 Under-injection</v>
      </c>
      <c r="I670" s="6">
        <f t="shared" si="133"/>
        <v>0.13905999999999885</v>
      </c>
      <c r="J670" s="3">
        <v>4.8331</v>
      </c>
      <c r="K670" s="6">
        <f t="shared" si="134"/>
        <v>2.1400574999999997</v>
      </c>
      <c r="L670" s="6">
        <f t="shared" si="135"/>
        <v>2.8534100000000002</v>
      </c>
      <c r="M670" s="6">
        <f t="shared" si="136"/>
        <v>0.13905999999999885</v>
      </c>
      <c r="N670" s="6">
        <f t="shared" si="137"/>
        <v>0</v>
      </c>
      <c r="O670" s="6">
        <f t="shared" si="138"/>
        <v>0</v>
      </c>
      <c r="P670" s="6">
        <f t="shared" si="139"/>
        <v>176.42385757499858</v>
      </c>
      <c r="Q670" s="3">
        <v>176.423857575</v>
      </c>
      <c r="R670" s="6">
        <f t="shared" si="140"/>
        <v>-1.4210854715202004E-12</v>
      </c>
      <c r="S670" s="6" t="str">
        <f t="shared" si="141"/>
        <v>OK</v>
      </c>
    </row>
    <row r="671" spans="1:19" x14ac:dyDescent="0.25">
      <c r="A671" s="3" t="str">
        <f t="shared" si="142"/>
        <v>10.05.2026</v>
      </c>
      <c r="B671" s="5">
        <v>78</v>
      </c>
      <c r="C671" s="5" t="s">
        <v>40</v>
      </c>
      <c r="D671" s="3">
        <v>14.267049999999999</v>
      </c>
      <c r="E671" s="3">
        <v>14.12799</v>
      </c>
      <c r="F671" s="6">
        <f t="shared" si="130"/>
        <v>-0.13905999999999885</v>
      </c>
      <c r="G671" s="6">
        <f t="shared" si="131"/>
        <v>-9.746934369754004E-3</v>
      </c>
      <c r="H671" s="6" t="str">
        <f t="shared" si="132"/>
        <v>🔴 Under-injection</v>
      </c>
      <c r="I671" s="6">
        <f t="shared" si="133"/>
        <v>0.13905999999999885</v>
      </c>
      <c r="J671" s="3">
        <v>4.8475000000000001</v>
      </c>
      <c r="K671" s="6">
        <f t="shared" si="134"/>
        <v>2.1400574999999997</v>
      </c>
      <c r="L671" s="6">
        <f t="shared" si="135"/>
        <v>2.8534100000000002</v>
      </c>
      <c r="M671" s="6">
        <f t="shared" si="136"/>
        <v>0.13905999999999885</v>
      </c>
      <c r="N671" s="6">
        <f t="shared" si="137"/>
        <v>0</v>
      </c>
      <c r="O671" s="6">
        <f t="shared" si="138"/>
        <v>0</v>
      </c>
      <c r="P671" s="6">
        <f t="shared" si="139"/>
        <v>176.94950437499855</v>
      </c>
      <c r="Q671" s="3">
        <v>176.94950437499998</v>
      </c>
      <c r="R671" s="6">
        <f t="shared" si="140"/>
        <v>-1.4210854715202004E-12</v>
      </c>
      <c r="S671" s="6" t="str">
        <f t="shared" si="141"/>
        <v>OK</v>
      </c>
    </row>
    <row r="672" spans="1:19" x14ac:dyDescent="0.25">
      <c r="A672" s="3" t="str">
        <f t="shared" si="142"/>
        <v>10.05.2026</v>
      </c>
      <c r="B672" s="5">
        <v>79</v>
      </c>
      <c r="C672" s="5" t="s">
        <v>39</v>
      </c>
      <c r="D672" s="3">
        <v>14.267049999999999</v>
      </c>
      <c r="E672" s="3">
        <v>14.12799</v>
      </c>
      <c r="F672" s="6">
        <f t="shared" si="130"/>
        <v>-0.13905999999999885</v>
      </c>
      <c r="G672" s="6">
        <f t="shared" si="131"/>
        <v>-9.746934369754004E-3</v>
      </c>
      <c r="H672" s="6" t="str">
        <f t="shared" si="132"/>
        <v>🔴 Under-injection</v>
      </c>
      <c r="I672" s="6">
        <f t="shared" si="133"/>
        <v>0.13905999999999885</v>
      </c>
      <c r="J672" s="3">
        <v>4.9447000000000001</v>
      </c>
      <c r="K672" s="6">
        <f t="shared" si="134"/>
        <v>2.1400574999999997</v>
      </c>
      <c r="L672" s="6">
        <f t="shared" si="135"/>
        <v>2.8534100000000002</v>
      </c>
      <c r="M672" s="6">
        <f t="shared" si="136"/>
        <v>0.13905999999999885</v>
      </c>
      <c r="N672" s="6">
        <f t="shared" si="137"/>
        <v>0</v>
      </c>
      <c r="O672" s="6">
        <f t="shared" si="138"/>
        <v>0</v>
      </c>
      <c r="P672" s="6">
        <f t="shared" si="139"/>
        <v>180.49762027499852</v>
      </c>
      <c r="Q672" s="3">
        <v>180.497620275</v>
      </c>
      <c r="R672" s="6">
        <f t="shared" si="140"/>
        <v>-1.4779288903810084E-12</v>
      </c>
      <c r="S672" s="6" t="str">
        <f t="shared" si="141"/>
        <v>OK</v>
      </c>
    </row>
    <row r="673" spans="1:19" x14ac:dyDescent="0.25">
      <c r="A673" s="3" t="str">
        <f t="shared" si="142"/>
        <v>10.05.2026</v>
      </c>
      <c r="B673" s="5">
        <v>80</v>
      </c>
      <c r="C673" s="5" t="s">
        <v>38</v>
      </c>
      <c r="D673" s="3">
        <v>14.267049999999999</v>
      </c>
      <c r="E673" s="3">
        <v>14.332240000000001</v>
      </c>
      <c r="F673" s="6">
        <f t="shared" si="130"/>
        <v>6.5190000000001191E-2</v>
      </c>
      <c r="G673" s="6">
        <f t="shared" si="131"/>
        <v>4.5692697509296734E-3</v>
      </c>
      <c r="H673" s="6" t="str">
        <f t="shared" si="132"/>
        <v>🟢 Over-injection</v>
      </c>
      <c r="I673" s="6">
        <f t="shared" si="133"/>
        <v>-6.5190000000001191E-2</v>
      </c>
      <c r="J673" s="3">
        <v>5.0448000000000004</v>
      </c>
      <c r="K673" s="6">
        <f t="shared" si="134"/>
        <v>2.1400574999999997</v>
      </c>
      <c r="L673" s="6">
        <f t="shared" si="135"/>
        <v>2.8534100000000002</v>
      </c>
      <c r="M673" s="6">
        <f t="shared" si="136"/>
        <v>6.5190000000001191E-2</v>
      </c>
      <c r="N673" s="6">
        <f t="shared" si="137"/>
        <v>0</v>
      </c>
      <c r="O673" s="6">
        <f t="shared" si="138"/>
        <v>0</v>
      </c>
      <c r="P673" s="6">
        <f t="shared" si="139"/>
        <v>-65.774102400001212</v>
      </c>
      <c r="Q673" s="3">
        <v>-65.774102400000004</v>
      </c>
      <c r="R673" s="6">
        <f t="shared" si="140"/>
        <v>-1.2079226507921703E-12</v>
      </c>
      <c r="S673" s="6" t="str">
        <f t="shared" si="141"/>
        <v>OK</v>
      </c>
    </row>
    <row r="674" spans="1:19" x14ac:dyDescent="0.25">
      <c r="A674" s="3" t="str">
        <f t="shared" si="142"/>
        <v>10.05.2026</v>
      </c>
      <c r="B674" s="5">
        <v>81</v>
      </c>
      <c r="C674" s="5" t="s">
        <v>37</v>
      </c>
      <c r="D674" s="3">
        <v>14.267049999999999</v>
      </c>
      <c r="E674" s="3">
        <v>14.46841</v>
      </c>
      <c r="F674" s="6">
        <f t="shared" si="130"/>
        <v>0.20136000000000109</v>
      </c>
      <c r="G674" s="6">
        <f t="shared" si="131"/>
        <v>1.411363946996759E-2</v>
      </c>
      <c r="H674" s="6" t="str">
        <f t="shared" si="132"/>
        <v>🟢 Over-injection</v>
      </c>
      <c r="I674" s="6">
        <f t="shared" si="133"/>
        <v>-0.20136000000000109</v>
      </c>
      <c r="J674" s="3">
        <v>4.9629000000000003</v>
      </c>
      <c r="K674" s="6">
        <f t="shared" si="134"/>
        <v>2.1400574999999997</v>
      </c>
      <c r="L674" s="6">
        <f t="shared" si="135"/>
        <v>2.8534100000000002</v>
      </c>
      <c r="M674" s="6">
        <f t="shared" si="136"/>
        <v>0.20136000000000109</v>
      </c>
      <c r="N674" s="6">
        <f t="shared" si="137"/>
        <v>0</v>
      </c>
      <c r="O674" s="6">
        <f t="shared" si="138"/>
        <v>0</v>
      </c>
      <c r="P674" s="6">
        <f t="shared" si="139"/>
        <v>-199.86590880000114</v>
      </c>
      <c r="Q674" s="3">
        <v>-199.86590880000006</v>
      </c>
      <c r="R674" s="6">
        <f t="shared" si="140"/>
        <v>-1.0800249583553523E-12</v>
      </c>
      <c r="S674" s="6" t="str">
        <f t="shared" si="141"/>
        <v>OK</v>
      </c>
    </row>
    <row r="675" spans="1:19" x14ac:dyDescent="0.25">
      <c r="A675" s="3" t="str">
        <f t="shared" si="142"/>
        <v>10.05.2026</v>
      </c>
      <c r="B675" s="5">
        <v>82</v>
      </c>
      <c r="C675" s="5" t="s">
        <v>36</v>
      </c>
      <c r="D675" s="3">
        <v>14.267049999999999</v>
      </c>
      <c r="E675" s="3">
        <v>14.479760000000001</v>
      </c>
      <c r="F675" s="6">
        <f t="shared" si="130"/>
        <v>0.21271000000000129</v>
      </c>
      <c r="G675" s="6">
        <f t="shared" si="131"/>
        <v>1.4909178842157369E-2</v>
      </c>
      <c r="H675" s="6" t="str">
        <f t="shared" si="132"/>
        <v>🟢 Over-injection</v>
      </c>
      <c r="I675" s="6">
        <f t="shared" si="133"/>
        <v>-0.21271000000000129</v>
      </c>
      <c r="J675" s="3">
        <v>5.5402999999999993</v>
      </c>
      <c r="K675" s="6">
        <f t="shared" si="134"/>
        <v>2.1400574999999997</v>
      </c>
      <c r="L675" s="6">
        <f t="shared" si="135"/>
        <v>2.8534100000000002</v>
      </c>
      <c r="M675" s="6">
        <f t="shared" si="136"/>
        <v>0.21271000000000129</v>
      </c>
      <c r="N675" s="6">
        <f t="shared" si="137"/>
        <v>0</v>
      </c>
      <c r="O675" s="6">
        <f t="shared" si="138"/>
        <v>0</v>
      </c>
      <c r="P675" s="6">
        <f t="shared" si="139"/>
        <v>-235.69544260000143</v>
      </c>
      <c r="Q675" s="3">
        <v>-235.69544259999998</v>
      </c>
      <c r="R675" s="6">
        <f t="shared" si="140"/>
        <v>-1.4495071809506044E-12</v>
      </c>
      <c r="S675" s="6" t="str">
        <f t="shared" si="141"/>
        <v>OK</v>
      </c>
    </row>
    <row r="676" spans="1:19" x14ac:dyDescent="0.25">
      <c r="A676" s="3" t="str">
        <f t="shared" si="142"/>
        <v>10.05.2026</v>
      </c>
      <c r="B676" s="5">
        <v>83</v>
      </c>
      <c r="C676" s="5" t="s">
        <v>35</v>
      </c>
      <c r="D676" s="3">
        <v>14.267049999999999</v>
      </c>
      <c r="E676" s="3">
        <v>14.479760000000001</v>
      </c>
      <c r="F676" s="6">
        <f t="shared" si="130"/>
        <v>0.21271000000000129</v>
      </c>
      <c r="G676" s="6">
        <f t="shared" si="131"/>
        <v>1.4909178842157369E-2</v>
      </c>
      <c r="H676" s="6" t="str">
        <f t="shared" si="132"/>
        <v>🟢 Over-injection</v>
      </c>
      <c r="I676" s="6">
        <f t="shared" si="133"/>
        <v>-0.21271000000000129</v>
      </c>
      <c r="J676" s="3">
        <v>5.8376000000000001</v>
      </c>
      <c r="K676" s="6">
        <f t="shared" si="134"/>
        <v>2.1400574999999997</v>
      </c>
      <c r="L676" s="6">
        <f t="shared" si="135"/>
        <v>2.8534100000000002</v>
      </c>
      <c r="M676" s="6">
        <f t="shared" si="136"/>
        <v>0.21271000000000129</v>
      </c>
      <c r="N676" s="6">
        <f t="shared" si="137"/>
        <v>0</v>
      </c>
      <c r="O676" s="6">
        <f t="shared" si="138"/>
        <v>0</v>
      </c>
      <c r="P676" s="6">
        <f t="shared" si="139"/>
        <v>-248.34317920000152</v>
      </c>
      <c r="Q676" s="3">
        <v>-248.34317920000004</v>
      </c>
      <c r="R676" s="6">
        <f t="shared" si="140"/>
        <v>-1.4779288903810084E-12</v>
      </c>
      <c r="S676" s="6" t="str">
        <f t="shared" si="141"/>
        <v>OK</v>
      </c>
    </row>
    <row r="677" spans="1:19" x14ac:dyDescent="0.25">
      <c r="A677" s="3" t="str">
        <f t="shared" si="142"/>
        <v>10.05.2026</v>
      </c>
      <c r="B677" s="5">
        <v>84</v>
      </c>
      <c r="C677" s="5" t="s">
        <v>34</v>
      </c>
      <c r="D677" s="3">
        <v>14.267049999999999</v>
      </c>
      <c r="E677" s="3">
        <v>14.491110000000001</v>
      </c>
      <c r="F677" s="6">
        <f t="shared" si="130"/>
        <v>0.22406000000000148</v>
      </c>
      <c r="G677" s="6">
        <f t="shared" si="131"/>
        <v>1.5704718214347151E-2</v>
      </c>
      <c r="H677" s="6" t="str">
        <f t="shared" si="132"/>
        <v>🟢 Over-injection</v>
      </c>
      <c r="I677" s="6">
        <f t="shared" si="133"/>
        <v>-0.22406000000000148</v>
      </c>
      <c r="J677" s="3">
        <v>6.0067999999999993</v>
      </c>
      <c r="K677" s="6">
        <f t="shared" si="134"/>
        <v>2.1400574999999997</v>
      </c>
      <c r="L677" s="6">
        <f t="shared" si="135"/>
        <v>2.8534100000000002</v>
      </c>
      <c r="M677" s="6">
        <f t="shared" si="136"/>
        <v>0.22406000000000148</v>
      </c>
      <c r="N677" s="6">
        <f t="shared" si="137"/>
        <v>0</v>
      </c>
      <c r="O677" s="6">
        <f t="shared" si="138"/>
        <v>0</v>
      </c>
      <c r="P677" s="6">
        <f t="shared" si="139"/>
        <v>-269.17672160000171</v>
      </c>
      <c r="Q677" s="3">
        <v>-269.17672160000001</v>
      </c>
      <c r="R677" s="6">
        <f t="shared" si="140"/>
        <v>-1.7053025658242404E-12</v>
      </c>
      <c r="S677" s="6" t="str">
        <f t="shared" si="141"/>
        <v>OK</v>
      </c>
    </row>
    <row r="678" spans="1:19" x14ac:dyDescent="0.25">
      <c r="A678" s="3" t="str">
        <f t="shared" si="142"/>
        <v>10.05.2026</v>
      </c>
      <c r="B678" s="5">
        <v>85</v>
      </c>
      <c r="C678" s="5" t="s">
        <v>33</v>
      </c>
      <c r="D678" s="3">
        <v>15.267050000000001</v>
      </c>
      <c r="E678" s="3">
        <v>15.137930000000001</v>
      </c>
      <c r="F678" s="6">
        <f t="shared" si="130"/>
        <v>-0.12912000000000035</v>
      </c>
      <c r="G678" s="6">
        <f t="shared" si="131"/>
        <v>-8.4574295623581729E-3</v>
      </c>
      <c r="H678" s="6" t="str">
        <f t="shared" si="132"/>
        <v>🔴 Under-injection</v>
      </c>
      <c r="I678" s="6">
        <f t="shared" si="133"/>
        <v>0.12912000000000035</v>
      </c>
      <c r="J678" s="3">
        <v>5.8876999999999997</v>
      </c>
      <c r="K678" s="6">
        <f t="shared" si="134"/>
        <v>2.2900575000000001</v>
      </c>
      <c r="L678" s="6">
        <f t="shared" si="135"/>
        <v>3.0534100000000004</v>
      </c>
      <c r="M678" s="6">
        <f t="shared" si="136"/>
        <v>0.12912000000000035</v>
      </c>
      <c r="N678" s="6">
        <f t="shared" si="137"/>
        <v>0</v>
      </c>
      <c r="O678" s="6">
        <f t="shared" si="138"/>
        <v>0</v>
      </c>
      <c r="P678" s="6">
        <f t="shared" si="139"/>
        <v>199.55770380000052</v>
      </c>
      <c r="Q678" s="3">
        <v>199.55770380000001</v>
      </c>
      <c r="R678" s="6">
        <f t="shared" si="140"/>
        <v>5.1159076974727213E-13</v>
      </c>
      <c r="S678" s="6" t="str">
        <f t="shared" si="141"/>
        <v>OK</v>
      </c>
    </row>
    <row r="679" spans="1:19" x14ac:dyDescent="0.25">
      <c r="A679" s="3" t="str">
        <f t="shared" si="142"/>
        <v>10.05.2026</v>
      </c>
      <c r="B679" s="5">
        <v>86</v>
      </c>
      <c r="C679" s="5" t="s">
        <v>32</v>
      </c>
      <c r="D679" s="3">
        <v>15.267050000000001</v>
      </c>
      <c r="E679" s="3">
        <v>15.18332</v>
      </c>
      <c r="F679" s="6">
        <f t="shared" si="130"/>
        <v>-8.373000000000097E-2</v>
      </c>
      <c r="G679" s="6">
        <f t="shared" si="131"/>
        <v>-5.4843601088619583E-3</v>
      </c>
      <c r="H679" s="6" t="str">
        <f t="shared" si="132"/>
        <v>🔴 Under-injection</v>
      </c>
      <c r="I679" s="6">
        <f t="shared" si="133"/>
        <v>8.373000000000097E-2</v>
      </c>
      <c r="J679" s="3">
        <v>5.7936000000000005</v>
      </c>
      <c r="K679" s="6">
        <f t="shared" si="134"/>
        <v>2.2900575000000001</v>
      </c>
      <c r="L679" s="6">
        <f t="shared" si="135"/>
        <v>3.0534100000000004</v>
      </c>
      <c r="M679" s="6">
        <f t="shared" si="136"/>
        <v>8.373000000000097E-2</v>
      </c>
      <c r="N679" s="6">
        <f t="shared" si="137"/>
        <v>0</v>
      </c>
      <c r="O679" s="6">
        <f t="shared" si="138"/>
        <v>0</v>
      </c>
      <c r="P679" s="6">
        <f t="shared" si="139"/>
        <v>127.33825860000151</v>
      </c>
      <c r="Q679" s="3">
        <v>127.33825860000003</v>
      </c>
      <c r="R679" s="6">
        <f t="shared" si="140"/>
        <v>1.4779288903810084E-12</v>
      </c>
      <c r="S679" s="6" t="str">
        <f t="shared" si="141"/>
        <v>OK</v>
      </c>
    </row>
    <row r="680" spans="1:19" x14ac:dyDescent="0.25">
      <c r="A680" s="3" t="str">
        <f t="shared" si="142"/>
        <v>10.05.2026</v>
      </c>
      <c r="B680" s="5">
        <v>87</v>
      </c>
      <c r="C680" s="5" t="s">
        <v>31</v>
      </c>
      <c r="D680" s="3">
        <v>16.267050000000001</v>
      </c>
      <c r="E680" s="3">
        <v>15.739369999999999</v>
      </c>
      <c r="F680" s="6">
        <f t="shared" si="130"/>
        <v>-0.52768000000000193</v>
      </c>
      <c r="G680" s="6">
        <f t="shared" si="131"/>
        <v>-3.2438579828549238E-2</v>
      </c>
      <c r="H680" s="6" t="str">
        <f t="shared" si="132"/>
        <v>🔴 Under-injection</v>
      </c>
      <c r="I680" s="6">
        <f t="shared" si="133"/>
        <v>0.52768000000000193</v>
      </c>
      <c r="J680" s="3">
        <v>5.5420000000000007</v>
      </c>
      <c r="K680" s="6">
        <f t="shared" si="134"/>
        <v>2.4400575</v>
      </c>
      <c r="L680" s="6">
        <f t="shared" si="135"/>
        <v>3.2534100000000006</v>
      </c>
      <c r="M680" s="6">
        <f t="shared" si="136"/>
        <v>0.52768000000000193</v>
      </c>
      <c r="N680" s="6">
        <f t="shared" si="137"/>
        <v>0</v>
      </c>
      <c r="O680" s="6">
        <f t="shared" si="138"/>
        <v>0</v>
      </c>
      <c r="P680" s="6">
        <f t="shared" si="139"/>
        <v>767.65567200000282</v>
      </c>
      <c r="Q680" s="3">
        <v>767.65567200000021</v>
      </c>
      <c r="R680" s="6">
        <f t="shared" si="140"/>
        <v>2.6147972675971687E-12</v>
      </c>
      <c r="S680" s="6" t="str">
        <f t="shared" si="141"/>
        <v>OK</v>
      </c>
    </row>
    <row r="681" spans="1:19" x14ac:dyDescent="0.25">
      <c r="A681" s="3" t="str">
        <f t="shared" si="142"/>
        <v>10.05.2026</v>
      </c>
      <c r="B681" s="5">
        <v>88</v>
      </c>
      <c r="C681" s="5" t="s">
        <v>30</v>
      </c>
      <c r="D681" s="3">
        <v>16.267050000000001</v>
      </c>
      <c r="E681" s="3">
        <v>15.92093</v>
      </c>
      <c r="F681" s="6">
        <f t="shared" si="130"/>
        <v>-0.34612000000000087</v>
      </c>
      <c r="G681" s="6">
        <f t="shared" si="131"/>
        <v>-2.1277367439087039E-2</v>
      </c>
      <c r="H681" s="6" t="str">
        <f t="shared" si="132"/>
        <v>🔴 Under-injection</v>
      </c>
      <c r="I681" s="6">
        <f t="shared" si="133"/>
        <v>0.34612000000000087</v>
      </c>
      <c r="J681" s="3">
        <v>5.7039</v>
      </c>
      <c r="K681" s="6">
        <f t="shared" si="134"/>
        <v>2.4400575</v>
      </c>
      <c r="L681" s="6">
        <f t="shared" si="135"/>
        <v>3.2534100000000006</v>
      </c>
      <c r="M681" s="6">
        <f t="shared" si="136"/>
        <v>0.34612000000000087</v>
      </c>
      <c r="N681" s="6">
        <f t="shared" si="137"/>
        <v>0</v>
      </c>
      <c r="O681" s="6">
        <f t="shared" si="138"/>
        <v>0</v>
      </c>
      <c r="P681" s="6">
        <f t="shared" si="139"/>
        <v>518.23639035000133</v>
      </c>
      <c r="Q681" s="3">
        <v>518.23639034999997</v>
      </c>
      <c r="R681" s="6">
        <f t="shared" si="140"/>
        <v>1.3642420526593924E-12</v>
      </c>
      <c r="S681" s="6" t="str">
        <f t="shared" si="141"/>
        <v>OK</v>
      </c>
    </row>
    <row r="682" spans="1:19" x14ac:dyDescent="0.25">
      <c r="A682" s="3" t="str">
        <f t="shared" si="142"/>
        <v>10.05.2026</v>
      </c>
      <c r="B682" s="5">
        <v>89</v>
      </c>
      <c r="C682" s="5" t="s">
        <v>29</v>
      </c>
      <c r="D682" s="3">
        <v>16.267050000000001</v>
      </c>
      <c r="E682" s="3">
        <v>15.92093</v>
      </c>
      <c r="F682" s="6">
        <f t="shared" si="130"/>
        <v>-0.34612000000000087</v>
      </c>
      <c r="G682" s="6">
        <f t="shared" si="131"/>
        <v>-2.1277367439087039E-2</v>
      </c>
      <c r="H682" s="6" t="str">
        <f t="shared" si="132"/>
        <v>🔴 Under-injection</v>
      </c>
      <c r="I682" s="6">
        <f t="shared" si="133"/>
        <v>0.34612000000000087</v>
      </c>
      <c r="J682" s="3">
        <v>5.7850000000000001</v>
      </c>
      <c r="K682" s="6">
        <f t="shared" si="134"/>
        <v>2.4400575</v>
      </c>
      <c r="L682" s="6">
        <f t="shared" si="135"/>
        <v>3.2534100000000006</v>
      </c>
      <c r="M682" s="6">
        <f t="shared" si="136"/>
        <v>0.34612000000000087</v>
      </c>
      <c r="N682" s="6">
        <f t="shared" si="137"/>
        <v>0</v>
      </c>
      <c r="O682" s="6">
        <f t="shared" si="138"/>
        <v>0</v>
      </c>
      <c r="P682" s="6">
        <f t="shared" si="139"/>
        <v>525.60485250000136</v>
      </c>
      <c r="Q682" s="3">
        <v>525.60485249999999</v>
      </c>
      <c r="R682" s="6">
        <f t="shared" si="140"/>
        <v>1.3642420526593924E-12</v>
      </c>
      <c r="S682" s="6" t="str">
        <f t="shared" si="141"/>
        <v>OK</v>
      </c>
    </row>
    <row r="683" spans="1:19" x14ac:dyDescent="0.25">
      <c r="A683" s="3" t="str">
        <f t="shared" si="142"/>
        <v>10.05.2026</v>
      </c>
      <c r="B683" s="5">
        <v>90</v>
      </c>
      <c r="C683" s="5" t="s">
        <v>28</v>
      </c>
      <c r="D683" s="3">
        <v>16.267050000000001</v>
      </c>
      <c r="E683" s="3">
        <v>15.92093</v>
      </c>
      <c r="F683" s="6">
        <f t="shared" si="130"/>
        <v>-0.34612000000000087</v>
      </c>
      <c r="G683" s="6">
        <f t="shared" si="131"/>
        <v>-2.1277367439087039E-2</v>
      </c>
      <c r="H683" s="6" t="str">
        <f t="shared" si="132"/>
        <v>🔴 Under-injection</v>
      </c>
      <c r="I683" s="6">
        <f t="shared" si="133"/>
        <v>0.34612000000000087</v>
      </c>
      <c r="J683" s="3">
        <v>6.0575000000000001</v>
      </c>
      <c r="K683" s="6">
        <f t="shared" si="134"/>
        <v>2.4400575</v>
      </c>
      <c r="L683" s="6">
        <f t="shared" si="135"/>
        <v>3.2534100000000006</v>
      </c>
      <c r="M683" s="6">
        <f t="shared" si="136"/>
        <v>0.34612000000000087</v>
      </c>
      <c r="N683" s="6">
        <f t="shared" si="137"/>
        <v>0</v>
      </c>
      <c r="O683" s="6">
        <f t="shared" si="138"/>
        <v>0</v>
      </c>
      <c r="P683" s="6">
        <f t="shared" si="139"/>
        <v>550.36324875000139</v>
      </c>
      <c r="Q683" s="3">
        <v>550.36324875000003</v>
      </c>
      <c r="R683" s="6">
        <f t="shared" si="140"/>
        <v>1.3642420526593924E-12</v>
      </c>
      <c r="S683" s="6" t="str">
        <f t="shared" si="141"/>
        <v>OK</v>
      </c>
    </row>
    <row r="684" spans="1:19" x14ac:dyDescent="0.25">
      <c r="A684" s="3" t="str">
        <f t="shared" si="142"/>
        <v>10.05.2026</v>
      </c>
      <c r="B684" s="5">
        <v>91</v>
      </c>
      <c r="C684" s="5" t="s">
        <v>27</v>
      </c>
      <c r="D684" s="3">
        <v>16.267050000000001</v>
      </c>
      <c r="E684" s="3">
        <v>15.90958</v>
      </c>
      <c r="F684" s="6">
        <f t="shared" si="130"/>
        <v>-0.35747000000000106</v>
      </c>
      <c r="G684" s="6">
        <f t="shared" si="131"/>
        <v>-2.1975096898331353E-2</v>
      </c>
      <c r="H684" s="6" t="str">
        <f t="shared" si="132"/>
        <v>🔴 Under-injection</v>
      </c>
      <c r="I684" s="6">
        <f t="shared" si="133"/>
        <v>0.35747000000000106</v>
      </c>
      <c r="J684" s="3">
        <v>6.0837000000000003</v>
      </c>
      <c r="K684" s="6">
        <f t="shared" si="134"/>
        <v>2.4400575</v>
      </c>
      <c r="L684" s="6">
        <f t="shared" si="135"/>
        <v>3.2534100000000006</v>
      </c>
      <c r="M684" s="6">
        <f t="shared" si="136"/>
        <v>0.35747000000000106</v>
      </c>
      <c r="N684" s="6">
        <f t="shared" si="137"/>
        <v>0</v>
      </c>
      <c r="O684" s="6">
        <f t="shared" si="138"/>
        <v>0</v>
      </c>
      <c r="P684" s="6">
        <f t="shared" si="139"/>
        <v>570.86931273750179</v>
      </c>
      <c r="Q684" s="3">
        <v>570.86931273750008</v>
      </c>
      <c r="R684" s="6">
        <f t="shared" si="140"/>
        <v>1.7053025658242404E-12</v>
      </c>
      <c r="S684" s="6" t="str">
        <f t="shared" si="141"/>
        <v>OK</v>
      </c>
    </row>
    <row r="685" spans="1:19" x14ac:dyDescent="0.25">
      <c r="A685" s="3" t="str">
        <f t="shared" si="142"/>
        <v>10.05.2026</v>
      </c>
      <c r="B685" s="5">
        <v>92</v>
      </c>
      <c r="C685" s="5" t="s">
        <v>26</v>
      </c>
      <c r="D685" s="3">
        <v>16.267050000000001</v>
      </c>
      <c r="E685" s="3">
        <v>15.90958</v>
      </c>
      <c r="F685" s="6">
        <f t="shared" si="130"/>
        <v>-0.35747000000000106</v>
      </c>
      <c r="G685" s="6">
        <f t="shared" si="131"/>
        <v>-2.1975096898331353E-2</v>
      </c>
      <c r="H685" s="6" t="str">
        <f t="shared" si="132"/>
        <v>🔴 Under-injection</v>
      </c>
      <c r="I685" s="6">
        <f t="shared" si="133"/>
        <v>0.35747000000000106</v>
      </c>
      <c r="J685" s="3">
        <v>6.5822000000000003</v>
      </c>
      <c r="K685" s="6">
        <f t="shared" si="134"/>
        <v>2.4400575</v>
      </c>
      <c r="L685" s="6">
        <f t="shared" si="135"/>
        <v>3.2534100000000006</v>
      </c>
      <c r="M685" s="6">
        <f t="shared" si="136"/>
        <v>0.35747000000000106</v>
      </c>
      <c r="N685" s="6">
        <f t="shared" si="137"/>
        <v>0</v>
      </c>
      <c r="O685" s="6">
        <f t="shared" si="138"/>
        <v>0</v>
      </c>
      <c r="P685" s="6">
        <f t="shared" si="139"/>
        <v>617.64649642500183</v>
      </c>
      <c r="Q685" s="3">
        <v>617.64649642500001</v>
      </c>
      <c r="R685" s="6">
        <f t="shared" si="140"/>
        <v>1.8189894035458565E-12</v>
      </c>
      <c r="S685" s="6" t="str">
        <f t="shared" si="141"/>
        <v>OK</v>
      </c>
    </row>
    <row r="686" spans="1:19" x14ac:dyDescent="0.25">
      <c r="A686" s="3" t="str">
        <f t="shared" si="142"/>
        <v>10.05.2026</v>
      </c>
      <c r="B686" s="5">
        <v>93</v>
      </c>
      <c r="C686" s="5" t="s">
        <v>25</v>
      </c>
      <c r="D686" s="3">
        <v>16.267050000000001</v>
      </c>
      <c r="E686" s="3">
        <v>15.90958</v>
      </c>
      <c r="F686" s="6">
        <f t="shared" si="130"/>
        <v>-0.35747000000000106</v>
      </c>
      <c r="G686" s="6">
        <f t="shared" si="131"/>
        <v>-2.1975096898331353E-2</v>
      </c>
      <c r="H686" s="6" t="str">
        <f t="shared" si="132"/>
        <v>🔴 Under-injection</v>
      </c>
      <c r="I686" s="6">
        <f t="shared" si="133"/>
        <v>0.35747000000000106</v>
      </c>
      <c r="J686" s="3">
        <v>6.0937000000000001</v>
      </c>
      <c r="K686" s="6">
        <f t="shared" si="134"/>
        <v>2.4400575</v>
      </c>
      <c r="L686" s="6">
        <f t="shared" si="135"/>
        <v>3.2534100000000006</v>
      </c>
      <c r="M686" s="6">
        <f t="shared" si="136"/>
        <v>0.35747000000000106</v>
      </c>
      <c r="N686" s="6">
        <f t="shared" si="137"/>
        <v>0</v>
      </c>
      <c r="O686" s="6">
        <f t="shared" si="138"/>
        <v>0</v>
      </c>
      <c r="P686" s="6">
        <f t="shared" si="139"/>
        <v>571.80767148750169</v>
      </c>
      <c r="Q686" s="3">
        <v>571.80767148749999</v>
      </c>
      <c r="R686" s="6">
        <f t="shared" si="140"/>
        <v>1.7053025658242404E-12</v>
      </c>
      <c r="S686" s="6" t="str">
        <f t="shared" si="141"/>
        <v>OK</v>
      </c>
    </row>
    <row r="687" spans="1:19" x14ac:dyDescent="0.25">
      <c r="A687" s="3" t="str">
        <f t="shared" si="142"/>
        <v>10.05.2026</v>
      </c>
      <c r="B687" s="5">
        <v>94</v>
      </c>
      <c r="C687" s="5" t="s">
        <v>24</v>
      </c>
      <c r="D687" s="3">
        <v>16.267050000000001</v>
      </c>
      <c r="E687" s="3">
        <v>15.89823</v>
      </c>
      <c r="F687" s="6">
        <f t="shared" si="130"/>
        <v>-0.36882000000000126</v>
      </c>
      <c r="G687" s="6">
        <f t="shared" si="131"/>
        <v>-2.2672826357575667E-2</v>
      </c>
      <c r="H687" s="6" t="str">
        <f t="shared" si="132"/>
        <v>🔴 Under-injection</v>
      </c>
      <c r="I687" s="6">
        <f t="shared" si="133"/>
        <v>0.36882000000000126</v>
      </c>
      <c r="J687" s="3">
        <v>7.6566999999999998</v>
      </c>
      <c r="K687" s="6">
        <f t="shared" si="134"/>
        <v>2.4400575</v>
      </c>
      <c r="L687" s="6">
        <f t="shared" si="135"/>
        <v>3.2534100000000006</v>
      </c>
      <c r="M687" s="6">
        <f t="shared" si="136"/>
        <v>0.36882000000000126</v>
      </c>
      <c r="N687" s="6">
        <f t="shared" si="137"/>
        <v>0</v>
      </c>
      <c r="O687" s="6">
        <f t="shared" si="138"/>
        <v>0</v>
      </c>
      <c r="P687" s="6">
        <f t="shared" si="139"/>
        <v>741.28532467500247</v>
      </c>
      <c r="Q687" s="3">
        <v>741.28532467500008</v>
      </c>
      <c r="R687" s="6">
        <f t="shared" si="140"/>
        <v>2.3874235921539366E-12</v>
      </c>
      <c r="S687" s="6" t="str">
        <f t="shared" si="141"/>
        <v>OK</v>
      </c>
    </row>
    <row r="688" spans="1:19" x14ac:dyDescent="0.25">
      <c r="A688" s="3" t="str">
        <f t="shared" si="142"/>
        <v>10.05.2026</v>
      </c>
      <c r="B688" s="5">
        <v>95</v>
      </c>
      <c r="C688" s="5" t="s">
        <v>23</v>
      </c>
      <c r="D688" s="3">
        <v>16.267050000000001</v>
      </c>
      <c r="E688" s="3">
        <v>15.89823</v>
      </c>
      <c r="F688" s="6">
        <f t="shared" si="130"/>
        <v>-0.36882000000000126</v>
      </c>
      <c r="G688" s="6">
        <f t="shared" si="131"/>
        <v>-2.2672826357575667E-2</v>
      </c>
      <c r="H688" s="6" t="str">
        <f t="shared" si="132"/>
        <v>🔴 Under-injection</v>
      </c>
      <c r="I688" s="6">
        <f t="shared" si="133"/>
        <v>0.36882000000000126</v>
      </c>
      <c r="J688" s="3">
        <v>7.6607000000000003</v>
      </c>
      <c r="K688" s="6">
        <f t="shared" si="134"/>
        <v>2.4400575</v>
      </c>
      <c r="L688" s="6">
        <f t="shared" si="135"/>
        <v>3.2534100000000006</v>
      </c>
      <c r="M688" s="6">
        <f t="shared" si="136"/>
        <v>0.36882000000000126</v>
      </c>
      <c r="N688" s="6">
        <f t="shared" si="137"/>
        <v>0</v>
      </c>
      <c r="O688" s="6">
        <f t="shared" si="138"/>
        <v>0</v>
      </c>
      <c r="P688" s="6">
        <f t="shared" si="139"/>
        <v>741.67258567500255</v>
      </c>
      <c r="Q688" s="3">
        <v>741.67258567499994</v>
      </c>
      <c r="R688" s="6">
        <f t="shared" si="140"/>
        <v>2.6147972675971687E-12</v>
      </c>
      <c r="S688" s="6" t="str">
        <f t="shared" si="141"/>
        <v>OK</v>
      </c>
    </row>
    <row r="689" spans="1:19" x14ac:dyDescent="0.25">
      <c r="A689" s="3" t="str">
        <f t="shared" si="142"/>
        <v>10.05.2026</v>
      </c>
      <c r="B689" s="5">
        <v>96</v>
      </c>
      <c r="C689" s="5" t="s">
        <v>22</v>
      </c>
      <c r="D689" s="3">
        <v>16.267050000000001</v>
      </c>
      <c r="E689" s="3">
        <v>15.89823</v>
      </c>
      <c r="F689" s="6">
        <f t="shared" si="130"/>
        <v>-0.36882000000000126</v>
      </c>
      <c r="G689" s="6">
        <f t="shared" si="131"/>
        <v>-2.2672826357575667E-2</v>
      </c>
      <c r="H689" s="6" t="str">
        <f t="shared" si="132"/>
        <v>🔴 Under-injection</v>
      </c>
      <c r="I689" s="6">
        <f t="shared" si="133"/>
        <v>0.36882000000000126</v>
      </c>
      <c r="J689" s="3">
        <v>7.6634000000000002</v>
      </c>
      <c r="K689" s="6">
        <f t="shared" si="134"/>
        <v>2.4400575</v>
      </c>
      <c r="L689" s="6">
        <f t="shared" si="135"/>
        <v>3.2534100000000006</v>
      </c>
      <c r="M689" s="6">
        <f t="shared" si="136"/>
        <v>0.36882000000000126</v>
      </c>
      <c r="N689" s="6">
        <f t="shared" si="137"/>
        <v>0</v>
      </c>
      <c r="O689" s="6">
        <f t="shared" si="138"/>
        <v>0</v>
      </c>
      <c r="P689" s="6">
        <f t="shared" si="139"/>
        <v>741.93398685000273</v>
      </c>
      <c r="Q689" s="3">
        <v>741.93398685</v>
      </c>
      <c r="R689" s="6">
        <f t="shared" si="140"/>
        <v>2.7284841053187847E-12</v>
      </c>
      <c r="S689" s="6" t="str">
        <f t="shared" si="141"/>
        <v>OK</v>
      </c>
    </row>
    <row r="690" spans="1:19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5">
      <c r="A691" s="53" t="s">
        <v>21</v>
      </c>
      <c r="B691" s="53"/>
      <c r="C691" s="53"/>
      <c r="D691" s="53"/>
      <c r="E691" s="53"/>
      <c r="F691" s="53"/>
      <c r="G691" s="53"/>
      <c r="H691" s="53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spans="1:19" ht="24" x14ac:dyDescent="0.25">
      <c r="A692" s="8" t="s">
        <v>20</v>
      </c>
      <c r="B692" s="8" t="s">
        <v>19</v>
      </c>
      <c r="C692" s="8" t="s">
        <v>18</v>
      </c>
      <c r="D692" s="8" t="s">
        <v>17</v>
      </c>
      <c r="E692" s="8" t="s">
        <v>163</v>
      </c>
      <c r="F692" s="8" t="s">
        <v>161</v>
      </c>
      <c r="G692" s="8" t="s">
        <v>162</v>
      </c>
      <c r="H692" s="8" t="s">
        <v>9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spans="1:19" x14ac:dyDescent="0.25">
      <c r="A693" s="4" t="str" cm="1">
        <f t="array" ref="A693">IFERROR(INDEX($A$18:$A$689,(ROWS($A$693:A693)-1)*96+1),"")</f>
        <v>04.05.2026</v>
      </c>
      <c r="B693" s="27">
        <f>SUMIF($A$18:$A$689,A693,$D$18:$D$689)*$B$6</f>
        <v>219.15919999999969</v>
      </c>
      <c r="C693" s="27">
        <f t="shared" ref="C693:C699" si="143">SUMIF($A$18:$A$689,A693,$E$18:$E$689)*$B$6</f>
        <v>215.55383500000011</v>
      </c>
      <c r="D693" s="27">
        <f t="shared" ref="D693:D699" si="144">SUMIF($A$18:$A$689,A693,$F$18:$F$689)*$B$6</f>
        <v>-3.6053649999999986</v>
      </c>
      <c r="E693" s="28">
        <f t="shared" ref="E693:E699" si="145">SUMIF($A$18:$A$689,A693,$P$18:$P$689)</f>
        <v>10104.365135025</v>
      </c>
      <c r="F693" s="28">
        <f t="shared" ref="F693:F699" si="146">SUMIF($A$18:$A$689,A693,$Q$18:$Q$689)</f>
        <v>10104.365135025006</v>
      </c>
      <c r="G693" s="28">
        <f t="shared" ref="G693:G700" si="147">E693-F693</f>
        <v>0</v>
      </c>
      <c r="H693" s="29" t="str">
        <f t="shared" ref="H693:H700" si="148">IF(ABS(G693)&lt;=0.01,"OK","REVIEW")</f>
        <v>OK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spans="1:19" x14ac:dyDescent="0.25">
      <c r="A694" s="4" t="str" cm="1">
        <f t="array" ref="A694">IFERROR(INDEX($A$18:$A$689,(ROWS($A$693:A694)-1)*96+1),"")</f>
        <v>05.05.2026</v>
      </c>
      <c r="B694" s="30">
        <f t="shared" ref="B694:B699" si="149">SUMIF($A$18:$A$689,A694,$D$18:$D$689)*$B$6</f>
        <v>191.84170000000015</v>
      </c>
      <c r="C694" s="30">
        <f t="shared" si="143"/>
        <v>189.55039999999997</v>
      </c>
      <c r="D694" s="30">
        <f t="shared" si="144"/>
        <v>-2.2912999999999872</v>
      </c>
      <c r="E694" s="31">
        <f t="shared" si="145"/>
        <v>8697.9644888374751</v>
      </c>
      <c r="F694" s="31">
        <f t="shared" si="146"/>
        <v>8697.9644888374987</v>
      </c>
      <c r="G694" s="31">
        <f t="shared" si="147"/>
        <v>-2.3646862246096134E-11</v>
      </c>
      <c r="H694" s="32" t="str">
        <f t="shared" si="148"/>
        <v>OK</v>
      </c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spans="1:19" x14ac:dyDescent="0.25">
      <c r="A695" s="4" t="str" cm="1">
        <f t="array" ref="A695">IFERROR(INDEX($A$18:$A$689,(ROWS($A$693:A695)-1)*96+1),"")</f>
        <v>06.05.2026</v>
      </c>
      <c r="B695" s="30">
        <f t="shared" si="149"/>
        <v>194.51920000000015</v>
      </c>
      <c r="C695" s="30">
        <f t="shared" si="143"/>
        <v>190.63411500000004</v>
      </c>
      <c r="D695" s="30">
        <f t="shared" si="144"/>
        <v>-3.8850849999999806</v>
      </c>
      <c r="E695" s="31">
        <f t="shared" si="145"/>
        <v>16668.196216874934</v>
      </c>
      <c r="F695" s="31">
        <f t="shared" si="146"/>
        <v>16668.196216874996</v>
      </c>
      <c r="G695" s="31">
        <f t="shared" si="147"/>
        <v>-6.184563972055912E-11</v>
      </c>
      <c r="H695" s="32" t="str">
        <f t="shared" si="148"/>
        <v>OK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spans="1:19" x14ac:dyDescent="0.25">
      <c r="A696" s="4" t="str" cm="1">
        <f t="array" ref="A696">IFERROR(INDEX($A$18:$A$689,(ROWS($A$693:A696)-1)*96+1),"")</f>
        <v>07.05.2026</v>
      </c>
      <c r="B696" s="30">
        <f t="shared" si="149"/>
        <v>195.29170000000019</v>
      </c>
      <c r="C696" s="30">
        <f t="shared" si="143"/>
        <v>187.05681500000003</v>
      </c>
      <c r="D696" s="30">
        <f t="shared" si="144"/>
        <v>-8.2348849999999914</v>
      </c>
      <c r="E696" s="31">
        <f t="shared" si="145"/>
        <v>63847.898841074981</v>
      </c>
      <c r="F696" s="31">
        <f t="shared" si="146"/>
        <v>63847.898841075003</v>
      </c>
      <c r="G696" s="31">
        <f t="shared" si="147"/>
        <v>0</v>
      </c>
      <c r="H696" s="32" t="str">
        <f t="shared" si="148"/>
        <v>OK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spans="1:19" x14ac:dyDescent="0.25">
      <c r="A697" s="4" t="str" cm="1">
        <f t="array" ref="A697">IFERROR(INDEX($A$18:$A$689,(ROWS($A$693:A697)-1)*96+1),"")</f>
        <v>08.05.2026</v>
      </c>
      <c r="B697" s="30">
        <f t="shared" si="149"/>
        <v>196.81919999999997</v>
      </c>
      <c r="C697" s="30">
        <f t="shared" si="143"/>
        <v>191.88244250000017</v>
      </c>
      <c r="D697" s="30">
        <f t="shared" si="144"/>
        <v>-4.9367574999999917</v>
      </c>
      <c r="E697" s="31">
        <f t="shared" si="145"/>
        <v>18587.23450499996</v>
      </c>
      <c r="F697" s="31">
        <f t="shared" si="146"/>
        <v>18587.234505000004</v>
      </c>
      <c r="G697" s="31">
        <f t="shared" si="147"/>
        <v>-4.3655745685100555E-11</v>
      </c>
      <c r="H697" s="32" t="str">
        <f t="shared" si="148"/>
        <v>OK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spans="1:19" x14ac:dyDescent="0.25">
      <c r="A698" s="4" t="str" cm="1">
        <f t="array" ref="A698">IFERROR(INDEX($A$18:$A$689,(ROWS($A$693:A698)-1)*96+1),"")</f>
        <v>09.05.2026</v>
      </c>
      <c r="B698" s="30">
        <f t="shared" si="149"/>
        <v>216.32669999999999</v>
      </c>
      <c r="C698" s="30">
        <f t="shared" si="143"/>
        <v>212.13532000000001</v>
      </c>
      <c r="D698" s="30">
        <f t="shared" si="144"/>
        <v>-4.1913799999999952</v>
      </c>
      <c r="E698" s="31">
        <f t="shared" si="145"/>
        <v>7290.7935468499918</v>
      </c>
      <c r="F698" s="31">
        <f t="shared" si="146"/>
        <v>7290.7935468500009</v>
      </c>
      <c r="G698" s="31">
        <f t="shared" si="147"/>
        <v>-9.0949470177292824E-12</v>
      </c>
      <c r="H698" s="32" t="str">
        <f t="shared" si="148"/>
        <v>OK</v>
      </c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spans="1:19" ht="15.75" thickBot="1" x14ac:dyDescent="0.3">
      <c r="A699" s="4" t="str" cm="1">
        <f t="array" ref="A699">IFERROR(INDEX($A$18:$A$689,(ROWS($A$693:A699)-1)*96+1),"")</f>
        <v>10.05.2026</v>
      </c>
      <c r="B699" s="30">
        <f t="shared" si="149"/>
        <v>268.48420000000021</v>
      </c>
      <c r="C699" s="30">
        <f t="shared" si="143"/>
        <v>267.16922</v>
      </c>
      <c r="D699" s="30">
        <f t="shared" si="144"/>
        <v>-1.31497999999999</v>
      </c>
      <c r="E699" s="31">
        <f t="shared" si="145"/>
        <v>11378.594180999988</v>
      </c>
      <c r="F699" s="31">
        <f t="shared" si="146"/>
        <v>11378.594180999999</v>
      </c>
      <c r="G699" s="31">
        <f t="shared" si="147"/>
        <v>0</v>
      </c>
      <c r="H699" s="32" t="str">
        <f t="shared" si="148"/>
        <v>OK</v>
      </c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spans="1:19" ht="15.75" thickTop="1" x14ac:dyDescent="0.25">
      <c r="A700" s="33" t="s">
        <v>16</v>
      </c>
      <c r="B700" s="34">
        <f>SUM(B693:B699)</f>
        <v>1482.4419000000003</v>
      </c>
      <c r="C700" s="34">
        <f>SUM(C693:C699)</f>
        <v>1453.9821475000003</v>
      </c>
      <c r="D700" s="34">
        <f>SUM(D693:D699)</f>
        <v>-28.459752499999937</v>
      </c>
      <c r="E700" s="35">
        <f>SUM(E693:E699)</f>
        <v>136575.04691466232</v>
      </c>
      <c r="F700" s="35">
        <f>SUM(F693:F699)</f>
        <v>136575.0469146625</v>
      </c>
      <c r="G700" s="35">
        <f t="shared" si="147"/>
        <v>0</v>
      </c>
      <c r="H700" s="36" t="str">
        <f t="shared" si="148"/>
        <v>OK</v>
      </c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spans="1:19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spans="1:19" x14ac:dyDescent="0.25">
      <c r="A702" s="54" t="s">
        <v>15</v>
      </c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</row>
    <row r="703" spans="1:19" x14ac:dyDescent="0.25">
      <c r="A703" s="8" t="s">
        <v>14</v>
      </c>
      <c r="B703" s="8" t="s">
        <v>13</v>
      </c>
      <c r="C703" s="8" t="s">
        <v>12</v>
      </c>
      <c r="D703" s="8" t="s">
        <v>11</v>
      </c>
      <c r="E703" s="8" t="s">
        <v>10</v>
      </c>
      <c r="F703" s="8" t="s">
        <v>9</v>
      </c>
      <c r="G703" s="55" t="s">
        <v>8</v>
      </c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</row>
    <row r="704" spans="1:19" x14ac:dyDescent="0.25">
      <c r="A704" s="37" t="s">
        <v>7</v>
      </c>
      <c r="B704" s="38">
        <f>SUM(P18:P689)</f>
        <v>136575.04691466241</v>
      </c>
      <c r="C704" s="38">
        <f>SUM(Q18:Q689)</f>
        <v>136575.04691466253</v>
      </c>
      <c r="D704" s="38">
        <f>B704-C704</f>
        <v>0</v>
      </c>
      <c r="E704" s="38">
        <v>0.01</v>
      </c>
      <c r="F704" s="39" t="str">
        <f>IF(ABS(D704)&lt;=E704,"OK","REVIEW")</f>
        <v>OK</v>
      </c>
      <c r="G704" s="56" t="s">
        <v>6</v>
      </c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7"/>
    </row>
    <row r="705" spans="1:19" x14ac:dyDescent="0.25">
      <c r="A705" s="40" t="s">
        <v>5</v>
      </c>
      <c r="B705" s="41">
        <f>COUNTIF(S18:S689,"REVIEW")</f>
        <v>0</v>
      </c>
      <c r="C705" s="41">
        <v>0</v>
      </c>
      <c r="D705" s="41">
        <f>B705-C705</f>
        <v>0</v>
      </c>
      <c r="E705" s="41">
        <v>0</v>
      </c>
      <c r="F705" s="42" t="str">
        <f>IF(ABS(D705)&lt;=E705,"OK","REVIEW")</f>
        <v>OK</v>
      </c>
      <c r="G705" s="46" t="s">
        <v>4</v>
      </c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7"/>
    </row>
    <row r="706" spans="1:19" x14ac:dyDescent="0.25">
      <c r="A706" s="40" t="s">
        <v>3</v>
      </c>
      <c r="B706" s="41">
        <f>COUNTBLANK(D18:E689)+COUNTBLANK(J18:J689)</f>
        <v>0</v>
      </c>
      <c r="C706" s="41">
        <v>0</v>
      </c>
      <c r="D706" s="41">
        <f>B706-C706</f>
        <v>0</v>
      </c>
      <c r="E706" s="41">
        <v>0</v>
      </c>
      <c r="F706" s="42" t="str">
        <f>IF(ABS(D706)&lt;=E706,"OK","REVIEW")</f>
        <v>OK</v>
      </c>
      <c r="G706" s="46" t="s">
        <v>2</v>
      </c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7"/>
    </row>
    <row r="707" spans="1:19" x14ac:dyDescent="0.25">
      <c r="A707" s="43" t="s">
        <v>1</v>
      </c>
      <c r="B707" s="44">
        <f>SUM(F18:F689)+SUM(I18:I689)</f>
        <v>0</v>
      </c>
      <c r="C707" s="44">
        <v>0</v>
      </c>
      <c r="D707" s="44">
        <f>B707-C707</f>
        <v>0</v>
      </c>
      <c r="E707" s="44">
        <v>9.9999999999999995E-7</v>
      </c>
      <c r="F707" s="45" t="str">
        <f>IF(ABS(D707)&lt;=E707,"OK","REVIEW")</f>
        <v>OK</v>
      </c>
      <c r="G707" s="48" t="s">
        <v>0</v>
      </c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9"/>
    </row>
    <row r="708" spans="1:19" ht="15.75" thickBo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spans="1:19" ht="26.1" customHeight="1" thickBot="1" x14ac:dyDescent="0.3">
      <c r="A709" s="50" t="str">
        <f>IF(COUNTIF(F704:F707,"REVIEW")=0,"MODEL STATUS: CORRECT – ALL CHECKS PASSED","MODEL STATUS: REVIEW REQUIRED")</f>
        <v>MODEL STATUS: CORRECT – ALL CHECKS PASSED</v>
      </c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2"/>
    </row>
  </sheetData>
  <sheetProtection algorithmName="SHA-512" hashValue="rkelMH8IQl6kLbz2jr+DFGmRZB8xoFP7o3W1jAigHNRNZ6cR6uwQJAgPPdSYeftHYMPxsnM3S+jQPIsGztsREw==" saltValue="4eWyOk5vDdkMuqkv3uYVLw==" spinCount="100000" sheet="1" objects="1" scenarios="1"/>
  <mergeCells count="20">
    <mergeCell ref="A1:S1"/>
    <mergeCell ref="A2:S2"/>
    <mergeCell ref="A4:C4"/>
    <mergeCell ref="J4:S4"/>
    <mergeCell ref="E4:F4"/>
    <mergeCell ref="J9:S9"/>
    <mergeCell ref="J10:S11"/>
    <mergeCell ref="J12:S14"/>
    <mergeCell ref="A16:S16"/>
    <mergeCell ref="J5:S6"/>
    <mergeCell ref="J7:S7"/>
    <mergeCell ref="J8:S8"/>
    <mergeCell ref="G706:S706"/>
    <mergeCell ref="G707:S707"/>
    <mergeCell ref="A709:S709"/>
    <mergeCell ref="A691:H691"/>
    <mergeCell ref="A702:S702"/>
    <mergeCell ref="G703:S703"/>
    <mergeCell ref="G704:S704"/>
    <mergeCell ref="G705:S705"/>
  </mergeCells>
  <conditionalFormatting sqref="F704:F707">
    <cfRule type="expression" dxfId="28" priority="7">
      <formula>$F704="OK"</formula>
    </cfRule>
    <cfRule type="expression" dxfId="27" priority="8">
      <formula>$F704="REVIEW"</formula>
    </cfRule>
  </conditionalFormatting>
  <conditionalFormatting sqref="H693:H700">
    <cfRule type="expression" dxfId="26" priority="5">
      <formula>$H693="OK"</formula>
    </cfRule>
    <cfRule type="expression" dxfId="25" priority="6">
      <formula>$H693="REVIEW"</formula>
    </cfRule>
  </conditionalFormatting>
  <conditionalFormatting sqref="P18:P689">
    <cfRule type="cellIs" dxfId="24" priority="3" operator="greaterThan">
      <formula>0</formula>
    </cfRule>
    <cfRule type="cellIs" dxfId="23" priority="4" operator="lessThan">
      <formula>0</formula>
    </cfRule>
  </conditionalFormatting>
  <conditionalFormatting sqref="S18:S689">
    <cfRule type="expression" dxfId="22" priority="1">
      <formula>$S18="OK"</formula>
    </cfRule>
    <cfRule type="expression" dxfId="21" priority="2">
      <formula>$S18="REVIEW"</formula>
    </cfRule>
  </conditionalFormatting>
  <pageMargins left="0.7" right="0.7" top="0.75" bottom="0.75" header="0.3" footer="0.3"/>
  <ignoredErrors>
    <ignoredError sqref="F18:I690 K18:P689 R18:S689 B693:H700 B704:F708 A709 F5:F13" unlocked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DSM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Anjali</cp:lastModifiedBy>
  <dcterms:created xsi:type="dcterms:W3CDTF">2026-08-11T09:23:54Z</dcterms:created>
  <dcterms:modified xsi:type="dcterms:W3CDTF">2026-08-17T07:46:25Z</dcterms:modified>
</cp:coreProperties>
</file>